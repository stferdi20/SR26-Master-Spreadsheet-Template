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Data scoring"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Data scoring'!$B$10:$AK$238</definedName>
    <definedName name="_xlnm._FilterDatabase" localSheetId="20"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v0.12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480"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Rows owner-confirmed</t>
        </is>
      </c>
    </row>
    <row r="6">
      <c r="C6">
        <f>COUNTIF($N$10:$N$26,"Not sent")</f>
        <v/>
      </c>
      <c r="E6">
        <f>COUNTIF($N$10:$N$26,"Sent")</f>
        <v/>
      </c>
      <c r="G6">
        <f>COUNTIF($N$10:$N$26,"1:1 meeting")</f>
        <v/>
      </c>
      <c r="I6">
        <f>COUNTIF($N$10:$N$26,"Received")</f>
        <v/>
      </c>
      <c r="L6" s="43">
        <f>IFERROR((COUNTIF($N$10:$N$26,"Received")+COUNTIF($N$10:$N$26,"First review")+COUNTIF($N$10:$N$26,"Follow-up")+COUNTIF($N$10:$N$26,"Complete"))/(COUNTA($N$10:$N$26)-COUNTIF($N$10:$N$26,"Not required")),0)</f>
        <v/>
      </c>
      <c r="N6">
        <f>SUM($M$10:$M$26)&amp;" / "&amp;SUM($F$10:$F$26)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Rows answered (auto)</t>
        </is>
      </c>
      <c r="M9" s="6" t="inlineStr">
        <is>
          <t>Owner confirmed rows (auto)</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SR26 sustainability reporting request.xlsx</t>
        </is>
      </c>
      <c r="H10" s="44" t="n"/>
      <c r="I10" s="44" t="n">
        <v>46371</v>
      </c>
      <c r="J10" s="44">
        <f>IF(I10="","",I10-7)</f>
        <v/>
      </c>
      <c r="K10" s="44" t="inlineStr"/>
      <c r="L10" s="8">
        <f>COUNTIF('Faculties'!$L$10:$L$19,"?*")</f>
        <v/>
      </c>
      <c r="M10" s="8">
        <f>COUNTIF('Faculties'!$Q$10:$Q$19,"Yes")</f>
        <v/>
      </c>
      <c r="N10" s="8" t="inlineStr">
        <is>
          <t>Not sent</t>
        </is>
      </c>
      <c r="O10" s="8">
        <f>IF(OR(I10="",L10&gt;=F10),"",MAX(0,TODAY()-I10))</f>
        <v/>
      </c>
      <c r="P10" s="8" t="inlineStr"/>
    </row>
    <row r="11">
      <c r="B11" s="8" t="inlineStr">
        <is>
          <t>F2</t>
        </is>
      </c>
      <c r="C11" s="8" t="inlineStr">
        <is>
          <t>Faculty</t>
        </is>
      </c>
      <c r="D11" s="8" t="inlineStr">
        <is>
          <t>ARTS – Faculty of Arts</t>
        </is>
      </c>
      <c r="E11" s="8" t="inlineStr">
        <is>
          <t>TBC</t>
        </is>
      </c>
      <c r="F11" s="8" t="n">
        <v>9</v>
      </c>
      <c r="G11" s="8" t="inlineStr">
        <is>
          <t>ARTS - SR26 sustainability reporting request.xlsx</t>
        </is>
      </c>
      <c r="H11" s="44" t="n"/>
      <c r="I11" s="44" t="n">
        <v>46371</v>
      </c>
      <c r="J11" s="44">
        <f>IF(I11="","",I11-7)</f>
        <v/>
      </c>
      <c r="K11" s="44" t="inlineStr"/>
      <c r="L11" s="8">
        <f>COUNTIF('Faculties'!$L$26:$L$35,"?*")</f>
        <v/>
      </c>
      <c r="M11" s="8">
        <f>COUNTIF('Faculties'!$Q$26:$Q$35,"Yes")</f>
        <v/>
      </c>
      <c r="N11" s="8" t="inlineStr">
        <is>
          <t>Not sent</t>
        </is>
      </c>
      <c r="O11" s="8">
        <f>IF(OR(I11="",L11&gt;=F11),"",MAX(0,TODAY()-I11))</f>
        <v/>
      </c>
      <c r="P11" s="8" t="inlineStr"/>
    </row>
    <row r="12">
      <c r="B12" s="8" t="inlineStr">
        <is>
          <t>F3</t>
        </is>
      </c>
      <c r="C12" s="8" t="inlineStr">
        <is>
          <t>Faculty</t>
        </is>
      </c>
      <c r="D12" s="8" t="inlineStr">
        <is>
          <t>FBE – Faculty of Business and Economics</t>
        </is>
      </c>
      <c r="E12" s="8" t="inlineStr">
        <is>
          <t>TBC</t>
        </is>
      </c>
      <c r="F12" s="8" t="n">
        <v>9</v>
      </c>
      <c r="G12" s="8" t="inlineStr">
        <is>
          <t>FBE - SR26 sustainability reporting request.xlsx</t>
        </is>
      </c>
      <c r="H12" s="44" t="n"/>
      <c r="I12" s="44" t="n">
        <v>46371</v>
      </c>
      <c r="J12" s="44">
        <f>IF(I12="","",I12-7)</f>
        <v/>
      </c>
      <c r="K12" s="44" t="inlineStr"/>
      <c r="L12" s="8">
        <f>COUNTIF('Faculties'!$L$42:$L$51,"?*")</f>
        <v/>
      </c>
      <c r="M12" s="8">
        <f>COUNTIF('Faculties'!$Q$42:$Q$51,"Yes")</f>
        <v/>
      </c>
      <c r="N12" s="8" t="inlineStr">
        <is>
          <t>Not sent</t>
        </is>
      </c>
      <c r="O12" s="8">
        <f>IF(OR(I12="",L12&gt;=F12),"",MAX(0,TODAY()-I12))</f>
        <v/>
      </c>
      <c r="P12" s="8" t="inlineStr"/>
    </row>
    <row r="13">
      <c r="B13" s="8" t="inlineStr">
        <is>
          <t>F4</t>
        </is>
      </c>
      <c r="C13" s="8" t="inlineStr">
        <is>
          <t>Faculty</t>
        </is>
      </c>
      <c r="D13" s="8" t="inlineStr">
        <is>
          <t>SCI – Faculty of Science</t>
        </is>
      </c>
      <c r="E13" s="8" t="inlineStr">
        <is>
          <t>TBC</t>
        </is>
      </c>
      <c r="F13" s="8" t="n">
        <v>9</v>
      </c>
      <c r="G13" s="8" t="inlineStr">
        <is>
          <t>SCI - SR26 sustainability reporting request.xlsx</t>
        </is>
      </c>
      <c r="H13" s="44" t="n"/>
      <c r="I13" s="44" t="n">
        <v>46371</v>
      </c>
      <c r="J13" s="44">
        <f>IF(I13="","",I13-7)</f>
        <v/>
      </c>
      <c r="K13" s="44" t="inlineStr"/>
      <c r="L13" s="8">
        <f>COUNTIF('Faculties'!$L$58:$L$67,"?*")</f>
        <v/>
      </c>
      <c r="M13" s="8">
        <f>COUNTIF('Faculties'!$Q$58:$Q$67,"Yes")</f>
        <v/>
      </c>
      <c r="N13" s="8" t="inlineStr">
        <is>
          <t>Not sent</t>
        </is>
      </c>
      <c r="O13" s="8">
        <f>IF(OR(I13="",L13&gt;=F13),"",MAX(0,TODAY()-I13))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SR26 sustainability reporting request.xlsx</t>
        </is>
      </c>
      <c r="H14" s="44" t="n"/>
      <c r="I14" s="44" t="n">
        <v>46371</v>
      </c>
      <c r="J14" s="44">
        <f>IF(I14="","",I14-7)</f>
        <v/>
      </c>
      <c r="K14" s="44" t="inlineStr"/>
      <c r="L14" s="8">
        <f>COUNTIF('CI&amp;S'!$L$10:$L$15,"?*")</f>
        <v/>
      </c>
      <c r="M14" s="8">
        <f>COUNTIF('CI&amp;S'!$Q$10:$Q$15,"Yes")</f>
        <v/>
      </c>
      <c r="N14" s="8" t="inlineStr">
        <is>
          <t>Not sent</t>
        </is>
      </c>
      <c r="O14" s="8">
        <f>IF(OR(I14="",L14&gt;=F14),"",MAX(0,TODAY()-I14))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SR26 sustainability reporting request.xlsx</t>
        </is>
      </c>
      <c r="H15" s="44" t="n"/>
      <c r="I15" s="44" t="n">
        <v>46371</v>
      </c>
      <c r="J15" s="44">
        <f>IF(I15="","",I15-7)</f>
        <v/>
      </c>
      <c r="K15" s="44" t="inlineStr"/>
      <c r="L15" s="8">
        <f>COUNTIF('CI&amp;S'!$L$22:$L$36,"?*")</f>
        <v/>
      </c>
      <c r="M15" s="8">
        <f>COUNTIF('CI&amp;S'!$Q$22:$Q$36,"Yes")</f>
        <v/>
      </c>
      <c r="N15" s="8" t="inlineStr">
        <is>
          <t>Not sent</t>
        </is>
      </c>
      <c r="O15" s="8">
        <f>IF(OR(I15="",L15&gt;=F15),"",MAX(0,TODAY()-I15))</f>
        <v/>
      </c>
      <c r="P15" s="8" t="inlineStr"/>
    </row>
    <row r="16">
      <c r="B16" s="8" t="inlineStr">
        <is>
          <t>C3</t>
        </is>
      </c>
      <c r="C16" s="8" t="inlineStr">
        <is>
          <t>Central</t>
        </is>
      </c>
      <c r="D16" s="8" t="inlineStr">
        <is>
          <t>CFOG – Procurement</t>
        </is>
      </c>
      <c r="E16" s="8" t="inlineStr">
        <is>
          <t>TBC</t>
        </is>
      </c>
      <c r="F16" s="8" t="n">
        <v>6</v>
      </c>
      <c r="G16" s="8" t="inlineStr">
        <is>
          <t>CFOG - SR26 sustainability reporting request.xlsx</t>
        </is>
      </c>
      <c r="H16" s="44" t="n"/>
      <c r="I16" s="44" t="n">
        <v>46371</v>
      </c>
      <c r="J16" s="44">
        <f>IF(I16="","",I16-7)</f>
        <v/>
      </c>
      <c r="K16" s="44" t="inlineStr"/>
      <c r="L16" s="8">
        <f>COUNTIF('CFOG'!$L$10:$L$16,"?*")</f>
        <v/>
      </c>
      <c r="M16" s="8">
        <f>COUNTIF('CFOG'!$Q$10:$Q$16,"Yes")</f>
        <v/>
      </c>
      <c r="N16" s="8" t="inlineStr">
        <is>
          <t>Not sent</t>
        </is>
      </c>
      <c r="O16" s="8">
        <f>IF(OR(I16="",L16&gt;=F16),"",MAX(0,TODAY()-I16))</f>
        <v/>
      </c>
      <c r="P16" s="8" t="inlineStr"/>
    </row>
    <row r="17">
      <c r="B17" s="8" t="inlineStr">
        <is>
          <t>C4</t>
        </is>
      </c>
      <c r="C17" s="8" t="inlineStr">
        <is>
          <t>Central</t>
        </is>
      </c>
      <c r="D17" s="8" t="inlineStr">
        <is>
          <t>CFOG – Treasury &amp; Investments</t>
        </is>
      </c>
      <c r="E17" s="8" t="inlineStr">
        <is>
          <t>TBC</t>
        </is>
      </c>
      <c r="F17" s="8" t="n">
        <v>1</v>
      </c>
      <c r="G17" s="8" t="inlineStr">
        <is>
          <t>CFOG - SR26 sustainability reporting request.xlsx</t>
        </is>
      </c>
      <c r="H17" s="44" t="n"/>
      <c r="I17" s="44" t="n">
        <v>46371</v>
      </c>
      <c r="J17" s="44">
        <f>IF(I17="","",I17-7)</f>
        <v/>
      </c>
      <c r="K17" s="44" t="inlineStr"/>
      <c r="L17" s="8">
        <f>COUNTIF('CFOG'!$L$23:$L$24,"?*")</f>
        <v/>
      </c>
      <c r="M17" s="8">
        <f>COUNTIF('CFOG'!$Q$23:$Q$24,"Yes")</f>
        <v/>
      </c>
      <c r="N17" s="8" t="inlineStr">
        <is>
          <t>Not sent</t>
        </is>
      </c>
      <c r="O17" s="8">
        <f>IF(OR(I17="",L17&gt;=F17),"",MAX(0,TODAY()-I17))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SR26 sustainability reporting request.xlsx</t>
        </is>
      </c>
      <c r="H18" s="44" t="n"/>
      <c r="I18" s="44" t="n">
        <v>46371</v>
      </c>
      <c r="J18" s="44">
        <f>IF(I18="","",I18-7)</f>
        <v/>
      </c>
      <c r="K18" s="44" t="inlineStr"/>
      <c r="L18" s="8">
        <f>COUNTIF('ESG'!$L$10:$L$17,"?*")</f>
        <v/>
      </c>
      <c r="M18" s="8">
        <f>COUNTIF('ESG'!$Q$10:$Q$17,"Yes")</f>
        <v/>
      </c>
      <c r="N18" s="8" t="inlineStr">
        <is>
          <t>Not sent</t>
        </is>
      </c>
      <c r="O18" s="8">
        <f>IF(OR(I18="",L18&gt;=F18),"",MAX(0,TODAY()-I18))</f>
        <v/>
      </c>
      <c r="P18" s="8" t="inlineStr"/>
    </row>
    <row r="19">
      <c r="B19" s="8" t="inlineStr">
        <is>
          <t>C6</t>
        </is>
      </c>
      <c r="C19" s="8" t="inlineStr">
        <is>
          <t>Central</t>
        </is>
      </c>
      <c r="D19" s="8" t="inlineStr">
        <is>
          <t>CIOG – Responsible AI &amp; digital</t>
        </is>
      </c>
      <c r="E19" s="8" t="inlineStr">
        <is>
          <t>TBC</t>
        </is>
      </c>
      <c r="F19" s="8" t="n">
        <v>4</v>
      </c>
      <c r="G19" s="8" t="inlineStr">
        <is>
          <t>CIOG - SR26 sustainability reporting request.xlsx</t>
        </is>
      </c>
      <c r="H19" s="44" t="n"/>
      <c r="I19" s="44" t="n">
        <v>46371</v>
      </c>
      <c r="J19" s="44">
        <f>IF(I19="","",I19-7)</f>
        <v/>
      </c>
      <c r="K19" s="44" t="inlineStr"/>
      <c r="L19" s="8">
        <f>COUNTIF('CIOG'!$L$10:$L$14,"?*")</f>
        <v/>
      </c>
      <c r="M19" s="8">
        <f>COUNTIF('CIOG'!$Q$10:$Q$14,"Yes")</f>
        <v/>
      </c>
      <c r="N19" s="8" t="inlineStr">
        <is>
          <t>Not sent</t>
        </is>
      </c>
      <c r="O19" s="8">
        <f>IF(OR(I19="",L19&gt;=F19),"",MAX(0,TODAY()-I19))</f>
        <v/>
      </c>
      <c r="P19" s="8" t="inlineStr"/>
    </row>
    <row r="20">
      <c r="B20" s="8" t="inlineStr">
        <is>
          <t>C7</t>
        </is>
      </c>
      <c r="C20" s="8" t="inlineStr">
        <is>
          <t>Central</t>
        </is>
      </c>
      <c r="D20" s="8" t="inlineStr">
        <is>
          <t>MRE – Research (incl. MBI – TBC)</t>
        </is>
      </c>
      <c r="E20" s="8" t="inlineStr">
        <is>
          <t>TBC</t>
        </is>
      </c>
      <c r="F20" s="8" t="n">
        <v>8</v>
      </c>
      <c r="G20" s="8" t="inlineStr">
        <is>
          <t>MRE - SR26 sustainability reporting request.xlsx</t>
        </is>
      </c>
      <c r="H20" s="44" t="n"/>
      <c r="I20" s="44" t="n">
        <v>46371</v>
      </c>
      <c r="J20" s="44">
        <f>IF(I20="","",I20-7)</f>
        <v/>
      </c>
      <c r="K20" s="44" t="inlineStr"/>
      <c r="L20" s="8">
        <f>COUNTIF('MRE'!$L$10:$L$18,"?*")</f>
        <v/>
      </c>
      <c r="M20" s="8">
        <f>COUNTIF('MRE'!$Q$10:$Q$18,"Yes")</f>
        <v/>
      </c>
      <c r="N20" s="8" t="inlineStr">
        <is>
          <t>Not sent</t>
        </is>
      </c>
      <c r="O20" s="8">
        <f>IF(OR(I20="",L20&gt;=F20),"",MAX(0,TODAY()-I20))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SR26 sustainability reporting request.xlsx</t>
        </is>
      </c>
      <c r="H21" s="44" t="n"/>
      <c r="I21" s="44" t="n">
        <v>46371</v>
      </c>
      <c r="J21" s="44">
        <f>IF(I21="","",I21-7)</f>
        <v/>
      </c>
      <c r="K21" s="44" t="inlineStr"/>
      <c r="L21" s="8">
        <f>COUNTIF('AC&amp;M'!$L$10:$L$14,"?*")</f>
        <v/>
      </c>
      <c r="M21" s="8">
        <f>COUNTIF('AC&amp;M'!$Q$10:$Q$14,"Yes")</f>
        <v/>
      </c>
      <c r="N21" s="8" t="inlineStr">
        <is>
          <t>Not sent</t>
        </is>
      </c>
      <c r="O21" s="8">
        <f>IF(OR(I21="",L21&gt;=F21),"",MAX(0,TODAY()-I21))</f>
        <v/>
      </c>
      <c r="P21" s="8" t="inlineStr"/>
    </row>
    <row r="22">
      <c r="B22" s="8" t="inlineStr">
        <is>
          <t>C9</t>
        </is>
      </c>
      <c r="C22" s="8" t="inlineStr">
        <is>
          <t>Central</t>
        </is>
      </c>
      <c r="D22" s="8" t="inlineStr">
        <is>
          <t>GCE – Global, Culture and Engagement</t>
        </is>
      </c>
      <c r="E22" s="8" t="inlineStr">
        <is>
          <t>TBC</t>
        </is>
      </c>
      <c r="F22" s="8" t="n">
        <v>2</v>
      </c>
      <c r="G22" s="8" t="inlineStr">
        <is>
          <t>GCE - SR26 sustainability reporting request.xlsx</t>
        </is>
      </c>
      <c r="H22" s="44" t="n"/>
      <c r="I22" s="44" t="n">
        <v>46371</v>
      </c>
      <c r="J22" s="44">
        <f>IF(I22="","",I22-7)</f>
        <v/>
      </c>
      <c r="K22" s="44" t="inlineStr"/>
      <c r="L22" s="8">
        <f>COUNTIF('GCE'!$L$10:$L$12,"?*")</f>
        <v/>
      </c>
      <c r="M22" s="8">
        <f>COUNTIF('GCE'!$Q$10:$Q$12,"Yes")</f>
        <v/>
      </c>
      <c r="N22" s="8" t="inlineStr">
        <is>
          <t>Not sent</t>
        </is>
      </c>
      <c r="O22" s="8">
        <f>IF(OR(I22="",L22&gt;=F22),"",MAX(0,TODAY()-I22))</f>
        <v/>
      </c>
      <c r="P22" s="8" t="inlineStr"/>
    </row>
    <row r="23">
      <c r="B23" s="8" t="inlineStr">
        <is>
          <t>C10</t>
        </is>
      </c>
      <c r="C23" s="8" t="inlineStr">
        <is>
          <t>Central</t>
        </is>
      </c>
      <c r="D23" s="8" t="inlineStr">
        <is>
          <t>Education – Chancellery Education</t>
        </is>
      </c>
      <c r="E23" s="8" t="inlineStr">
        <is>
          <t>TBC</t>
        </is>
      </c>
      <c r="F23" s="8" t="n">
        <v>3</v>
      </c>
      <c r="G23" s="8" t="inlineStr">
        <is>
          <t>Education - SR26 sustainability reporting request.xlsx</t>
        </is>
      </c>
      <c r="H23" s="44" t="n"/>
      <c r="I23" s="44" t="n">
        <v>46371</v>
      </c>
      <c r="J23" s="44">
        <f>IF(I23="","",I23-7)</f>
        <v/>
      </c>
      <c r="K23" s="44" t="inlineStr"/>
      <c r="L23" s="8">
        <f>COUNTIF('Education'!$L$10:$L$13,"?*")</f>
        <v/>
      </c>
      <c r="M23" s="8">
        <f>COUNTIF('Education'!$Q$10:$Q$13,"Yes")</f>
        <v/>
      </c>
      <c r="N23" s="8" t="inlineStr">
        <is>
          <t>Not sent</t>
        </is>
      </c>
      <c r="O23" s="8">
        <f>IF(OR(I23="",L23&gt;=F23),"",MAX(0,TODAY()-I23))</f>
        <v/>
      </c>
      <c r="P23" s="8" t="inlineStr"/>
    </row>
    <row r="24">
      <c r="B24" s="8" t="inlineStr">
        <is>
          <t>C11</t>
        </is>
      </c>
      <c r="C24" s="8" t="inlineStr">
        <is>
          <t>Central</t>
        </is>
      </c>
      <c r="D24" s="8" t="inlineStr">
        <is>
          <t>SaSS – Student and Scholarly Services</t>
        </is>
      </c>
      <c r="E24" s="8" t="inlineStr">
        <is>
          <t>TBC</t>
        </is>
      </c>
      <c r="F24" s="8" t="n">
        <v>2</v>
      </c>
      <c r="G24" s="8" t="inlineStr">
        <is>
          <t>SaSS - SR26 sustainability reporting request.xlsx</t>
        </is>
      </c>
      <c r="H24" s="44" t="n"/>
      <c r="I24" s="44" t="n">
        <v>46371</v>
      </c>
      <c r="J24" s="44">
        <f>IF(I24="","",I24-7)</f>
        <v/>
      </c>
      <c r="K24" s="44" t="inlineStr"/>
      <c r="L24" s="8">
        <f>COUNTIF('SaSS'!$L$10:$L$12,"?*")</f>
        <v/>
      </c>
      <c r="M24" s="8">
        <f>COUNTIF('SaSS'!$Q$10:$Q$12,"Yes")</f>
        <v/>
      </c>
      <c r="N24" s="8" t="inlineStr">
        <is>
          <t>Not sent</t>
        </is>
      </c>
      <c r="O24" s="8">
        <f>IF(OR(I24="",L24&gt;=F24),"",MAX(0,TODAY()-I24))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SR26 sustainability reporting request.xlsx</t>
        </is>
      </c>
      <c r="H25" s="44" t="n"/>
      <c r="I25" s="44" t="n">
        <v>46371</v>
      </c>
      <c r="J25" s="44">
        <f>IF(I25="","",I25-7)</f>
        <v/>
      </c>
      <c r="K25" s="44" t="inlineStr"/>
      <c r="L25" s="8">
        <f>COUNTIF('Indigenous'!$L$10:$L$11,"?*")</f>
        <v/>
      </c>
      <c r="M25" s="8">
        <f>COUNTIF('Indigenous'!$Q$10:$Q$11,"Yes")</f>
        <v/>
      </c>
      <c r="N25" s="8" t="inlineStr">
        <is>
          <t>Not sent</t>
        </is>
      </c>
      <c r="O25" s="8">
        <f>IF(OR(I25="",L25&gt;=F25),"",MAX(0,TODAY()-I25))</f>
        <v/>
      </c>
      <c r="P25" s="8" t="inlineStr"/>
    </row>
    <row r="26">
      <c r="B26" s="8" t="inlineStr">
        <is>
          <t>C13</t>
        </is>
      </c>
      <c r="C26" s="8" t="inlineStr">
        <is>
          <t>Central</t>
        </is>
      </c>
      <c r="D26" s="8" t="inlineStr">
        <is>
          <t>Legal &amp; Risk – Risk &amp; resilience</t>
        </is>
      </c>
      <c r="E26" s="8" t="inlineStr">
        <is>
          <t>TBC</t>
        </is>
      </c>
      <c r="F26" s="8" t="n">
        <v>1</v>
      </c>
      <c r="G26" s="8" t="inlineStr">
        <is>
          <t>LandR - SR26 sustainability reporting request.xlsx</t>
        </is>
      </c>
      <c r="H26" s="44" t="n"/>
      <c r="I26" s="44" t="n">
        <v>46371</v>
      </c>
      <c r="J26" s="44">
        <f>IF(I26="","",I26-7)</f>
        <v/>
      </c>
      <c r="K26" s="44" t="inlineStr"/>
      <c r="L26" s="8">
        <f>COUNTIF('L&amp;R'!$L$10:$L$11,"?*")</f>
        <v/>
      </c>
      <c r="M26" s="8">
        <f>COUNTIF('L&amp;R'!$Q$10:$Q$11,"Yes")</f>
        <v/>
      </c>
      <c r="N26" s="8" t="inlineStr">
        <is>
          <t>Not sent</t>
        </is>
      </c>
      <c r="O26" s="8">
        <f>IF(OR(I26="",L26&gt;=F26),"",MAX(0,TODAY()-I26))</f>
        <v/>
      </c>
      <c r="P26" s="8"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10">
        <f>IF([1]'1. Reporting template'!L16="","",[1]'1. Reporting template'!L16)</f>
        <v/>
      </c>
      <c r="M10" s="10">
        <f>IF([1]'1. Reporting template'!M16="","",[1]'1. Reporting template'!M16)</f>
        <v/>
      </c>
      <c r="N10" s="10">
        <f>IF([1]'1. Reporting template'!N16="","",[1]'1. Reporting template'!N16)</f>
        <v/>
      </c>
      <c r="O10" s="10">
        <f>IF([1]'1. Reporting template'!O16="","",[1]'1. Reporting template'!O16)</f>
        <v/>
      </c>
      <c r="P10" s="10">
        <f>IF([1]'1. Reporting template'!P16="","",[1]'1. Reporting template'!P16)</f>
        <v/>
      </c>
      <c r="Q10" s="10">
        <f>IF([1]'1. Reporting template'!Q16="","",[1]'1. Reporting template'!Q16)</f>
        <v/>
      </c>
      <c r="R10" s="10">
        <f>IF([1]'1. Reporting template'!R16="","",[1]'1. Reporting template'!R16)</f>
        <v/>
      </c>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10">
        <f>IF([1]'1. Reporting template'!L17="","",[1]'1. Reporting template'!L17)</f>
        <v/>
      </c>
      <c r="M11" s="10">
        <f>IF([1]'1. Reporting template'!M17="","",[1]'1. Reporting template'!M17)</f>
        <v/>
      </c>
      <c r="N11" s="10">
        <f>IF([1]'1. Reporting template'!N17="","",[1]'1. Reporting template'!N17)</f>
        <v/>
      </c>
      <c r="O11" s="10">
        <f>IF([1]'1. Reporting template'!O17="","",[1]'1. Reporting template'!O17)</f>
        <v/>
      </c>
      <c r="P11" s="10">
        <f>IF([1]'1. Reporting template'!P17="","",[1]'1. Reporting template'!P17)</f>
        <v/>
      </c>
      <c r="Q11" s="10">
        <f>IF([1]'1. Reporting template'!Q17="","",[1]'1. Reporting template'!Q17)</f>
        <v/>
      </c>
      <c r="R11" s="10">
        <f>IF([1]'1. Reporting template'!R17="","",[1]'1. Reporting template'!R17)</f>
        <v/>
      </c>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10">
        <f>IF([1]'1. Reporting template'!L18="","",[1]'1. Reporting template'!L18)</f>
        <v/>
      </c>
      <c r="M12" s="10">
        <f>IF([1]'1. Reporting template'!M18="","",[1]'1. Reporting template'!M18)</f>
        <v/>
      </c>
      <c r="N12" s="10">
        <f>IF([1]'1. Reporting template'!N18="","",[1]'1. Reporting template'!N18)</f>
        <v/>
      </c>
      <c r="O12" s="10">
        <f>IF([1]'1. Reporting template'!O18="","",[1]'1. Reporting template'!O18)</f>
        <v/>
      </c>
      <c r="P12" s="10">
        <f>IF([1]'1. Reporting template'!P18="","",[1]'1. Reporting template'!P18)</f>
        <v/>
      </c>
      <c r="Q12" s="10">
        <f>IF([1]'1. Reporting template'!Q18="","",[1]'1. Reporting template'!Q18)</f>
        <v/>
      </c>
      <c r="R12" s="10">
        <f>IF([1]'1. Reporting template'!R18="","",[1]'1. Reporting template'!R18)</f>
        <v/>
      </c>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10">
        <f>IF([1]'1. Reporting template'!L19="","",[1]'1. Reporting template'!L19)</f>
        <v/>
      </c>
      <c r="M13" s="10">
        <f>IF([1]'1. Reporting template'!M19="","",[1]'1. Reporting template'!M19)</f>
        <v/>
      </c>
      <c r="N13" s="10">
        <f>IF([1]'1. Reporting template'!N19="","",[1]'1. Reporting template'!N19)</f>
        <v/>
      </c>
      <c r="O13" s="10">
        <f>IF([1]'1. Reporting template'!O19="","",[1]'1. Reporting template'!O19)</f>
        <v/>
      </c>
      <c r="P13" s="10">
        <f>IF([1]'1. Reporting template'!P19="","",[1]'1. Reporting template'!P19)</f>
        <v/>
      </c>
      <c r="Q13" s="10">
        <f>IF([1]'1. Reporting template'!Q19="","",[1]'1. Reporting template'!Q19)</f>
        <v/>
      </c>
      <c r="R13" s="10">
        <f>IF([1]'1. Reporting template'!R19="","",[1]'1. Reporting template'!R19)</f>
        <v/>
      </c>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10">
        <f>IF([1]'1. Reporting template'!L20="","",[1]'1. Reporting template'!L20)</f>
        <v/>
      </c>
      <c r="M14" s="10">
        <f>IF([1]'1. Reporting template'!M20="","",[1]'1. Reporting template'!M20)</f>
        <v/>
      </c>
      <c r="N14" s="10">
        <f>IF([1]'1. Reporting template'!N20="","",[1]'1. Reporting template'!N20)</f>
        <v/>
      </c>
      <c r="O14" s="10">
        <f>IF([1]'1. Reporting template'!O20="","",[1]'1. Reporting template'!O20)</f>
        <v/>
      </c>
      <c r="P14" s="10">
        <f>IF([1]'1. Reporting template'!P20="","",[1]'1. Reporting template'!P20)</f>
        <v/>
      </c>
      <c r="Q14" s="10">
        <f>IF([1]'1. Reporting template'!Q20="","",[1]'1. Reporting template'!Q20)</f>
        <v/>
      </c>
      <c r="R14" s="10">
        <f>IF([1]'1. Reporting template'!R20="","",[1]'1. Reporting template'!R20)</f>
        <v/>
      </c>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10">
        <f>IF([1]'1. Reporting template'!L21="","",[1]'1. Reporting template'!L21)</f>
        <v/>
      </c>
      <c r="M15" s="10">
        <f>IF([1]'1. Reporting template'!M21="","",[1]'1. Reporting template'!M21)</f>
        <v/>
      </c>
      <c r="N15" s="10">
        <f>IF([1]'1. Reporting template'!N21="","",[1]'1. Reporting template'!N21)</f>
        <v/>
      </c>
      <c r="O15" s="10">
        <f>IF([1]'1. Reporting template'!O21="","",[1]'1. Reporting template'!O21)</f>
        <v/>
      </c>
      <c r="P15" s="10">
        <f>IF([1]'1. Reporting template'!P21="","",[1]'1. Reporting template'!P21)</f>
        <v/>
      </c>
      <c r="Q15" s="10">
        <f>IF([1]'1. Reporting template'!Q21="","",[1]'1. Reporting template'!Q21)</f>
        <v/>
      </c>
      <c r="R15" s="10">
        <f>IF([1]'1. Reporting template'!R21="","",[1]'1. Reporting template'!R21)</f>
        <v/>
      </c>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10">
        <f>IF([1]'1. Reporting template'!L22="","",[1]'1. Reporting template'!L22)</f>
        <v/>
      </c>
      <c r="M16" s="10">
        <f>IF([1]'1. Reporting template'!M22="","",[1]'1. Reporting template'!M22)</f>
        <v/>
      </c>
      <c r="N16" s="10">
        <f>IF([1]'1. Reporting template'!N22="","",[1]'1. Reporting template'!N22)</f>
        <v/>
      </c>
      <c r="O16" s="10">
        <f>IF([1]'1. Reporting template'!O22="","",[1]'1. Reporting template'!O22)</f>
        <v/>
      </c>
      <c r="P16" s="10">
        <f>IF([1]'1. Reporting template'!P22="","",[1]'1. Reporting template'!P22)</f>
        <v/>
      </c>
      <c r="Q16" s="10">
        <f>IF([1]'1. Reporting template'!Q22="","",[1]'1. Reporting template'!Q22)</f>
        <v/>
      </c>
      <c r="R16" s="10">
        <f>IF([1]'1. Reporting template'!R22="","",[1]'1. Reporting template'!R22)</f>
        <v/>
      </c>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10">
        <f>IF([1]'1. Reporting template'!L23="","",[1]'1. Reporting template'!L23)</f>
        <v/>
      </c>
      <c r="M17" s="10">
        <f>IF([1]'1. Reporting template'!M23="","",[1]'1. Reporting template'!M23)</f>
        <v/>
      </c>
      <c r="N17" s="10">
        <f>IF([1]'1. Reporting template'!N23="","",[1]'1. Reporting template'!N23)</f>
        <v/>
      </c>
      <c r="O17" s="10">
        <f>IF([1]'1. Reporting template'!O23="","",[1]'1. Reporting template'!O23)</f>
        <v/>
      </c>
      <c r="P17" s="10">
        <f>IF([1]'1. Reporting template'!P23="","",[1]'1. Reporting template'!P23)</f>
        <v/>
      </c>
      <c r="Q17" s="10">
        <f>IF([1]'1. Reporting template'!Q23="","",[1]'1. Reporting template'!Q23)</f>
        <v/>
      </c>
      <c r="R17" s="10">
        <f>IF([1]'1. Reporting template'!R23="","",[1]'1. Reporting template'!R23)</f>
        <v/>
      </c>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10">
        <f>IF([1]'1. Reporting template'!L24="","",[1]'1. Reporting template'!L24)</f>
        <v/>
      </c>
      <c r="M18" s="10">
        <f>IF([1]'1. Reporting template'!M24="","",[1]'1. Reporting template'!M24)</f>
        <v/>
      </c>
      <c r="N18" s="10">
        <f>IF([1]'1. Reporting template'!N24="","",[1]'1. Reporting template'!N24)</f>
        <v/>
      </c>
      <c r="O18" s="10">
        <f>IF([1]'1. Reporting template'!O24="","",[1]'1. Reporting template'!O24)</f>
        <v/>
      </c>
      <c r="P18" s="10">
        <f>IF([1]'1. Reporting template'!P24="","",[1]'1. Reporting template'!P24)</f>
        <v/>
      </c>
      <c r="Q18" s="10">
        <f>IF([1]'1. Reporting template'!Q24="","",[1]'1. Reporting template'!Q24)</f>
        <v/>
      </c>
      <c r="R18" s="10">
        <f>IF([1]'1. Reporting template'!R24="","",[1]'1. Reporting template'!R24)</f>
        <v/>
      </c>
    </row>
    <row r="19"/>
    <row r="21">
      <c r="B21" s="45" t="inlineStr">
        <is>
          <t>1.2  ARTS – Faculty of Arts</t>
        </is>
      </c>
    </row>
    <row r="23">
      <c r="C23" s="46" t="inlineStr">
        <is>
          <t>Sustainability 2030 target and indicator</t>
        </is>
      </c>
      <c r="H23" s="46" t="inlineStr">
        <is>
          <t>End-2025 reporting (click the ref to see your full SR25 response)</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Confirm end-2026 target status</t>
        </is>
      </c>
      <c r="M24" s="48" t="inlineStr">
        <is>
          <t>OPTION 1:  Target-level reporting (Column D)</t>
        </is>
      </c>
      <c r="N24" s="48" t="inlineStr">
        <is>
          <t>OPTION 2:  Indicator level reporting (Column E/F)</t>
        </is>
      </c>
      <c r="O24" s="48" t="inlineStr">
        <is>
          <t>Supporting information/comments</t>
        </is>
      </c>
      <c r="P24" s="48" t="inlineStr">
        <is>
          <t>Data source and limitations</t>
        </is>
      </c>
      <c r="Q24" s="48" t="inlineStr">
        <is>
          <t>Data owner confirms information is accurate</t>
        </is>
      </c>
      <c r="R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(Met or exceeded; partially met; not met; not yet started)</t>
        </is>
      </c>
      <c r="M25" s="49" t="inlineStr">
        <is>
          <t>Provide further evidence of target status assessment in the form of:
A general update on activities in relation to the overarching target (Column D)</t>
        </is>
      </c>
      <c r="N25" s="49" t="inlineStr">
        <is>
          <t>Provide further evidence of target status assessment in the form of:
Data and commentary in direct response to the reporting request (Column F)</t>
        </is>
      </c>
      <c r="O25" s="49" t="inlineStr">
        <is>
          <t>Provide any additional information to support the target status assessment (e.g. links, images, rationale for selection of target status)</t>
        </is>
      </c>
      <c r="P25" s="49" t="inlineStr">
        <is>
          <t>Where did this information come from (system, report, survey, person)? Note any gaps or limitations.</t>
        </is>
      </c>
      <c r="Q25" s="49" t="inlineStr">
        <is>
          <t>Select 'Yes' to confirm the information provided is accurate and can be used for reporting</t>
        </is>
      </c>
      <c r="R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5" t="inlineStr">
        <is>
          <t>1.3  FBE – Faculty of Business and Economics</t>
        </is>
      </c>
    </row>
    <row r="39">
      <c r="C39" s="46" t="inlineStr">
        <is>
          <t>Sustainability 2030 target and indicator</t>
        </is>
      </c>
      <c r="H39" s="46" t="inlineStr">
        <is>
          <t>End-2025 reporting (click the ref to see your full SR25 response)</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Confirm end-2026 target status</t>
        </is>
      </c>
      <c r="M40" s="48" t="inlineStr">
        <is>
          <t>OPTION 1:  Target-level reporting (Column D)</t>
        </is>
      </c>
      <c r="N40" s="48" t="inlineStr">
        <is>
          <t>OPTION 2:  Indicator level reporting (Column E/F)</t>
        </is>
      </c>
      <c r="O40" s="48" t="inlineStr">
        <is>
          <t>Supporting information/comments</t>
        </is>
      </c>
      <c r="P40" s="48" t="inlineStr">
        <is>
          <t>Data source and limitations</t>
        </is>
      </c>
      <c r="Q40" s="48" t="inlineStr">
        <is>
          <t>Data owner confirms information is accurate</t>
        </is>
      </c>
      <c r="R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(Met or exceeded; partially met; not met; not yet started)</t>
        </is>
      </c>
      <c r="M41" s="49" t="inlineStr">
        <is>
          <t>Provide further evidence of target status assessment in the form of:
A general update on activities in relation to the overarching target (Column D)</t>
        </is>
      </c>
      <c r="N41" s="49" t="inlineStr">
        <is>
          <t>Provide further evidence of target status assessment in the form of:
Data and commentary in direct response to the reporting request (Column F)</t>
        </is>
      </c>
      <c r="O41" s="49" t="inlineStr">
        <is>
          <t>Provide any additional information to support the target status assessment (e.g. links, images, rationale for selection of target status)</t>
        </is>
      </c>
      <c r="P41" s="49" t="inlineStr">
        <is>
          <t>Where did this information come from (system, report, survey, person)? Note any gaps or limitations.</t>
        </is>
      </c>
      <c r="Q41" s="49" t="inlineStr">
        <is>
          <t>Select 'Yes' to confirm the information provided is accurate and can be used for reporting</t>
        </is>
      </c>
      <c r="R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5" t="inlineStr">
        <is>
          <t>1.4  SCI – Faculty of Science</t>
        </is>
      </c>
    </row>
    <row r="55">
      <c r="C55" s="46" t="inlineStr">
        <is>
          <t>Sustainability 2030 target and indicator</t>
        </is>
      </c>
      <c r="H55" s="46" t="inlineStr">
        <is>
          <t>End-2025 reporting (click the ref to see your full SR25 response)</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Confirm end-2026 target status</t>
        </is>
      </c>
      <c r="M56" s="48" t="inlineStr">
        <is>
          <t>OPTION 1:  Target-level reporting (Column D)</t>
        </is>
      </c>
      <c r="N56" s="48" t="inlineStr">
        <is>
          <t>OPTION 2:  Indicator level reporting (Column E/F)</t>
        </is>
      </c>
      <c r="O56" s="48" t="inlineStr">
        <is>
          <t>Supporting information/comments</t>
        </is>
      </c>
      <c r="P56" s="48" t="inlineStr">
        <is>
          <t>Data source and limitations</t>
        </is>
      </c>
      <c r="Q56" s="48" t="inlineStr">
        <is>
          <t>Data owner confirms information is accurate</t>
        </is>
      </c>
      <c r="R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(Met or exceeded; partially met; not met; not yet started)</t>
        </is>
      </c>
      <c r="M57" s="49" t="inlineStr">
        <is>
          <t>Provide further evidence of target status assessment in the form of:
A general update on activities in relation to the overarching target (Column D)</t>
        </is>
      </c>
      <c r="N57" s="49" t="inlineStr">
        <is>
          <t>Provide further evidence of target status assessment in the form of:
Data and commentary in direct response to the reporting request (Column F)</t>
        </is>
      </c>
      <c r="O57" s="49" t="inlineStr">
        <is>
          <t>Provide any additional information to support the target status assessment (e.g. links, images, rationale for selection of target status)</t>
        </is>
      </c>
      <c r="P57" s="49" t="inlineStr">
        <is>
          <t>Where did this information come from (system, report, survey, person)? Note any gaps or limitations.</t>
        </is>
      </c>
      <c r="Q57" s="49" t="inlineStr">
        <is>
          <t>Select 'Yes' to confirm the information provided is accurate and can be used for reporting</t>
        </is>
      </c>
      <c r="R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12">
    <mergeCell ref="H55:K55"/>
    <mergeCell ref="C7:G7"/>
    <mergeCell ref="L23:R23"/>
    <mergeCell ref="L39:R39"/>
    <mergeCell ref="H39:K39"/>
    <mergeCell ref="L55:R55"/>
    <mergeCell ref="C55:G55"/>
    <mergeCell ref="L7:R7"/>
    <mergeCell ref="H7:K7"/>
    <mergeCell ref="C23:G23"/>
    <mergeCell ref="C39:G39"/>
    <mergeCell ref="H23:K23"/>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5" t="inlineStr">
        <is>
          <t>1.2  CI&amp;S – Sustainability Strategy (incl. CLLAP)</t>
        </is>
      </c>
    </row>
    <row r="19">
      <c r="C19" s="46" t="inlineStr">
        <is>
          <t>Sustainability 2030 target and indicator</t>
        </is>
      </c>
      <c r="H19" s="46" t="inlineStr">
        <is>
          <t>End-2025 reporting (click the ref to see your full SR25 response)</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Confirm end-2026 target status</t>
        </is>
      </c>
      <c r="M20" s="48" t="inlineStr">
        <is>
          <t>OPTION 1:  Target-level reporting (Column D)</t>
        </is>
      </c>
      <c r="N20" s="48" t="inlineStr">
        <is>
          <t>OPTION 2:  Indicator level reporting (Column E/F)</t>
        </is>
      </c>
      <c r="O20" s="48" t="inlineStr">
        <is>
          <t>Supporting information/comments</t>
        </is>
      </c>
      <c r="P20" s="48" t="inlineStr">
        <is>
          <t>Data source and limitations</t>
        </is>
      </c>
      <c r="Q20" s="48" t="inlineStr">
        <is>
          <t>Data owner confirms information is accurate</t>
        </is>
      </c>
      <c r="R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(Met or exceeded; partially met; not met; not yet started)</t>
        </is>
      </c>
      <c r="M21" s="49" t="inlineStr">
        <is>
          <t>Provide further evidence of target status assessment in the form of:
A general update on activities in relation to the overarching target (Column D)</t>
        </is>
      </c>
      <c r="N21" s="49" t="inlineStr">
        <is>
          <t>Provide further evidence of target status assessment in the form of:
Data and commentary in direct response to the reporting request (Column F)</t>
        </is>
      </c>
      <c r="O21" s="49" t="inlineStr">
        <is>
          <t>Provide any additional information to support the target status assessment (e.g. links, images, rationale for selection of target status)</t>
        </is>
      </c>
      <c r="P21" s="49" t="inlineStr">
        <is>
          <t>Where did this information come from (system, report, survey, person)? Note any gaps or limitations.</t>
        </is>
      </c>
      <c r="Q21" s="49" t="inlineStr">
        <is>
          <t>Select 'Yes' to confirm the information provided is accurate and can be used for reporting</t>
        </is>
      </c>
      <c r="R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5" t="inlineStr">
        <is>
          <t>1.2  CFOG – Treasury &amp; Investments</t>
        </is>
      </c>
    </row>
    <row r="20">
      <c r="C20" s="46" t="inlineStr">
        <is>
          <t>Sustainability 2030 target and indicator</t>
        </is>
      </c>
      <c r="H20" s="46" t="inlineStr">
        <is>
          <t>End-2025 reporting (click the ref to see your full SR25 response)</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Confirm end-2026 target status</t>
        </is>
      </c>
      <c r="M21" s="48" t="inlineStr">
        <is>
          <t>OPTION 1:  Target-level reporting (Column D)</t>
        </is>
      </c>
      <c r="N21" s="48" t="inlineStr">
        <is>
          <t>OPTION 2:  Indicator level reporting (Column E/F)</t>
        </is>
      </c>
      <c r="O21" s="48" t="inlineStr">
        <is>
          <t>Supporting information/comments</t>
        </is>
      </c>
      <c r="P21" s="48" t="inlineStr">
        <is>
          <t>Data source and limitations</t>
        </is>
      </c>
      <c r="Q21" s="48" t="inlineStr">
        <is>
          <t>Data owner confirms information is accurate</t>
        </is>
      </c>
      <c r="R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(Met or exceeded; partially met; not met; not yet started)</t>
        </is>
      </c>
      <c r="M22" s="49" t="inlineStr">
        <is>
          <t>Provide further evidence of target status assessment in the form of:
A general update on activities in relation to the overarching target (Column D)</t>
        </is>
      </c>
      <c r="N22" s="49" t="inlineStr">
        <is>
          <t>Provide further evidence of target status assessment in the form of:
Data and commentary in direct response to the reporting request (Column F)</t>
        </is>
      </c>
      <c r="O22" s="49" t="inlineStr">
        <is>
          <t>Provide any additional information to support the target status assessment (e.g. links, images, rationale for selection of target status)</t>
        </is>
      </c>
      <c r="P22" s="49" t="inlineStr">
        <is>
          <t>Where did this information come from (system, report, survey, person)? Note any gaps or limitations.</t>
        </is>
      </c>
      <c r="Q22" s="49" t="inlineStr">
        <is>
          <t>Select 'Yes' to confirm the information provided is accurate and can be used for reporting</t>
        </is>
      </c>
      <c r="R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3">
    <mergeCell ref="C7:G7"/>
    <mergeCell ref="L7:R7"/>
    <mergeCell ref="H7:K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End-2025 reporting (click the ref to see your full 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Confirm end-2026 target status</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3">
        <f>IF(AF11&gt;0,AE11/AF11,"No valid responses to date")</f>
        <v/>
      </c>
      <c r="AH11" s="10">
        <f>IF(ISNUMBER(AG11),INDEX(Lists!$G$2:$G$5,MATCH(ROUND(AG11,0),Lists!$H$2:$H$5,0)),"")</f>
        <v/>
      </c>
      <c r="AI11" s="54">
        <f>IF(AF11&gt;0,AD11/AF11,"")</f>
        <v/>
      </c>
      <c r="AJ11" s="54">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2">
        <f>IFERROR(IF(INDEX('Faculties'!$Q$10:$Q$19,MATCH($F16,'Faculties'!$B$10:$B$19,0))="","Cell will autofill based on response",INDEX('Faculties'!$Q$10:$Q$19,MATCH($F16,'Faculties'!$B$10:$B$19,0))),"N/A")</f>
        <v/>
      </c>
      <c r="I16" s="52">
        <f>IFERROR(IF(INDEX('Faculties'!$Q$26:$Q$35,MATCH($F16,'Faculties'!$B$26:$B$35,0))="","Cell will autofill based on response",INDEX('Faculties'!$Q$26:$Q$35,MATCH($F16,'Faculties'!$B$26:$B$35,0))),"N/A")</f>
        <v/>
      </c>
      <c r="J16" s="52">
        <f>IFERROR(IF(INDEX('Faculties'!$Q$42:$Q$51,MATCH($F16,'Faculties'!$B$42:$B$51,0))="","Cell will autofill based on response",INDEX('Faculties'!$Q$42:$Q$51,MATCH($F16,'Faculties'!$B$42:$B$51,0))),"N/A")</f>
        <v/>
      </c>
      <c r="K16" s="52">
        <f>IFERROR(IF(INDEX('Faculties'!$Q$58:$Q$67,MATCH($F16,'Faculties'!$B$58:$B$67,0))="","Cell will autofill based on response",INDEX('Faculties'!$Q$58:$Q$67,MATCH($F16,'Faculties'!$B$58:$B$67,0))),"N/A")</f>
        <v/>
      </c>
      <c r="L16" s="52">
        <f>IFERROR(IF(INDEX('CI&amp;S'!$Q$10:$Q$15,MATCH($F16,'CI&amp;S'!$B$10:$B$15,0))="","Cell will autofill based on response",INDEX('CI&amp;S'!$Q$10:$Q$15,MATCH($F16,'CI&amp;S'!$B$10:$B$15,0))),"N/A")</f>
        <v/>
      </c>
      <c r="M16" s="52">
        <f>IFERROR(IF(INDEX('CI&amp;S'!$Q$22:$Q$36,MATCH($F16,'CI&amp;S'!$B$22:$B$36,0))="","Cell will autofill based on response",INDEX('CI&amp;S'!$Q$22:$Q$36,MATCH($F16,'CI&amp;S'!$B$22:$B$36,0))),"N/A")</f>
        <v/>
      </c>
      <c r="N16" s="52">
        <f>IFERROR(IF(INDEX('CFOG'!$Q$10:$Q$16,MATCH($F16,'CFOG'!$B$10:$B$16,0))="","Cell will autofill based on response",INDEX('CFOG'!$Q$10:$Q$16,MATCH($F16,'CFOG'!$B$10:$B$16,0))),"N/A")</f>
        <v/>
      </c>
      <c r="O16" s="52">
        <f>IFERROR(IF(INDEX('CFOG'!$Q$23:$Q$24,MATCH($F16,'CFOG'!$B$23:$B$24,0))="","Cell will autofill based on response",INDEX('CFOG'!$Q$23:$Q$24,MATCH($F16,'CFOG'!$B$23:$B$24,0))),"N/A")</f>
        <v/>
      </c>
      <c r="P16" s="52">
        <f>IFERROR(IF(INDEX('ESG'!$Q$10:$Q$17,MATCH($F16,'ESG'!$B$10:$B$17,0))="","Cell will autofill based on response",INDEX('ESG'!$Q$10:$Q$17,MATCH($F16,'ESG'!$B$10:$B$17,0))),"N/A")</f>
        <v/>
      </c>
      <c r="Q16" s="52">
        <f>IFERROR(IF(INDEX('CIOG'!$Q$10:$Q$14,MATCH($F16,'CIOG'!$B$10:$B$14,0))="","Cell will autofill based on response",INDEX('CIOG'!$Q$10:$Q$14,MATCH($F16,'CIOG'!$B$10:$B$14,0))),"N/A")</f>
        <v/>
      </c>
      <c r="R16" s="52">
        <f>IFERROR(IF(INDEX('MRE'!$Q$10:$Q$18,MATCH($F16,'MRE'!$B$10:$B$18,0))="","Cell will autofill based on response",INDEX('MRE'!$Q$10:$Q$18,MATCH($F16,'MRE'!$B$10:$B$18,0))),"N/A")</f>
        <v/>
      </c>
      <c r="S16" s="52">
        <f>IFERROR(IF(INDEX('AC&amp;M'!$Q$10:$Q$14,MATCH($F16,'AC&amp;M'!$B$10:$B$14,0))="","Cell will autofill based on response",INDEX('AC&amp;M'!$Q$10:$Q$14,MATCH($F16,'AC&amp;M'!$B$10:$B$14,0))),"N/A")</f>
        <v/>
      </c>
      <c r="T16" s="52">
        <f>IFERROR(IF(INDEX('GCE'!$Q$10:$Q$12,MATCH($F16,'GCE'!$B$10:$B$12,0))="","Cell will autofill based on response",INDEX('GCE'!$Q$10:$Q$12,MATCH($F16,'GCE'!$B$10:$B$12,0))),"N/A")</f>
        <v/>
      </c>
      <c r="U16" s="52">
        <f>IFERROR(IF(INDEX('Education'!$Q$10:$Q$13,MATCH($F16,'Education'!$B$10:$B$13,0))="","Cell will autofill based on response",INDEX('Education'!$Q$10:$Q$13,MATCH($F16,'Education'!$B$10:$B$13,0))),"N/A")</f>
        <v/>
      </c>
      <c r="V16" s="52">
        <f>IFERROR(IF(INDEX('SaSS'!$Q$10:$Q$12,MATCH($F16,'SaSS'!$B$10:$B$12,0))="","Cell will autofill based on response",INDEX('SaSS'!$Q$10:$Q$12,MATCH($F16,'SaSS'!$B$10:$B$12,0))),"N/A")</f>
        <v/>
      </c>
      <c r="W16" s="52">
        <f>IFERROR(IF(INDEX('Indigenous'!$Q$10:$Q$11,MATCH($F16,'Indigenous'!$B$10:$B$11,0))="","Cell will autofill based on response",INDEX('Indigenous'!$Q$10:$Q$11,MATCH($F16,'Indigenous'!$B$10:$B$11,0))),"N/A")</f>
        <v/>
      </c>
      <c r="X16" s="52">
        <f>IFERROR(IF(INDEX('L&amp;R'!$Q$10:$Q$11,MATCH($F16,'L&amp;R'!$B$10:$B$11,0))="","Cell will autofill based on response",INDEX('L&amp;R'!$Q$10:$Q$11,MATCH($F16,'L&amp;R'!$B$10:$B$11,0))),"N/A")</f>
        <v/>
      </c>
    </row>
    <row r="17">
      <c r="A17">
        <f>F17&amp;"|"&amp;G17</f>
        <v/>
      </c>
      <c r="B17" s="7" t="inlineStr">
        <is>
          <t>EE1(b)</t>
        </is>
      </c>
      <c r="C17" s="50" t="inlineStr">
        <is>
          <t>Exceptional education</t>
        </is>
      </c>
      <c r="D17" s="50" t="inlineStr">
        <is>
          <t>Pilots of possible approaches for understanding and developing students’ sustainability self-efficacy</t>
        </is>
      </c>
      <c r="E17"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0" t="inlineStr">
        <is>
          <t>EE1(b)</t>
        </is>
      </c>
      <c r="G17" s="50" t="inlineStr">
        <is>
          <t>Confirm end-2026 target status</t>
        </is>
      </c>
      <c r="H17" s="52">
        <f>IFERROR(IF(INDEX('Faculties'!$L$10:$L$19,MATCH($F17,'Faculties'!$B$10:$B$19,0))="","Cell will autofill based on response",INDEX('Faculties'!$L$10:$L$19,MATCH($F17,'Faculties'!$B$10:$B$19,0))),"N/A")</f>
        <v/>
      </c>
      <c r="I17" s="52">
        <f>IFERROR(IF(INDEX('Faculties'!$L$26:$L$35,MATCH($F17,'Faculties'!$B$26:$B$35,0))="","Cell will autofill based on response",INDEX('Faculties'!$L$26:$L$35,MATCH($F17,'Faculties'!$B$26:$B$35,0))),"N/A")</f>
        <v/>
      </c>
      <c r="J17" s="52">
        <f>IFERROR(IF(INDEX('Faculties'!$L$42:$L$51,MATCH($F17,'Faculties'!$B$42:$B$51,0))="","Cell will autofill based on response",INDEX('Faculties'!$L$42:$L$51,MATCH($F17,'Faculties'!$B$42:$B$51,0))),"N/A")</f>
        <v/>
      </c>
      <c r="K17" s="52">
        <f>IFERROR(IF(INDEX('Faculties'!$L$58:$L$67,MATCH($F17,'Faculties'!$B$58:$B$67,0))="","Cell will autofill based on response",INDEX('Faculties'!$L$58:$L$67,MATCH($F17,'Faculties'!$B$58:$B$67,0))),"N/A")</f>
        <v/>
      </c>
      <c r="L17" s="52">
        <f>IFERROR(IF(INDEX('CI&amp;S'!$L$10:$L$15,MATCH($F17,'CI&amp;S'!$B$10:$B$15,0))="","Cell will autofill based on response",INDEX('CI&amp;S'!$L$10:$L$15,MATCH($F17,'CI&amp;S'!$B$10:$B$15,0))),"N/A")</f>
        <v/>
      </c>
      <c r="M17" s="52">
        <f>IFERROR(IF(INDEX('CI&amp;S'!$L$22:$L$36,MATCH($F17,'CI&amp;S'!$B$22:$B$36,0))="","Cell will autofill based on response",INDEX('CI&amp;S'!$L$22:$L$36,MATCH($F17,'CI&amp;S'!$B$22:$B$36,0))),"N/A")</f>
        <v/>
      </c>
      <c r="N17" s="52">
        <f>IFERROR(IF(INDEX('CFOG'!$L$10:$L$16,MATCH($F17,'CFOG'!$B$10:$B$16,0))="","Cell will autofill based on response",INDEX('CFOG'!$L$10:$L$16,MATCH($F17,'CFOG'!$B$10:$B$16,0))),"N/A")</f>
        <v/>
      </c>
      <c r="O17" s="52">
        <f>IFERROR(IF(INDEX('CFOG'!$L$23:$L$24,MATCH($F17,'CFOG'!$B$23:$B$24,0))="","Cell will autofill based on response",INDEX('CFOG'!$L$23:$L$24,MATCH($F17,'CFOG'!$B$23:$B$24,0))),"N/A")</f>
        <v/>
      </c>
      <c r="P17" s="52">
        <f>IFERROR(IF(INDEX('ESG'!$L$10:$L$17,MATCH($F17,'ESG'!$B$10:$B$17,0))="","Cell will autofill based on response",INDEX('ESG'!$L$10:$L$17,MATCH($F17,'ESG'!$B$10:$B$17,0))),"N/A")</f>
        <v/>
      </c>
      <c r="Q17" s="52">
        <f>IFERROR(IF(INDEX('CIOG'!$L$10:$L$14,MATCH($F17,'CIOG'!$B$10:$B$14,0))="","Cell will autofill based on response",INDEX('CIOG'!$L$10:$L$14,MATCH($F17,'CIOG'!$B$10:$B$14,0))),"N/A")</f>
        <v/>
      </c>
      <c r="R17" s="52">
        <f>IFERROR(IF(INDEX('MRE'!$L$10:$L$18,MATCH($F17,'MRE'!$B$10:$B$18,0))="","Cell will autofill based on response",INDEX('MRE'!$L$10:$L$18,MATCH($F17,'MRE'!$B$10:$B$18,0))),"N/A")</f>
        <v/>
      </c>
      <c r="S17" s="52">
        <f>IFERROR(IF(INDEX('AC&amp;M'!$L$10:$L$14,MATCH($F17,'AC&amp;M'!$B$10:$B$14,0))="","Cell will autofill based on response",INDEX('AC&amp;M'!$L$10:$L$14,MATCH($F17,'AC&amp;M'!$B$10:$B$14,0))),"N/A")</f>
        <v/>
      </c>
      <c r="T17" s="52">
        <f>IFERROR(IF(INDEX('GCE'!$L$10:$L$12,MATCH($F17,'GCE'!$B$10:$B$12,0))="","Cell will autofill based on response",INDEX('GCE'!$L$10:$L$12,MATCH($F17,'GCE'!$B$10:$B$12,0))),"N/A")</f>
        <v/>
      </c>
      <c r="U17" s="52">
        <f>IFERROR(IF(INDEX('Education'!$L$10:$L$13,MATCH($F17,'Education'!$B$10:$B$13,0))="","Cell will autofill based on response",INDEX('Education'!$L$10:$L$13,MATCH($F17,'Education'!$B$10:$B$13,0))),"N/A")</f>
        <v/>
      </c>
      <c r="V17" s="52">
        <f>IFERROR(IF(INDEX('SaSS'!$L$10:$L$12,MATCH($F17,'SaSS'!$B$10:$B$12,0))="","Cell will autofill based on response",INDEX('SaSS'!$L$10:$L$12,MATCH($F17,'SaSS'!$B$10:$B$12,0))),"N/A")</f>
        <v/>
      </c>
      <c r="W17" s="52">
        <f>IFERROR(IF(INDEX('Indigenous'!$L$10:$L$11,MATCH($F17,'Indigenous'!$B$10:$B$11,0))="","Cell will autofill based on response",INDEX('Indigenous'!$L$10:$L$11,MATCH($F17,'Indigenous'!$B$10:$B$11,0))),"N/A")</f>
        <v/>
      </c>
      <c r="X17" s="52">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3">
        <f>IF(AF17&gt;0,AE17/AF17,"No valid responses to date")</f>
        <v/>
      </c>
      <c r="AH17" s="10">
        <f>IF(ISNUMBER(AG17),INDEX(Lists!$G$2:$G$5,MATCH(ROUND(AG17,0),Lists!$H$2:$H$5,0)),"")</f>
        <v/>
      </c>
      <c r="AI17" s="54">
        <f>IF(AF17&gt;0,AD17/AF17,"")</f>
        <v/>
      </c>
      <c r="AJ17" s="54">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2">
        <f>IFERROR(IF(INDEX('Faculties'!$M$10:$M$19,MATCH($F18,'Faculties'!$B$10:$B$19,0))="","Cell will autofill based on response",INDEX('Faculties'!$M$10:$M$19,MATCH($F18,'Faculties'!$B$10:$B$19,0))),"N/A")</f>
        <v/>
      </c>
      <c r="I18" s="52">
        <f>IFERROR(IF(INDEX('Faculties'!$M$26:$M$35,MATCH($F18,'Faculties'!$B$26:$B$35,0))="","Cell will autofill based on response",INDEX('Faculties'!$M$26:$M$35,MATCH($F18,'Faculties'!$B$26:$B$35,0))),"N/A")</f>
        <v/>
      </c>
      <c r="J18" s="52">
        <f>IFERROR(IF(INDEX('Faculties'!$M$42:$M$51,MATCH($F18,'Faculties'!$B$42:$B$51,0))="","Cell will autofill based on response",INDEX('Faculties'!$M$42:$M$51,MATCH($F18,'Faculties'!$B$42:$B$51,0))),"N/A")</f>
        <v/>
      </c>
      <c r="K18" s="52">
        <f>IFERROR(IF(INDEX('Faculties'!$M$58:$M$67,MATCH($F18,'Faculties'!$B$58:$B$67,0))="","Cell will autofill based on response",INDEX('Faculties'!$M$58:$M$67,MATCH($F18,'Faculties'!$B$58:$B$67,0))),"N/A")</f>
        <v/>
      </c>
      <c r="L18" s="52">
        <f>IFERROR(IF(INDEX('CI&amp;S'!$M$10:$M$15,MATCH($F18,'CI&amp;S'!$B$10:$B$15,0))="","Cell will autofill based on response",INDEX('CI&amp;S'!$M$10:$M$15,MATCH($F18,'CI&amp;S'!$B$10:$B$15,0))),"N/A")</f>
        <v/>
      </c>
      <c r="M18" s="52">
        <f>IFERROR(IF(INDEX('CI&amp;S'!$M$22:$M$36,MATCH($F18,'CI&amp;S'!$B$22:$B$36,0))="","Cell will autofill based on response",INDEX('CI&amp;S'!$M$22:$M$36,MATCH($F18,'CI&amp;S'!$B$22:$B$36,0))),"N/A")</f>
        <v/>
      </c>
      <c r="N18" s="52">
        <f>IFERROR(IF(INDEX('CFOG'!$M$10:$M$16,MATCH($F18,'CFOG'!$B$10:$B$16,0))="","Cell will autofill based on response",INDEX('CFOG'!$M$10:$M$16,MATCH($F18,'CFOG'!$B$10:$B$16,0))),"N/A")</f>
        <v/>
      </c>
      <c r="O18" s="52">
        <f>IFERROR(IF(INDEX('CFOG'!$M$23:$M$24,MATCH($F18,'CFOG'!$B$23:$B$24,0))="","Cell will autofill based on response",INDEX('CFOG'!$M$23:$M$24,MATCH($F18,'CFOG'!$B$23:$B$24,0))),"N/A")</f>
        <v/>
      </c>
      <c r="P18" s="52">
        <f>IFERROR(IF(INDEX('ESG'!$M$10:$M$17,MATCH($F18,'ESG'!$B$10:$B$17,0))="","Cell will autofill based on response",INDEX('ESG'!$M$10:$M$17,MATCH($F18,'ESG'!$B$10:$B$17,0))),"N/A")</f>
        <v/>
      </c>
      <c r="Q18" s="52">
        <f>IFERROR(IF(INDEX('CIOG'!$M$10:$M$14,MATCH($F18,'CIOG'!$B$10:$B$14,0))="","Cell will autofill based on response",INDEX('CIOG'!$M$10:$M$14,MATCH($F18,'CIOG'!$B$10:$B$14,0))),"N/A")</f>
        <v/>
      </c>
      <c r="R18" s="52">
        <f>IFERROR(IF(INDEX('MRE'!$M$10:$M$18,MATCH($F18,'MRE'!$B$10:$B$18,0))="","Cell will autofill based on response",INDEX('MRE'!$M$10:$M$18,MATCH($F18,'MRE'!$B$10:$B$18,0))),"N/A")</f>
        <v/>
      </c>
      <c r="S18" s="52">
        <f>IFERROR(IF(INDEX('AC&amp;M'!$M$10:$M$14,MATCH($F18,'AC&amp;M'!$B$10:$B$14,0))="","Cell will autofill based on response",INDEX('AC&amp;M'!$M$10:$M$14,MATCH($F18,'AC&amp;M'!$B$10:$B$14,0))),"N/A")</f>
        <v/>
      </c>
      <c r="T18" s="52">
        <f>IFERROR(IF(INDEX('GCE'!$M$10:$M$12,MATCH($F18,'GCE'!$B$10:$B$12,0))="","Cell will autofill based on response",INDEX('GCE'!$M$10:$M$12,MATCH($F18,'GCE'!$B$10:$B$12,0))),"N/A")</f>
        <v/>
      </c>
      <c r="U18" s="52">
        <f>IFERROR(IF(INDEX('Education'!$M$10:$M$13,MATCH($F18,'Education'!$B$10:$B$13,0))="","Cell will autofill based on response",INDEX('Education'!$M$10:$M$13,MATCH($F18,'Education'!$B$10:$B$13,0))),"N/A")</f>
        <v/>
      </c>
      <c r="V18" s="52">
        <f>IFERROR(IF(INDEX('SaSS'!$M$10:$M$12,MATCH($F18,'SaSS'!$B$10:$B$12,0))="","Cell will autofill based on response",INDEX('SaSS'!$M$10:$M$12,MATCH($F18,'SaSS'!$B$10:$B$12,0))),"N/A")</f>
        <v/>
      </c>
      <c r="W18" s="52">
        <f>IFERROR(IF(INDEX('Indigenous'!$M$10:$M$11,MATCH($F18,'Indigenous'!$B$10:$B$11,0))="","Cell will autofill based on response",INDEX('Indigenous'!$M$10:$M$11,MATCH($F18,'Indigenous'!$B$10:$B$11,0))),"N/A")</f>
        <v/>
      </c>
      <c r="X18" s="52">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2">
        <f>IFERROR(IF(INDEX('Faculties'!$N$10:$N$19,MATCH($F19,'Faculties'!$B$10:$B$19,0))="","Cell will autofill based on response",INDEX('Faculties'!$N$10:$N$19,MATCH($F19,'Faculties'!$B$10:$B$19,0))),"N/A")</f>
        <v/>
      </c>
      <c r="I19" s="52">
        <f>IFERROR(IF(INDEX('Faculties'!$N$26:$N$35,MATCH($F19,'Faculties'!$B$26:$B$35,0))="","Cell will autofill based on response",INDEX('Faculties'!$N$26:$N$35,MATCH($F19,'Faculties'!$B$26:$B$35,0))),"N/A")</f>
        <v/>
      </c>
      <c r="J19" s="52">
        <f>IFERROR(IF(INDEX('Faculties'!$N$42:$N$51,MATCH($F19,'Faculties'!$B$42:$B$51,0))="","Cell will autofill based on response",INDEX('Faculties'!$N$42:$N$51,MATCH($F19,'Faculties'!$B$42:$B$51,0))),"N/A")</f>
        <v/>
      </c>
      <c r="K19" s="52">
        <f>IFERROR(IF(INDEX('Faculties'!$N$58:$N$67,MATCH($F19,'Faculties'!$B$58:$B$67,0))="","Cell will autofill based on response",INDEX('Faculties'!$N$58:$N$67,MATCH($F19,'Faculties'!$B$58:$B$67,0))),"N/A")</f>
        <v/>
      </c>
      <c r="L19" s="52">
        <f>IFERROR(IF(INDEX('CI&amp;S'!$N$10:$N$15,MATCH($F19,'CI&amp;S'!$B$10:$B$15,0))="","Cell will autofill based on response",INDEX('CI&amp;S'!$N$10:$N$15,MATCH($F19,'CI&amp;S'!$B$10:$B$15,0))),"N/A")</f>
        <v/>
      </c>
      <c r="M19" s="52">
        <f>IFERROR(IF(INDEX('CI&amp;S'!$N$22:$N$36,MATCH($F19,'CI&amp;S'!$B$22:$B$36,0))="","Cell will autofill based on response",INDEX('CI&amp;S'!$N$22:$N$36,MATCH($F19,'CI&amp;S'!$B$22:$B$36,0))),"N/A")</f>
        <v/>
      </c>
      <c r="N19" s="52">
        <f>IFERROR(IF(INDEX('CFOG'!$N$10:$N$16,MATCH($F19,'CFOG'!$B$10:$B$16,0))="","Cell will autofill based on response",INDEX('CFOG'!$N$10:$N$16,MATCH($F19,'CFOG'!$B$10:$B$16,0))),"N/A")</f>
        <v/>
      </c>
      <c r="O19" s="52">
        <f>IFERROR(IF(INDEX('CFOG'!$N$23:$N$24,MATCH($F19,'CFOG'!$B$23:$B$24,0))="","Cell will autofill based on response",INDEX('CFOG'!$N$23:$N$24,MATCH($F19,'CFOG'!$B$23:$B$24,0))),"N/A")</f>
        <v/>
      </c>
      <c r="P19" s="52">
        <f>IFERROR(IF(INDEX('ESG'!$N$10:$N$17,MATCH($F19,'ESG'!$B$10:$B$17,0))="","Cell will autofill based on response",INDEX('ESG'!$N$10:$N$17,MATCH($F19,'ESG'!$B$10:$B$17,0))),"N/A")</f>
        <v/>
      </c>
      <c r="Q19" s="52">
        <f>IFERROR(IF(INDEX('CIOG'!$N$10:$N$14,MATCH($F19,'CIOG'!$B$10:$B$14,0))="","Cell will autofill based on response",INDEX('CIOG'!$N$10:$N$14,MATCH($F19,'CIOG'!$B$10:$B$14,0))),"N/A")</f>
        <v/>
      </c>
      <c r="R19" s="52">
        <f>IFERROR(IF(INDEX('MRE'!$N$10:$N$18,MATCH($F19,'MRE'!$B$10:$B$18,0))="","Cell will autofill based on response",INDEX('MRE'!$N$10:$N$18,MATCH($F19,'MRE'!$B$10:$B$18,0))),"N/A")</f>
        <v/>
      </c>
      <c r="S19" s="52">
        <f>IFERROR(IF(INDEX('AC&amp;M'!$N$10:$N$14,MATCH($F19,'AC&amp;M'!$B$10:$B$14,0))="","Cell will autofill based on response",INDEX('AC&amp;M'!$N$10:$N$14,MATCH($F19,'AC&amp;M'!$B$10:$B$14,0))),"N/A")</f>
        <v/>
      </c>
      <c r="T19" s="52">
        <f>IFERROR(IF(INDEX('GCE'!$N$10:$N$12,MATCH($F19,'GCE'!$B$10:$B$12,0))="","Cell will autofill based on response",INDEX('GCE'!$N$10:$N$12,MATCH($F19,'GCE'!$B$10:$B$12,0))),"N/A")</f>
        <v/>
      </c>
      <c r="U19" s="52">
        <f>IFERROR(IF(INDEX('Education'!$N$10:$N$13,MATCH($F19,'Education'!$B$10:$B$13,0))="","Cell will autofill based on response",INDEX('Education'!$N$10:$N$13,MATCH($F19,'Education'!$B$10:$B$13,0))),"N/A")</f>
        <v/>
      </c>
      <c r="V19" s="52">
        <f>IFERROR(IF(INDEX('SaSS'!$N$10:$N$12,MATCH($F19,'SaSS'!$B$10:$B$12,0))="","Cell will autofill based on response",INDEX('SaSS'!$N$10:$N$12,MATCH($F19,'SaSS'!$B$10:$B$12,0))),"N/A")</f>
        <v/>
      </c>
      <c r="W19" s="52">
        <f>IFERROR(IF(INDEX('Indigenous'!$N$10:$N$11,MATCH($F19,'Indigenous'!$B$10:$B$11,0))="","Cell will autofill based on response",INDEX('Indigenous'!$N$10:$N$11,MATCH($F19,'Indigenous'!$B$10:$B$11,0))),"N/A")</f>
        <v/>
      </c>
      <c r="X19" s="52">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2">
        <f>IFERROR(IF(INDEX('Faculties'!$O$10:$O$19,MATCH($F20,'Faculties'!$B$10:$B$19,0))="","Cell will autofill based on response",INDEX('Faculties'!$O$10:$O$19,MATCH($F20,'Faculties'!$B$10:$B$19,0))),"N/A")</f>
        <v/>
      </c>
      <c r="I20" s="52">
        <f>IFERROR(IF(INDEX('Faculties'!$O$26:$O$35,MATCH($F20,'Faculties'!$B$26:$B$35,0))="","Cell will autofill based on response",INDEX('Faculties'!$O$26:$O$35,MATCH($F20,'Faculties'!$B$26:$B$35,0))),"N/A")</f>
        <v/>
      </c>
      <c r="J20" s="52">
        <f>IFERROR(IF(INDEX('Faculties'!$O$42:$O$51,MATCH($F20,'Faculties'!$B$42:$B$51,0))="","Cell will autofill based on response",INDEX('Faculties'!$O$42:$O$51,MATCH($F20,'Faculties'!$B$42:$B$51,0))),"N/A")</f>
        <v/>
      </c>
      <c r="K20" s="52">
        <f>IFERROR(IF(INDEX('Faculties'!$O$58:$O$67,MATCH($F20,'Faculties'!$B$58:$B$67,0))="","Cell will autofill based on response",INDEX('Faculties'!$O$58:$O$67,MATCH($F20,'Faculties'!$B$58:$B$67,0))),"N/A")</f>
        <v/>
      </c>
      <c r="L20" s="52">
        <f>IFERROR(IF(INDEX('CI&amp;S'!$O$10:$O$15,MATCH($F20,'CI&amp;S'!$B$10:$B$15,0))="","Cell will autofill based on response",INDEX('CI&amp;S'!$O$10:$O$15,MATCH($F20,'CI&amp;S'!$B$10:$B$15,0))),"N/A")</f>
        <v/>
      </c>
      <c r="M20" s="52">
        <f>IFERROR(IF(INDEX('CI&amp;S'!$O$22:$O$36,MATCH($F20,'CI&amp;S'!$B$22:$B$36,0))="","Cell will autofill based on response",INDEX('CI&amp;S'!$O$22:$O$36,MATCH($F20,'CI&amp;S'!$B$22:$B$36,0))),"N/A")</f>
        <v/>
      </c>
      <c r="N20" s="52">
        <f>IFERROR(IF(INDEX('CFOG'!$O$10:$O$16,MATCH($F20,'CFOG'!$B$10:$B$16,0))="","Cell will autofill based on response",INDEX('CFOG'!$O$10:$O$16,MATCH($F20,'CFOG'!$B$10:$B$16,0))),"N/A")</f>
        <v/>
      </c>
      <c r="O20" s="52">
        <f>IFERROR(IF(INDEX('CFOG'!$O$23:$O$24,MATCH($F20,'CFOG'!$B$23:$B$24,0))="","Cell will autofill based on response",INDEX('CFOG'!$O$23:$O$24,MATCH($F20,'CFOG'!$B$23:$B$24,0))),"N/A")</f>
        <v/>
      </c>
      <c r="P20" s="52">
        <f>IFERROR(IF(INDEX('ESG'!$O$10:$O$17,MATCH($F20,'ESG'!$B$10:$B$17,0))="","Cell will autofill based on response",INDEX('ESG'!$O$10:$O$17,MATCH($F20,'ESG'!$B$10:$B$17,0))),"N/A")</f>
        <v/>
      </c>
      <c r="Q20" s="52">
        <f>IFERROR(IF(INDEX('CIOG'!$O$10:$O$14,MATCH($F20,'CIOG'!$B$10:$B$14,0))="","Cell will autofill based on response",INDEX('CIOG'!$O$10:$O$14,MATCH($F20,'CIOG'!$B$10:$B$14,0))),"N/A")</f>
        <v/>
      </c>
      <c r="R20" s="52">
        <f>IFERROR(IF(INDEX('MRE'!$O$10:$O$18,MATCH($F20,'MRE'!$B$10:$B$18,0))="","Cell will autofill based on response",INDEX('MRE'!$O$10:$O$18,MATCH($F20,'MRE'!$B$10:$B$18,0))),"N/A")</f>
        <v/>
      </c>
      <c r="S20" s="52">
        <f>IFERROR(IF(INDEX('AC&amp;M'!$O$10:$O$14,MATCH($F20,'AC&amp;M'!$B$10:$B$14,0))="","Cell will autofill based on response",INDEX('AC&amp;M'!$O$10:$O$14,MATCH($F20,'AC&amp;M'!$B$10:$B$14,0))),"N/A")</f>
        <v/>
      </c>
      <c r="T20" s="52">
        <f>IFERROR(IF(INDEX('GCE'!$O$10:$O$12,MATCH($F20,'GCE'!$B$10:$B$12,0))="","Cell will autofill based on response",INDEX('GCE'!$O$10:$O$12,MATCH($F20,'GCE'!$B$10:$B$12,0))),"N/A")</f>
        <v/>
      </c>
      <c r="U20" s="52">
        <f>IFERROR(IF(INDEX('Education'!$O$10:$O$13,MATCH($F20,'Education'!$B$10:$B$13,0))="","Cell will autofill based on response",INDEX('Education'!$O$10:$O$13,MATCH($F20,'Education'!$B$10:$B$13,0))),"N/A")</f>
        <v/>
      </c>
      <c r="V20" s="52">
        <f>IFERROR(IF(INDEX('SaSS'!$O$10:$O$12,MATCH($F20,'SaSS'!$B$10:$B$12,0))="","Cell will autofill based on response",INDEX('SaSS'!$O$10:$O$12,MATCH($F20,'SaSS'!$B$10:$B$12,0))),"N/A")</f>
        <v/>
      </c>
      <c r="W20" s="52">
        <f>IFERROR(IF(INDEX('Indigenous'!$O$10:$O$11,MATCH($F20,'Indigenous'!$B$10:$B$11,0))="","Cell will autofill based on response",INDEX('Indigenous'!$O$10:$O$11,MATCH($F20,'Indigenous'!$B$10:$B$11,0))),"N/A")</f>
        <v/>
      </c>
      <c r="X20" s="52">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2">
        <f>IFERROR(IF(INDEX('Faculties'!$P$10:$P$19,MATCH($F21,'Faculties'!$B$10:$B$19,0))="","Cell will autofill based on response",INDEX('Faculties'!$P$10:$P$19,MATCH($F21,'Faculties'!$B$10:$B$19,0))),"N/A")</f>
        <v/>
      </c>
      <c r="I21" s="52">
        <f>IFERROR(IF(INDEX('Faculties'!$P$26:$P$35,MATCH($F21,'Faculties'!$B$26:$B$35,0))="","Cell will autofill based on response",INDEX('Faculties'!$P$26:$P$35,MATCH($F21,'Faculties'!$B$26:$B$35,0))),"N/A")</f>
        <v/>
      </c>
      <c r="J21" s="52">
        <f>IFERROR(IF(INDEX('Faculties'!$P$42:$P$51,MATCH($F21,'Faculties'!$B$42:$B$51,0))="","Cell will autofill based on response",INDEX('Faculties'!$P$42:$P$51,MATCH($F21,'Faculties'!$B$42:$B$51,0))),"N/A")</f>
        <v/>
      </c>
      <c r="K21" s="52">
        <f>IFERROR(IF(INDEX('Faculties'!$P$58:$P$67,MATCH($F21,'Faculties'!$B$58:$B$67,0))="","Cell will autofill based on response",INDEX('Faculties'!$P$58:$P$67,MATCH($F21,'Faculties'!$B$58:$B$67,0))),"N/A")</f>
        <v/>
      </c>
      <c r="L21" s="52">
        <f>IFERROR(IF(INDEX('CI&amp;S'!$P$10:$P$15,MATCH($F21,'CI&amp;S'!$B$10:$B$15,0))="","Cell will autofill based on response",INDEX('CI&amp;S'!$P$10:$P$15,MATCH($F21,'CI&amp;S'!$B$10:$B$15,0))),"N/A")</f>
        <v/>
      </c>
      <c r="M21" s="52">
        <f>IFERROR(IF(INDEX('CI&amp;S'!$P$22:$P$36,MATCH($F21,'CI&amp;S'!$B$22:$B$36,0))="","Cell will autofill based on response",INDEX('CI&amp;S'!$P$22:$P$36,MATCH($F21,'CI&amp;S'!$B$22:$B$36,0))),"N/A")</f>
        <v/>
      </c>
      <c r="N21" s="52">
        <f>IFERROR(IF(INDEX('CFOG'!$P$10:$P$16,MATCH($F21,'CFOG'!$B$10:$B$16,0))="","Cell will autofill based on response",INDEX('CFOG'!$P$10:$P$16,MATCH($F21,'CFOG'!$B$10:$B$16,0))),"N/A")</f>
        <v/>
      </c>
      <c r="O21" s="52">
        <f>IFERROR(IF(INDEX('CFOG'!$P$23:$P$24,MATCH($F21,'CFOG'!$B$23:$B$24,0))="","Cell will autofill based on response",INDEX('CFOG'!$P$23:$P$24,MATCH($F21,'CFOG'!$B$23:$B$24,0))),"N/A")</f>
        <v/>
      </c>
      <c r="P21" s="52">
        <f>IFERROR(IF(INDEX('ESG'!$P$10:$P$17,MATCH($F21,'ESG'!$B$10:$B$17,0))="","Cell will autofill based on response",INDEX('ESG'!$P$10:$P$17,MATCH($F21,'ESG'!$B$10:$B$17,0))),"N/A")</f>
        <v/>
      </c>
      <c r="Q21" s="52">
        <f>IFERROR(IF(INDEX('CIOG'!$P$10:$P$14,MATCH($F21,'CIOG'!$B$10:$B$14,0))="","Cell will autofill based on response",INDEX('CIOG'!$P$10:$P$14,MATCH($F21,'CIOG'!$B$10:$B$14,0))),"N/A")</f>
        <v/>
      </c>
      <c r="R21" s="52">
        <f>IFERROR(IF(INDEX('MRE'!$P$10:$P$18,MATCH($F21,'MRE'!$B$10:$B$18,0))="","Cell will autofill based on response",INDEX('MRE'!$P$10:$P$18,MATCH($F21,'MRE'!$B$10:$B$18,0))),"N/A")</f>
        <v/>
      </c>
      <c r="S21" s="52">
        <f>IFERROR(IF(INDEX('AC&amp;M'!$P$10:$P$14,MATCH($F21,'AC&amp;M'!$B$10:$B$14,0))="","Cell will autofill based on response",INDEX('AC&amp;M'!$P$10:$P$14,MATCH($F21,'AC&amp;M'!$B$10:$B$14,0))),"N/A")</f>
        <v/>
      </c>
      <c r="T21" s="52">
        <f>IFERROR(IF(INDEX('GCE'!$P$10:$P$12,MATCH($F21,'GCE'!$B$10:$B$12,0))="","Cell will autofill based on response",INDEX('GCE'!$P$10:$P$12,MATCH($F21,'GCE'!$B$10:$B$12,0))),"N/A")</f>
        <v/>
      </c>
      <c r="U21" s="52">
        <f>IFERROR(IF(INDEX('Education'!$P$10:$P$13,MATCH($F21,'Education'!$B$10:$B$13,0))="","Cell will autofill based on response",INDEX('Education'!$P$10:$P$13,MATCH($F21,'Education'!$B$10:$B$13,0))),"N/A")</f>
        <v/>
      </c>
      <c r="V21" s="52">
        <f>IFERROR(IF(INDEX('SaSS'!$P$10:$P$12,MATCH($F21,'SaSS'!$B$10:$B$12,0))="","Cell will autofill based on response",INDEX('SaSS'!$P$10:$P$12,MATCH($F21,'SaSS'!$B$10:$B$12,0))),"N/A")</f>
        <v/>
      </c>
      <c r="W21" s="52">
        <f>IFERROR(IF(INDEX('Indigenous'!$P$10:$P$11,MATCH($F21,'Indigenous'!$B$10:$B$11,0))="","Cell will autofill based on response",INDEX('Indigenous'!$P$10:$P$11,MATCH($F21,'Indigenous'!$B$10:$B$11,0))),"N/A")</f>
        <v/>
      </c>
      <c r="X21" s="52">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2">
        <f>IFERROR(IF(INDEX('Faculties'!$Q$10:$Q$19,MATCH($F22,'Faculties'!$B$10:$B$19,0))="","Cell will autofill based on response",INDEX('Faculties'!$Q$10:$Q$19,MATCH($F22,'Faculties'!$B$10:$B$19,0))),"N/A")</f>
        <v/>
      </c>
      <c r="I22" s="52">
        <f>IFERROR(IF(INDEX('Faculties'!$Q$26:$Q$35,MATCH($F22,'Faculties'!$B$26:$B$35,0))="","Cell will autofill based on response",INDEX('Faculties'!$Q$26:$Q$35,MATCH($F22,'Faculties'!$B$26:$B$35,0))),"N/A")</f>
        <v/>
      </c>
      <c r="J22" s="52">
        <f>IFERROR(IF(INDEX('Faculties'!$Q$42:$Q$51,MATCH($F22,'Faculties'!$B$42:$B$51,0))="","Cell will autofill based on response",INDEX('Faculties'!$Q$42:$Q$51,MATCH($F22,'Faculties'!$B$42:$B$51,0))),"N/A")</f>
        <v/>
      </c>
      <c r="K22" s="52">
        <f>IFERROR(IF(INDEX('Faculties'!$Q$58:$Q$67,MATCH($F22,'Faculties'!$B$58:$B$67,0))="","Cell will autofill based on response",INDEX('Faculties'!$Q$58:$Q$67,MATCH($F22,'Faculties'!$B$58:$B$67,0))),"N/A")</f>
        <v/>
      </c>
      <c r="L22" s="52">
        <f>IFERROR(IF(INDEX('CI&amp;S'!$Q$10:$Q$15,MATCH($F22,'CI&amp;S'!$B$10:$B$15,0))="","Cell will autofill based on response",INDEX('CI&amp;S'!$Q$10:$Q$15,MATCH($F22,'CI&amp;S'!$B$10:$B$15,0))),"N/A")</f>
        <v/>
      </c>
      <c r="M22" s="52">
        <f>IFERROR(IF(INDEX('CI&amp;S'!$Q$22:$Q$36,MATCH($F22,'CI&amp;S'!$B$22:$B$36,0))="","Cell will autofill based on response",INDEX('CI&amp;S'!$Q$22:$Q$36,MATCH($F22,'CI&amp;S'!$B$22:$B$36,0))),"N/A")</f>
        <v/>
      </c>
      <c r="N22" s="52">
        <f>IFERROR(IF(INDEX('CFOG'!$Q$10:$Q$16,MATCH($F22,'CFOG'!$B$10:$B$16,0))="","Cell will autofill based on response",INDEX('CFOG'!$Q$10:$Q$16,MATCH($F22,'CFOG'!$B$10:$B$16,0))),"N/A")</f>
        <v/>
      </c>
      <c r="O22" s="52">
        <f>IFERROR(IF(INDEX('CFOG'!$Q$23:$Q$24,MATCH($F22,'CFOG'!$B$23:$B$24,0))="","Cell will autofill based on response",INDEX('CFOG'!$Q$23:$Q$24,MATCH($F22,'CFOG'!$B$23:$B$24,0))),"N/A")</f>
        <v/>
      </c>
      <c r="P22" s="52">
        <f>IFERROR(IF(INDEX('ESG'!$Q$10:$Q$17,MATCH($F22,'ESG'!$B$10:$B$17,0))="","Cell will autofill based on response",INDEX('ESG'!$Q$10:$Q$17,MATCH($F22,'ESG'!$B$10:$B$17,0))),"N/A")</f>
        <v/>
      </c>
      <c r="Q22" s="52">
        <f>IFERROR(IF(INDEX('CIOG'!$Q$10:$Q$14,MATCH($F22,'CIOG'!$B$10:$B$14,0))="","Cell will autofill based on response",INDEX('CIOG'!$Q$10:$Q$14,MATCH($F22,'CIOG'!$B$10:$B$14,0))),"N/A")</f>
        <v/>
      </c>
      <c r="R22" s="52">
        <f>IFERROR(IF(INDEX('MRE'!$Q$10:$Q$18,MATCH($F22,'MRE'!$B$10:$B$18,0))="","Cell will autofill based on response",INDEX('MRE'!$Q$10:$Q$18,MATCH($F22,'MRE'!$B$10:$B$18,0))),"N/A")</f>
        <v/>
      </c>
      <c r="S22" s="52">
        <f>IFERROR(IF(INDEX('AC&amp;M'!$Q$10:$Q$14,MATCH($F22,'AC&amp;M'!$B$10:$B$14,0))="","Cell will autofill based on response",INDEX('AC&amp;M'!$Q$10:$Q$14,MATCH($F22,'AC&amp;M'!$B$10:$B$14,0))),"N/A")</f>
        <v/>
      </c>
      <c r="T22" s="52">
        <f>IFERROR(IF(INDEX('GCE'!$Q$10:$Q$12,MATCH($F22,'GCE'!$B$10:$B$12,0))="","Cell will autofill based on response",INDEX('GCE'!$Q$10:$Q$12,MATCH($F22,'GCE'!$B$10:$B$12,0))),"N/A")</f>
        <v/>
      </c>
      <c r="U22" s="52">
        <f>IFERROR(IF(INDEX('Education'!$Q$10:$Q$13,MATCH($F22,'Education'!$B$10:$B$13,0))="","Cell will autofill based on response",INDEX('Education'!$Q$10:$Q$13,MATCH($F22,'Education'!$B$10:$B$13,0))),"N/A")</f>
        <v/>
      </c>
      <c r="V22" s="52">
        <f>IFERROR(IF(INDEX('SaSS'!$Q$10:$Q$12,MATCH($F22,'SaSS'!$B$10:$B$12,0))="","Cell will autofill based on response",INDEX('SaSS'!$Q$10:$Q$12,MATCH($F22,'SaSS'!$B$10:$B$12,0))),"N/A")</f>
        <v/>
      </c>
      <c r="W22" s="52">
        <f>IFERROR(IF(INDEX('Indigenous'!$Q$10:$Q$11,MATCH($F22,'Indigenous'!$B$10:$B$11,0))="","Cell will autofill based on response",INDEX('Indigenous'!$Q$10:$Q$11,MATCH($F22,'Indigenous'!$B$10:$B$11,0))),"N/A")</f>
        <v/>
      </c>
      <c r="X22" s="52">
        <f>IFERROR(IF(INDEX('L&amp;R'!$Q$10:$Q$11,MATCH($F22,'L&amp;R'!$B$10:$B$11,0))="","Cell will autofill based on response",INDEX('L&amp;R'!$Q$10:$Q$11,MATCH($F22,'L&amp;R'!$B$10:$B$11,0))),"N/A")</f>
        <v/>
      </c>
    </row>
    <row r="23">
      <c r="A23">
        <f>F23&amp;"|"&amp;G23</f>
        <v/>
      </c>
      <c r="B23" s="7" t="inlineStr">
        <is>
          <t>EE1(c)</t>
        </is>
      </c>
      <c r="C23" s="50" t="inlineStr">
        <is>
          <t>Exceptional education</t>
        </is>
      </c>
      <c r="D23" s="50" t="inlineStr">
        <is>
          <t>Evidence of sustainability focused experiential and co curricular learning (eg Wattle Fellowship; Melbourne Plus)</t>
        </is>
      </c>
      <c r="E23"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0" t="inlineStr">
        <is>
          <t>EE1(c)</t>
        </is>
      </c>
      <c r="G23" s="50" t="inlineStr">
        <is>
          <t>Confirm end-2026 target status</t>
        </is>
      </c>
      <c r="H23" s="52">
        <f>IFERROR(IF(INDEX('Faculties'!$L$10:$L$19,MATCH($F23,'Faculties'!$B$10:$B$19,0))="","Cell will autofill based on response",INDEX('Faculties'!$L$10:$L$19,MATCH($F23,'Faculties'!$B$10:$B$19,0))),"N/A")</f>
        <v/>
      </c>
      <c r="I23" s="52">
        <f>IFERROR(IF(INDEX('Faculties'!$L$26:$L$35,MATCH($F23,'Faculties'!$B$26:$B$35,0))="","Cell will autofill based on response",INDEX('Faculties'!$L$26:$L$35,MATCH($F23,'Faculties'!$B$26:$B$35,0))),"N/A")</f>
        <v/>
      </c>
      <c r="J23" s="52">
        <f>IFERROR(IF(INDEX('Faculties'!$L$42:$L$51,MATCH($F23,'Faculties'!$B$42:$B$51,0))="","Cell will autofill based on response",INDEX('Faculties'!$L$42:$L$51,MATCH($F23,'Faculties'!$B$42:$B$51,0))),"N/A")</f>
        <v/>
      </c>
      <c r="K23" s="52">
        <f>IFERROR(IF(INDEX('Faculties'!$L$58:$L$67,MATCH($F23,'Faculties'!$B$58:$B$67,0))="","Cell will autofill based on response",INDEX('Faculties'!$L$58:$L$67,MATCH($F23,'Faculties'!$B$58:$B$67,0))),"N/A")</f>
        <v/>
      </c>
      <c r="L23" s="52">
        <f>IFERROR(IF(INDEX('CI&amp;S'!$L$10:$L$15,MATCH($F23,'CI&amp;S'!$B$10:$B$15,0))="","Cell will autofill based on response",INDEX('CI&amp;S'!$L$10:$L$15,MATCH($F23,'CI&amp;S'!$B$10:$B$15,0))),"N/A")</f>
        <v/>
      </c>
      <c r="M23" s="52">
        <f>IFERROR(IF(INDEX('CI&amp;S'!$L$22:$L$36,MATCH($F23,'CI&amp;S'!$B$22:$B$36,0))="","Cell will autofill based on response",INDEX('CI&amp;S'!$L$22:$L$36,MATCH($F23,'CI&amp;S'!$B$22:$B$36,0))),"N/A")</f>
        <v/>
      </c>
      <c r="N23" s="52">
        <f>IFERROR(IF(INDEX('CFOG'!$L$10:$L$16,MATCH($F23,'CFOG'!$B$10:$B$16,0))="","Cell will autofill based on response",INDEX('CFOG'!$L$10:$L$16,MATCH($F23,'CFOG'!$B$10:$B$16,0))),"N/A")</f>
        <v/>
      </c>
      <c r="O23" s="52">
        <f>IFERROR(IF(INDEX('CFOG'!$L$23:$L$24,MATCH($F23,'CFOG'!$B$23:$B$24,0))="","Cell will autofill based on response",INDEX('CFOG'!$L$23:$L$24,MATCH($F23,'CFOG'!$B$23:$B$24,0))),"N/A")</f>
        <v/>
      </c>
      <c r="P23" s="52">
        <f>IFERROR(IF(INDEX('ESG'!$L$10:$L$17,MATCH($F23,'ESG'!$B$10:$B$17,0))="","Cell will autofill based on response",INDEX('ESG'!$L$10:$L$17,MATCH($F23,'ESG'!$B$10:$B$17,0))),"N/A")</f>
        <v/>
      </c>
      <c r="Q23" s="52">
        <f>IFERROR(IF(INDEX('CIOG'!$L$10:$L$14,MATCH($F23,'CIOG'!$B$10:$B$14,0))="","Cell will autofill based on response",INDEX('CIOG'!$L$10:$L$14,MATCH($F23,'CIOG'!$B$10:$B$14,0))),"N/A")</f>
        <v/>
      </c>
      <c r="R23" s="52">
        <f>IFERROR(IF(INDEX('MRE'!$L$10:$L$18,MATCH($F23,'MRE'!$B$10:$B$18,0))="","Cell will autofill based on response",INDEX('MRE'!$L$10:$L$18,MATCH($F23,'MRE'!$B$10:$B$18,0))),"N/A")</f>
        <v/>
      </c>
      <c r="S23" s="52">
        <f>IFERROR(IF(INDEX('AC&amp;M'!$L$10:$L$14,MATCH($F23,'AC&amp;M'!$B$10:$B$14,0))="","Cell will autofill based on response",INDEX('AC&amp;M'!$L$10:$L$14,MATCH($F23,'AC&amp;M'!$B$10:$B$14,0))),"N/A")</f>
        <v/>
      </c>
      <c r="T23" s="52">
        <f>IFERROR(IF(INDEX('GCE'!$L$10:$L$12,MATCH($F23,'GCE'!$B$10:$B$12,0))="","Cell will autofill based on response",INDEX('GCE'!$L$10:$L$12,MATCH($F23,'GCE'!$B$10:$B$12,0))),"N/A")</f>
        <v/>
      </c>
      <c r="U23" s="52">
        <f>IFERROR(IF(INDEX('Education'!$L$10:$L$13,MATCH($F23,'Education'!$B$10:$B$13,0))="","Cell will autofill based on response",INDEX('Education'!$L$10:$L$13,MATCH($F23,'Education'!$B$10:$B$13,0))),"N/A")</f>
        <v/>
      </c>
      <c r="V23" s="52">
        <f>IFERROR(IF(INDEX('SaSS'!$L$10:$L$12,MATCH($F23,'SaSS'!$B$10:$B$12,0))="","Cell will autofill based on response",INDEX('SaSS'!$L$10:$L$12,MATCH($F23,'SaSS'!$B$10:$B$12,0))),"N/A")</f>
        <v/>
      </c>
      <c r="W23" s="52">
        <f>IFERROR(IF(INDEX('Indigenous'!$L$10:$L$11,MATCH($F23,'Indigenous'!$B$10:$B$11,0))="","Cell will autofill based on response",INDEX('Indigenous'!$L$10:$L$11,MATCH($F23,'Indigenous'!$B$10:$B$11,0))),"N/A")</f>
        <v/>
      </c>
      <c r="X23" s="52">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3">
        <f>IF(AF23&gt;0,AE23/AF23,"No valid responses to date")</f>
        <v/>
      </c>
      <c r="AH23" s="10">
        <f>IF(ISNUMBER(AG23),INDEX(Lists!$G$2:$G$5,MATCH(ROUND(AG23,0),Lists!$H$2:$H$5,0)),"")</f>
        <v/>
      </c>
      <c r="AI23" s="54">
        <f>IF(AF23&gt;0,AD23/AF23,"")</f>
        <v/>
      </c>
      <c r="AJ23" s="54">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2">
        <f>IFERROR(IF(INDEX('Faculties'!$M$10:$M$19,MATCH($F24,'Faculties'!$B$10:$B$19,0))="","Cell will autofill based on response",INDEX('Faculties'!$M$10:$M$19,MATCH($F24,'Faculties'!$B$10:$B$19,0))),"N/A")</f>
        <v/>
      </c>
      <c r="I24" s="52">
        <f>IFERROR(IF(INDEX('Faculties'!$M$26:$M$35,MATCH($F24,'Faculties'!$B$26:$B$35,0))="","Cell will autofill based on response",INDEX('Faculties'!$M$26:$M$35,MATCH($F24,'Faculties'!$B$26:$B$35,0))),"N/A")</f>
        <v/>
      </c>
      <c r="J24" s="52">
        <f>IFERROR(IF(INDEX('Faculties'!$M$42:$M$51,MATCH($F24,'Faculties'!$B$42:$B$51,0))="","Cell will autofill based on response",INDEX('Faculties'!$M$42:$M$51,MATCH($F24,'Faculties'!$B$42:$B$51,0))),"N/A")</f>
        <v/>
      </c>
      <c r="K24" s="52">
        <f>IFERROR(IF(INDEX('Faculties'!$M$58:$M$67,MATCH($F24,'Faculties'!$B$58:$B$67,0))="","Cell will autofill based on response",INDEX('Faculties'!$M$58:$M$67,MATCH($F24,'Faculties'!$B$58:$B$67,0))),"N/A")</f>
        <v/>
      </c>
      <c r="L24" s="52">
        <f>IFERROR(IF(INDEX('CI&amp;S'!$M$10:$M$15,MATCH($F24,'CI&amp;S'!$B$10:$B$15,0))="","Cell will autofill based on response",INDEX('CI&amp;S'!$M$10:$M$15,MATCH($F24,'CI&amp;S'!$B$10:$B$15,0))),"N/A")</f>
        <v/>
      </c>
      <c r="M24" s="52">
        <f>IFERROR(IF(INDEX('CI&amp;S'!$M$22:$M$36,MATCH($F24,'CI&amp;S'!$B$22:$B$36,0))="","Cell will autofill based on response",INDEX('CI&amp;S'!$M$22:$M$36,MATCH($F24,'CI&amp;S'!$B$22:$B$36,0))),"N/A")</f>
        <v/>
      </c>
      <c r="N24" s="52">
        <f>IFERROR(IF(INDEX('CFOG'!$M$10:$M$16,MATCH($F24,'CFOG'!$B$10:$B$16,0))="","Cell will autofill based on response",INDEX('CFOG'!$M$10:$M$16,MATCH($F24,'CFOG'!$B$10:$B$16,0))),"N/A")</f>
        <v/>
      </c>
      <c r="O24" s="52">
        <f>IFERROR(IF(INDEX('CFOG'!$M$23:$M$24,MATCH($F24,'CFOG'!$B$23:$B$24,0))="","Cell will autofill based on response",INDEX('CFOG'!$M$23:$M$24,MATCH($F24,'CFOG'!$B$23:$B$24,0))),"N/A")</f>
        <v/>
      </c>
      <c r="P24" s="52">
        <f>IFERROR(IF(INDEX('ESG'!$M$10:$M$17,MATCH($F24,'ESG'!$B$10:$B$17,0))="","Cell will autofill based on response",INDEX('ESG'!$M$10:$M$17,MATCH($F24,'ESG'!$B$10:$B$17,0))),"N/A")</f>
        <v/>
      </c>
      <c r="Q24" s="52">
        <f>IFERROR(IF(INDEX('CIOG'!$M$10:$M$14,MATCH($F24,'CIOG'!$B$10:$B$14,0))="","Cell will autofill based on response",INDEX('CIOG'!$M$10:$M$14,MATCH($F24,'CIOG'!$B$10:$B$14,0))),"N/A")</f>
        <v/>
      </c>
      <c r="R24" s="52">
        <f>IFERROR(IF(INDEX('MRE'!$M$10:$M$18,MATCH($F24,'MRE'!$B$10:$B$18,0))="","Cell will autofill based on response",INDEX('MRE'!$M$10:$M$18,MATCH($F24,'MRE'!$B$10:$B$18,0))),"N/A")</f>
        <v/>
      </c>
      <c r="S24" s="52">
        <f>IFERROR(IF(INDEX('AC&amp;M'!$M$10:$M$14,MATCH($F24,'AC&amp;M'!$B$10:$B$14,0))="","Cell will autofill based on response",INDEX('AC&amp;M'!$M$10:$M$14,MATCH($F24,'AC&amp;M'!$B$10:$B$14,0))),"N/A")</f>
        <v/>
      </c>
      <c r="T24" s="52">
        <f>IFERROR(IF(INDEX('GCE'!$M$10:$M$12,MATCH($F24,'GCE'!$B$10:$B$12,0))="","Cell will autofill based on response",INDEX('GCE'!$M$10:$M$12,MATCH($F24,'GCE'!$B$10:$B$12,0))),"N/A")</f>
        <v/>
      </c>
      <c r="U24" s="52">
        <f>IFERROR(IF(INDEX('Education'!$M$10:$M$13,MATCH($F24,'Education'!$B$10:$B$13,0))="","Cell will autofill based on response",INDEX('Education'!$M$10:$M$13,MATCH($F24,'Education'!$B$10:$B$13,0))),"N/A")</f>
        <v/>
      </c>
      <c r="V24" s="52">
        <f>IFERROR(IF(INDEX('SaSS'!$M$10:$M$12,MATCH($F24,'SaSS'!$B$10:$B$12,0))="","Cell will autofill based on response",INDEX('SaSS'!$M$10:$M$12,MATCH($F24,'SaSS'!$B$10:$B$12,0))),"N/A")</f>
        <v/>
      </c>
      <c r="W24" s="52">
        <f>IFERROR(IF(INDEX('Indigenous'!$M$10:$M$11,MATCH($F24,'Indigenous'!$B$10:$B$11,0))="","Cell will autofill based on response",INDEX('Indigenous'!$M$10:$M$11,MATCH($F24,'Indigenous'!$B$10:$B$11,0))),"N/A")</f>
        <v/>
      </c>
      <c r="X24" s="52">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2">
        <f>IFERROR(IF(INDEX('Faculties'!$N$10:$N$19,MATCH($F25,'Faculties'!$B$10:$B$19,0))="","Cell will autofill based on response",INDEX('Faculties'!$N$10:$N$19,MATCH($F25,'Faculties'!$B$10:$B$19,0))),"N/A")</f>
        <v/>
      </c>
      <c r="I25" s="52">
        <f>IFERROR(IF(INDEX('Faculties'!$N$26:$N$35,MATCH($F25,'Faculties'!$B$26:$B$35,0))="","Cell will autofill based on response",INDEX('Faculties'!$N$26:$N$35,MATCH($F25,'Faculties'!$B$26:$B$35,0))),"N/A")</f>
        <v/>
      </c>
      <c r="J25" s="52">
        <f>IFERROR(IF(INDEX('Faculties'!$N$42:$N$51,MATCH($F25,'Faculties'!$B$42:$B$51,0))="","Cell will autofill based on response",INDEX('Faculties'!$N$42:$N$51,MATCH($F25,'Faculties'!$B$42:$B$51,0))),"N/A")</f>
        <v/>
      </c>
      <c r="K25" s="52">
        <f>IFERROR(IF(INDEX('Faculties'!$N$58:$N$67,MATCH($F25,'Faculties'!$B$58:$B$67,0))="","Cell will autofill based on response",INDEX('Faculties'!$N$58:$N$67,MATCH($F25,'Faculties'!$B$58:$B$67,0))),"N/A")</f>
        <v/>
      </c>
      <c r="L25" s="52">
        <f>IFERROR(IF(INDEX('CI&amp;S'!$N$10:$N$15,MATCH($F25,'CI&amp;S'!$B$10:$B$15,0))="","Cell will autofill based on response",INDEX('CI&amp;S'!$N$10:$N$15,MATCH($F25,'CI&amp;S'!$B$10:$B$15,0))),"N/A")</f>
        <v/>
      </c>
      <c r="M25" s="52">
        <f>IFERROR(IF(INDEX('CI&amp;S'!$N$22:$N$36,MATCH($F25,'CI&amp;S'!$B$22:$B$36,0))="","Cell will autofill based on response",INDEX('CI&amp;S'!$N$22:$N$36,MATCH($F25,'CI&amp;S'!$B$22:$B$36,0))),"N/A")</f>
        <v/>
      </c>
      <c r="N25" s="52">
        <f>IFERROR(IF(INDEX('CFOG'!$N$10:$N$16,MATCH($F25,'CFOG'!$B$10:$B$16,0))="","Cell will autofill based on response",INDEX('CFOG'!$N$10:$N$16,MATCH($F25,'CFOG'!$B$10:$B$16,0))),"N/A")</f>
        <v/>
      </c>
      <c r="O25" s="52">
        <f>IFERROR(IF(INDEX('CFOG'!$N$23:$N$24,MATCH($F25,'CFOG'!$B$23:$B$24,0))="","Cell will autofill based on response",INDEX('CFOG'!$N$23:$N$24,MATCH($F25,'CFOG'!$B$23:$B$24,0))),"N/A")</f>
        <v/>
      </c>
      <c r="P25" s="52">
        <f>IFERROR(IF(INDEX('ESG'!$N$10:$N$17,MATCH($F25,'ESG'!$B$10:$B$17,0))="","Cell will autofill based on response",INDEX('ESG'!$N$10:$N$17,MATCH($F25,'ESG'!$B$10:$B$17,0))),"N/A")</f>
        <v/>
      </c>
      <c r="Q25" s="52">
        <f>IFERROR(IF(INDEX('CIOG'!$N$10:$N$14,MATCH($F25,'CIOG'!$B$10:$B$14,0))="","Cell will autofill based on response",INDEX('CIOG'!$N$10:$N$14,MATCH($F25,'CIOG'!$B$10:$B$14,0))),"N/A")</f>
        <v/>
      </c>
      <c r="R25" s="52">
        <f>IFERROR(IF(INDEX('MRE'!$N$10:$N$18,MATCH($F25,'MRE'!$B$10:$B$18,0))="","Cell will autofill based on response",INDEX('MRE'!$N$10:$N$18,MATCH($F25,'MRE'!$B$10:$B$18,0))),"N/A")</f>
        <v/>
      </c>
      <c r="S25" s="52">
        <f>IFERROR(IF(INDEX('AC&amp;M'!$N$10:$N$14,MATCH($F25,'AC&amp;M'!$B$10:$B$14,0))="","Cell will autofill based on response",INDEX('AC&amp;M'!$N$10:$N$14,MATCH($F25,'AC&amp;M'!$B$10:$B$14,0))),"N/A")</f>
        <v/>
      </c>
      <c r="T25" s="52">
        <f>IFERROR(IF(INDEX('GCE'!$N$10:$N$12,MATCH($F25,'GCE'!$B$10:$B$12,0))="","Cell will autofill based on response",INDEX('GCE'!$N$10:$N$12,MATCH($F25,'GCE'!$B$10:$B$12,0))),"N/A")</f>
        <v/>
      </c>
      <c r="U25" s="52">
        <f>IFERROR(IF(INDEX('Education'!$N$10:$N$13,MATCH($F25,'Education'!$B$10:$B$13,0))="","Cell will autofill based on response",INDEX('Education'!$N$10:$N$13,MATCH($F25,'Education'!$B$10:$B$13,0))),"N/A")</f>
        <v/>
      </c>
      <c r="V25" s="52">
        <f>IFERROR(IF(INDEX('SaSS'!$N$10:$N$12,MATCH($F25,'SaSS'!$B$10:$B$12,0))="","Cell will autofill based on response",INDEX('SaSS'!$N$10:$N$12,MATCH($F25,'SaSS'!$B$10:$B$12,0))),"N/A")</f>
        <v/>
      </c>
      <c r="W25" s="52">
        <f>IFERROR(IF(INDEX('Indigenous'!$N$10:$N$11,MATCH($F25,'Indigenous'!$B$10:$B$11,0))="","Cell will autofill based on response",INDEX('Indigenous'!$N$10:$N$11,MATCH($F25,'Indigenous'!$B$10:$B$11,0))),"N/A")</f>
        <v/>
      </c>
      <c r="X25" s="52">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2">
        <f>IFERROR(IF(INDEX('Faculties'!$O$10:$O$19,MATCH($F26,'Faculties'!$B$10:$B$19,0))="","Cell will autofill based on response",INDEX('Faculties'!$O$10:$O$19,MATCH($F26,'Faculties'!$B$10:$B$19,0))),"N/A")</f>
        <v/>
      </c>
      <c r="I26" s="52">
        <f>IFERROR(IF(INDEX('Faculties'!$O$26:$O$35,MATCH($F26,'Faculties'!$B$26:$B$35,0))="","Cell will autofill based on response",INDEX('Faculties'!$O$26:$O$35,MATCH($F26,'Faculties'!$B$26:$B$35,0))),"N/A")</f>
        <v/>
      </c>
      <c r="J26" s="52">
        <f>IFERROR(IF(INDEX('Faculties'!$O$42:$O$51,MATCH($F26,'Faculties'!$B$42:$B$51,0))="","Cell will autofill based on response",INDEX('Faculties'!$O$42:$O$51,MATCH($F26,'Faculties'!$B$42:$B$51,0))),"N/A")</f>
        <v/>
      </c>
      <c r="K26" s="52">
        <f>IFERROR(IF(INDEX('Faculties'!$O$58:$O$67,MATCH($F26,'Faculties'!$B$58:$B$67,0))="","Cell will autofill based on response",INDEX('Faculties'!$O$58:$O$67,MATCH($F26,'Faculties'!$B$58:$B$67,0))),"N/A")</f>
        <v/>
      </c>
      <c r="L26" s="52">
        <f>IFERROR(IF(INDEX('CI&amp;S'!$O$10:$O$15,MATCH($F26,'CI&amp;S'!$B$10:$B$15,0))="","Cell will autofill based on response",INDEX('CI&amp;S'!$O$10:$O$15,MATCH($F26,'CI&amp;S'!$B$10:$B$15,0))),"N/A")</f>
        <v/>
      </c>
      <c r="M26" s="52">
        <f>IFERROR(IF(INDEX('CI&amp;S'!$O$22:$O$36,MATCH($F26,'CI&amp;S'!$B$22:$B$36,0))="","Cell will autofill based on response",INDEX('CI&amp;S'!$O$22:$O$36,MATCH($F26,'CI&amp;S'!$B$22:$B$36,0))),"N/A")</f>
        <v/>
      </c>
      <c r="N26" s="52">
        <f>IFERROR(IF(INDEX('CFOG'!$O$10:$O$16,MATCH($F26,'CFOG'!$B$10:$B$16,0))="","Cell will autofill based on response",INDEX('CFOG'!$O$10:$O$16,MATCH($F26,'CFOG'!$B$10:$B$16,0))),"N/A")</f>
        <v/>
      </c>
      <c r="O26" s="52">
        <f>IFERROR(IF(INDEX('CFOG'!$O$23:$O$24,MATCH($F26,'CFOG'!$B$23:$B$24,0))="","Cell will autofill based on response",INDEX('CFOG'!$O$23:$O$24,MATCH($F26,'CFOG'!$B$23:$B$24,0))),"N/A")</f>
        <v/>
      </c>
      <c r="P26" s="52">
        <f>IFERROR(IF(INDEX('ESG'!$O$10:$O$17,MATCH($F26,'ESG'!$B$10:$B$17,0))="","Cell will autofill based on response",INDEX('ESG'!$O$10:$O$17,MATCH($F26,'ESG'!$B$10:$B$17,0))),"N/A")</f>
        <v/>
      </c>
      <c r="Q26" s="52">
        <f>IFERROR(IF(INDEX('CIOG'!$O$10:$O$14,MATCH($F26,'CIOG'!$B$10:$B$14,0))="","Cell will autofill based on response",INDEX('CIOG'!$O$10:$O$14,MATCH($F26,'CIOG'!$B$10:$B$14,0))),"N/A")</f>
        <v/>
      </c>
      <c r="R26" s="52">
        <f>IFERROR(IF(INDEX('MRE'!$O$10:$O$18,MATCH($F26,'MRE'!$B$10:$B$18,0))="","Cell will autofill based on response",INDEX('MRE'!$O$10:$O$18,MATCH($F26,'MRE'!$B$10:$B$18,0))),"N/A")</f>
        <v/>
      </c>
      <c r="S26" s="52">
        <f>IFERROR(IF(INDEX('AC&amp;M'!$O$10:$O$14,MATCH($F26,'AC&amp;M'!$B$10:$B$14,0))="","Cell will autofill based on response",INDEX('AC&amp;M'!$O$10:$O$14,MATCH($F26,'AC&amp;M'!$B$10:$B$14,0))),"N/A")</f>
        <v/>
      </c>
      <c r="T26" s="52">
        <f>IFERROR(IF(INDEX('GCE'!$O$10:$O$12,MATCH($F26,'GCE'!$B$10:$B$12,0))="","Cell will autofill based on response",INDEX('GCE'!$O$10:$O$12,MATCH($F26,'GCE'!$B$10:$B$12,0))),"N/A")</f>
        <v/>
      </c>
      <c r="U26" s="52">
        <f>IFERROR(IF(INDEX('Education'!$O$10:$O$13,MATCH($F26,'Education'!$B$10:$B$13,0))="","Cell will autofill based on response",INDEX('Education'!$O$10:$O$13,MATCH($F26,'Education'!$B$10:$B$13,0))),"N/A")</f>
        <v/>
      </c>
      <c r="V26" s="52">
        <f>IFERROR(IF(INDEX('SaSS'!$O$10:$O$12,MATCH($F26,'SaSS'!$B$10:$B$12,0))="","Cell will autofill based on response",INDEX('SaSS'!$O$10:$O$12,MATCH($F26,'SaSS'!$B$10:$B$12,0))),"N/A")</f>
        <v/>
      </c>
      <c r="W26" s="52">
        <f>IFERROR(IF(INDEX('Indigenous'!$O$10:$O$11,MATCH($F26,'Indigenous'!$B$10:$B$11,0))="","Cell will autofill based on response",INDEX('Indigenous'!$O$10:$O$11,MATCH($F26,'Indigenous'!$B$10:$B$11,0))),"N/A")</f>
        <v/>
      </c>
      <c r="X26" s="52">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2">
        <f>IFERROR(IF(INDEX('Faculties'!$P$10:$P$19,MATCH($F27,'Faculties'!$B$10:$B$19,0))="","Cell will autofill based on response",INDEX('Faculties'!$P$10:$P$19,MATCH($F27,'Faculties'!$B$10:$B$19,0))),"N/A")</f>
        <v/>
      </c>
      <c r="I27" s="52">
        <f>IFERROR(IF(INDEX('Faculties'!$P$26:$P$35,MATCH($F27,'Faculties'!$B$26:$B$35,0))="","Cell will autofill based on response",INDEX('Faculties'!$P$26:$P$35,MATCH($F27,'Faculties'!$B$26:$B$35,0))),"N/A")</f>
        <v/>
      </c>
      <c r="J27" s="52">
        <f>IFERROR(IF(INDEX('Faculties'!$P$42:$P$51,MATCH($F27,'Faculties'!$B$42:$B$51,0))="","Cell will autofill based on response",INDEX('Faculties'!$P$42:$P$51,MATCH($F27,'Faculties'!$B$42:$B$51,0))),"N/A")</f>
        <v/>
      </c>
      <c r="K27" s="52">
        <f>IFERROR(IF(INDEX('Faculties'!$P$58:$P$67,MATCH($F27,'Faculties'!$B$58:$B$67,0))="","Cell will autofill based on response",INDEX('Faculties'!$P$58:$P$67,MATCH($F27,'Faculties'!$B$58:$B$67,0))),"N/A")</f>
        <v/>
      </c>
      <c r="L27" s="52">
        <f>IFERROR(IF(INDEX('CI&amp;S'!$P$10:$P$15,MATCH($F27,'CI&amp;S'!$B$10:$B$15,0))="","Cell will autofill based on response",INDEX('CI&amp;S'!$P$10:$P$15,MATCH($F27,'CI&amp;S'!$B$10:$B$15,0))),"N/A")</f>
        <v/>
      </c>
      <c r="M27" s="52">
        <f>IFERROR(IF(INDEX('CI&amp;S'!$P$22:$P$36,MATCH($F27,'CI&amp;S'!$B$22:$B$36,0))="","Cell will autofill based on response",INDEX('CI&amp;S'!$P$22:$P$36,MATCH($F27,'CI&amp;S'!$B$22:$B$36,0))),"N/A")</f>
        <v/>
      </c>
      <c r="N27" s="52">
        <f>IFERROR(IF(INDEX('CFOG'!$P$10:$P$16,MATCH($F27,'CFOG'!$B$10:$B$16,0))="","Cell will autofill based on response",INDEX('CFOG'!$P$10:$P$16,MATCH($F27,'CFOG'!$B$10:$B$16,0))),"N/A")</f>
        <v/>
      </c>
      <c r="O27" s="52">
        <f>IFERROR(IF(INDEX('CFOG'!$P$23:$P$24,MATCH($F27,'CFOG'!$B$23:$B$24,0))="","Cell will autofill based on response",INDEX('CFOG'!$P$23:$P$24,MATCH($F27,'CFOG'!$B$23:$B$24,0))),"N/A")</f>
        <v/>
      </c>
      <c r="P27" s="52">
        <f>IFERROR(IF(INDEX('ESG'!$P$10:$P$17,MATCH($F27,'ESG'!$B$10:$B$17,0))="","Cell will autofill based on response",INDEX('ESG'!$P$10:$P$17,MATCH($F27,'ESG'!$B$10:$B$17,0))),"N/A")</f>
        <v/>
      </c>
      <c r="Q27" s="52">
        <f>IFERROR(IF(INDEX('CIOG'!$P$10:$P$14,MATCH($F27,'CIOG'!$B$10:$B$14,0))="","Cell will autofill based on response",INDEX('CIOG'!$P$10:$P$14,MATCH($F27,'CIOG'!$B$10:$B$14,0))),"N/A")</f>
        <v/>
      </c>
      <c r="R27" s="52">
        <f>IFERROR(IF(INDEX('MRE'!$P$10:$P$18,MATCH($F27,'MRE'!$B$10:$B$18,0))="","Cell will autofill based on response",INDEX('MRE'!$P$10:$P$18,MATCH($F27,'MRE'!$B$10:$B$18,0))),"N/A")</f>
        <v/>
      </c>
      <c r="S27" s="52">
        <f>IFERROR(IF(INDEX('AC&amp;M'!$P$10:$P$14,MATCH($F27,'AC&amp;M'!$B$10:$B$14,0))="","Cell will autofill based on response",INDEX('AC&amp;M'!$P$10:$P$14,MATCH($F27,'AC&amp;M'!$B$10:$B$14,0))),"N/A")</f>
        <v/>
      </c>
      <c r="T27" s="52">
        <f>IFERROR(IF(INDEX('GCE'!$P$10:$P$12,MATCH($F27,'GCE'!$B$10:$B$12,0))="","Cell will autofill based on response",INDEX('GCE'!$P$10:$P$12,MATCH($F27,'GCE'!$B$10:$B$12,0))),"N/A")</f>
        <v/>
      </c>
      <c r="U27" s="52">
        <f>IFERROR(IF(INDEX('Education'!$P$10:$P$13,MATCH($F27,'Education'!$B$10:$B$13,0))="","Cell will autofill based on response",INDEX('Education'!$P$10:$P$13,MATCH($F27,'Education'!$B$10:$B$13,0))),"N/A")</f>
        <v/>
      </c>
      <c r="V27" s="52">
        <f>IFERROR(IF(INDEX('SaSS'!$P$10:$P$12,MATCH($F27,'SaSS'!$B$10:$B$12,0))="","Cell will autofill based on response",INDEX('SaSS'!$P$10:$P$12,MATCH($F27,'SaSS'!$B$10:$B$12,0))),"N/A")</f>
        <v/>
      </c>
      <c r="W27" s="52">
        <f>IFERROR(IF(INDEX('Indigenous'!$P$10:$P$11,MATCH($F27,'Indigenous'!$B$10:$B$11,0))="","Cell will autofill based on response",INDEX('Indigenous'!$P$10:$P$11,MATCH($F27,'Indigenous'!$B$10:$B$11,0))),"N/A")</f>
        <v/>
      </c>
      <c r="X27" s="52">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2">
        <f>IFERROR(IF(INDEX('Faculties'!$Q$10:$Q$19,MATCH($F28,'Faculties'!$B$10:$B$19,0))="","Cell will autofill based on response",INDEX('Faculties'!$Q$10:$Q$19,MATCH($F28,'Faculties'!$B$10:$B$19,0))),"N/A")</f>
        <v/>
      </c>
      <c r="I28" s="52">
        <f>IFERROR(IF(INDEX('Faculties'!$Q$26:$Q$35,MATCH($F28,'Faculties'!$B$26:$B$35,0))="","Cell will autofill based on response",INDEX('Faculties'!$Q$26:$Q$35,MATCH($F28,'Faculties'!$B$26:$B$35,0))),"N/A")</f>
        <v/>
      </c>
      <c r="J28" s="52">
        <f>IFERROR(IF(INDEX('Faculties'!$Q$42:$Q$51,MATCH($F28,'Faculties'!$B$42:$B$51,0))="","Cell will autofill based on response",INDEX('Faculties'!$Q$42:$Q$51,MATCH($F28,'Faculties'!$B$42:$B$51,0))),"N/A")</f>
        <v/>
      </c>
      <c r="K28" s="52">
        <f>IFERROR(IF(INDEX('Faculties'!$Q$58:$Q$67,MATCH($F28,'Faculties'!$B$58:$B$67,0))="","Cell will autofill based on response",INDEX('Faculties'!$Q$58:$Q$67,MATCH($F28,'Faculties'!$B$58:$B$67,0))),"N/A")</f>
        <v/>
      </c>
      <c r="L28" s="52">
        <f>IFERROR(IF(INDEX('CI&amp;S'!$Q$10:$Q$15,MATCH($F28,'CI&amp;S'!$B$10:$B$15,0))="","Cell will autofill based on response",INDEX('CI&amp;S'!$Q$10:$Q$15,MATCH($F28,'CI&amp;S'!$B$10:$B$15,0))),"N/A")</f>
        <v/>
      </c>
      <c r="M28" s="52">
        <f>IFERROR(IF(INDEX('CI&amp;S'!$Q$22:$Q$36,MATCH($F28,'CI&amp;S'!$B$22:$B$36,0))="","Cell will autofill based on response",INDEX('CI&amp;S'!$Q$22:$Q$36,MATCH($F28,'CI&amp;S'!$B$22:$B$36,0))),"N/A")</f>
        <v/>
      </c>
      <c r="N28" s="52">
        <f>IFERROR(IF(INDEX('CFOG'!$Q$10:$Q$16,MATCH($F28,'CFOG'!$B$10:$B$16,0))="","Cell will autofill based on response",INDEX('CFOG'!$Q$10:$Q$16,MATCH($F28,'CFOG'!$B$10:$B$16,0))),"N/A")</f>
        <v/>
      </c>
      <c r="O28" s="52">
        <f>IFERROR(IF(INDEX('CFOG'!$Q$23:$Q$24,MATCH($F28,'CFOG'!$B$23:$B$24,0))="","Cell will autofill based on response",INDEX('CFOG'!$Q$23:$Q$24,MATCH($F28,'CFOG'!$B$23:$B$24,0))),"N/A")</f>
        <v/>
      </c>
      <c r="P28" s="52">
        <f>IFERROR(IF(INDEX('ESG'!$Q$10:$Q$17,MATCH($F28,'ESG'!$B$10:$B$17,0))="","Cell will autofill based on response",INDEX('ESG'!$Q$10:$Q$17,MATCH($F28,'ESG'!$B$10:$B$17,0))),"N/A")</f>
        <v/>
      </c>
      <c r="Q28" s="52">
        <f>IFERROR(IF(INDEX('CIOG'!$Q$10:$Q$14,MATCH($F28,'CIOG'!$B$10:$B$14,0))="","Cell will autofill based on response",INDEX('CIOG'!$Q$10:$Q$14,MATCH($F28,'CIOG'!$B$10:$B$14,0))),"N/A")</f>
        <v/>
      </c>
      <c r="R28" s="52">
        <f>IFERROR(IF(INDEX('MRE'!$Q$10:$Q$18,MATCH($F28,'MRE'!$B$10:$B$18,0))="","Cell will autofill based on response",INDEX('MRE'!$Q$10:$Q$18,MATCH($F28,'MRE'!$B$10:$B$18,0))),"N/A")</f>
        <v/>
      </c>
      <c r="S28" s="52">
        <f>IFERROR(IF(INDEX('AC&amp;M'!$Q$10:$Q$14,MATCH($F28,'AC&amp;M'!$B$10:$B$14,0))="","Cell will autofill based on response",INDEX('AC&amp;M'!$Q$10:$Q$14,MATCH($F28,'AC&amp;M'!$B$10:$B$14,0))),"N/A")</f>
        <v/>
      </c>
      <c r="T28" s="52">
        <f>IFERROR(IF(INDEX('GCE'!$Q$10:$Q$12,MATCH($F28,'GCE'!$B$10:$B$12,0))="","Cell will autofill based on response",INDEX('GCE'!$Q$10:$Q$12,MATCH($F28,'GCE'!$B$10:$B$12,0))),"N/A")</f>
        <v/>
      </c>
      <c r="U28" s="52">
        <f>IFERROR(IF(INDEX('Education'!$Q$10:$Q$13,MATCH($F28,'Education'!$B$10:$B$13,0))="","Cell will autofill based on response",INDEX('Education'!$Q$10:$Q$13,MATCH($F28,'Education'!$B$10:$B$13,0))),"N/A")</f>
        <v/>
      </c>
      <c r="V28" s="52">
        <f>IFERROR(IF(INDEX('SaSS'!$Q$10:$Q$12,MATCH($F28,'SaSS'!$B$10:$B$12,0))="","Cell will autofill based on response",INDEX('SaSS'!$Q$10:$Q$12,MATCH($F28,'SaSS'!$B$10:$B$12,0))),"N/A")</f>
        <v/>
      </c>
      <c r="W28" s="52">
        <f>IFERROR(IF(INDEX('Indigenous'!$Q$10:$Q$11,MATCH($F28,'Indigenous'!$B$10:$B$11,0))="","Cell will autofill based on response",INDEX('Indigenous'!$Q$10:$Q$11,MATCH($F28,'Indigenous'!$B$10:$B$11,0))),"N/A")</f>
        <v/>
      </c>
      <c r="X28" s="52">
        <f>IFERROR(IF(INDEX('L&amp;R'!$Q$10:$Q$11,MATCH($F28,'L&amp;R'!$B$10:$B$11,0))="","Cell will autofill based on response",INDEX('L&amp;R'!$Q$10:$Q$11,MATCH($F28,'L&amp;R'!$B$10:$B$11,0))),"N/A")</f>
        <v/>
      </c>
    </row>
    <row r="29">
      <c r="A29">
        <f>F29&amp;"|"&amp;G29</f>
        <v/>
      </c>
      <c r="B29" s="7" t="inlineStr">
        <is>
          <t>EE1(d)</t>
        </is>
      </c>
      <c r="C29" s="50" t="inlineStr">
        <is>
          <t>Exceptional education</t>
        </is>
      </c>
      <c r="D29" s="50" t="inlineStr">
        <is>
          <t>Alumni profiles demonstrating how graduates contribute to sustainability through their careers or communities.</t>
        </is>
      </c>
      <c r="E29"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0" t="inlineStr">
        <is>
          <t>EE1(d)</t>
        </is>
      </c>
      <c r="G29" s="50" t="inlineStr">
        <is>
          <t>Confirm end-2026 target status</t>
        </is>
      </c>
      <c r="H29" s="52">
        <f>IFERROR(IF(INDEX('Faculties'!$L$10:$L$19,MATCH($F29,'Faculties'!$B$10:$B$19,0))="","Cell will autofill based on response",INDEX('Faculties'!$L$10:$L$19,MATCH($F29,'Faculties'!$B$10:$B$19,0))),"N/A")</f>
        <v/>
      </c>
      <c r="I29" s="52">
        <f>IFERROR(IF(INDEX('Faculties'!$L$26:$L$35,MATCH($F29,'Faculties'!$B$26:$B$35,0))="","Cell will autofill based on response",INDEX('Faculties'!$L$26:$L$35,MATCH($F29,'Faculties'!$B$26:$B$35,0))),"N/A")</f>
        <v/>
      </c>
      <c r="J29" s="52">
        <f>IFERROR(IF(INDEX('Faculties'!$L$42:$L$51,MATCH($F29,'Faculties'!$B$42:$B$51,0))="","Cell will autofill based on response",INDEX('Faculties'!$L$42:$L$51,MATCH($F29,'Faculties'!$B$42:$B$51,0))),"N/A")</f>
        <v/>
      </c>
      <c r="K29" s="52">
        <f>IFERROR(IF(INDEX('Faculties'!$L$58:$L$67,MATCH($F29,'Faculties'!$B$58:$B$67,0))="","Cell will autofill based on response",INDEX('Faculties'!$L$58:$L$67,MATCH($F29,'Faculties'!$B$58:$B$67,0))),"N/A")</f>
        <v/>
      </c>
      <c r="L29" s="52">
        <f>IFERROR(IF(INDEX('CI&amp;S'!$L$10:$L$15,MATCH($F29,'CI&amp;S'!$B$10:$B$15,0))="","Cell will autofill based on response",INDEX('CI&amp;S'!$L$10:$L$15,MATCH($F29,'CI&amp;S'!$B$10:$B$15,0))),"N/A")</f>
        <v/>
      </c>
      <c r="M29" s="52">
        <f>IFERROR(IF(INDEX('CI&amp;S'!$L$22:$L$36,MATCH($F29,'CI&amp;S'!$B$22:$B$36,0))="","Cell will autofill based on response",INDEX('CI&amp;S'!$L$22:$L$36,MATCH($F29,'CI&amp;S'!$B$22:$B$36,0))),"N/A")</f>
        <v/>
      </c>
      <c r="N29" s="52">
        <f>IFERROR(IF(INDEX('CFOG'!$L$10:$L$16,MATCH($F29,'CFOG'!$B$10:$B$16,0))="","Cell will autofill based on response",INDEX('CFOG'!$L$10:$L$16,MATCH($F29,'CFOG'!$B$10:$B$16,0))),"N/A")</f>
        <v/>
      </c>
      <c r="O29" s="52">
        <f>IFERROR(IF(INDEX('CFOG'!$L$23:$L$24,MATCH($F29,'CFOG'!$B$23:$B$24,0))="","Cell will autofill based on response",INDEX('CFOG'!$L$23:$L$24,MATCH($F29,'CFOG'!$B$23:$B$24,0))),"N/A")</f>
        <v/>
      </c>
      <c r="P29" s="52">
        <f>IFERROR(IF(INDEX('ESG'!$L$10:$L$17,MATCH($F29,'ESG'!$B$10:$B$17,0))="","Cell will autofill based on response",INDEX('ESG'!$L$10:$L$17,MATCH($F29,'ESG'!$B$10:$B$17,0))),"N/A")</f>
        <v/>
      </c>
      <c r="Q29" s="52">
        <f>IFERROR(IF(INDEX('CIOG'!$L$10:$L$14,MATCH($F29,'CIOG'!$B$10:$B$14,0))="","Cell will autofill based on response",INDEX('CIOG'!$L$10:$L$14,MATCH($F29,'CIOG'!$B$10:$B$14,0))),"N/A")</f>
        <v/>
      </c>
      <c r="R29" s="52">
        <f>IFERROR(IF(INDEX('MRE'!$L$10:$L$18,MATCH($F29,'MRE'!$B$10:$B$18,0))="","Cell will autofill based on response",INDEX('MRE'!$L$10:$L$18,MATCH($F29,'MRE'!$B$10:$B$18,0))),"N/A")</f>
        <v/>
      </c>
      <c r="S29" s="52">
        <f>IFERROR(IF(INDEX('AC&amp;M'!$L$10:$L$14,MATCH($F29,'AC&amp;M'!$B$10:$B$14,0))="","Cell will autofill based on response",INDEX('AC&amp;M'!$L$10:$L$14,MATCH($F29,'AC&amp;M'!$B$10:$B$14,0))),"N/A")</f>
        <v/>
      </c>
      <c r="T29" s="52">
        <f>IFERROR(IF(INDEX('GCE'!$L$10:$L$12,MATCH($F29,'GCE'!$B$10:$B$12,0))="","Cell will autofill based on response",INDEX('GCE'!$L$10:$L$12,MATCH($F29,'GCE'!$B$10:$B$12,0))),"N/A")</f>
        <v/>
      </c>
      <c r="U29" s="52">
        <f>IFERROR(IF(INDEX('Education'!$L$10:$L$13,MATCH($F29,'Education'!$B$10:$B$13,0))="","Cell will autofill based on response",INDEX('Education'!$L$10:$L$13,MATCH($F29,'Education'!$B$10:$B$13,0))),"N/A")</f>
        <v/>
      </c>
      <c r="V29" s="52">
        <f>IFERROR(IF(INDEX('SaSS'!$L$10:$L$12,MATCH($F29,'SaSS'!$B$10:$B$12,0))="","Cell will autofill based on response",INDEX('SaSS'!$L$10:$L$12,MATCH($F29,'SaSS'!$B$10:$B$12,0))),"N/A")</f>
        <v/>
      </c>
      <c r="W29" s="52">
        <f>IFERROR(IF(INDEX('Indigenous'!$L$10:$L$11,MATCH($F29,'Indigenous'!$B$10:$B$11,0))="","Cell will autofill based on response",INDEX('Indigenous'!$L$10:$L$11,MATCH($F29,'Indigenous'!$B$10:$B$11,0))),"N/A")</f>
        <v/>
      </c>
      <c r="X29" s="52">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3">
        <f>IF(AF29&gt;0,AE29/AF29,"No valid responses to date")</f>
        <v/>
      </c>
      <c r="AH29" s="10">
        <f>IF(ISNUMBER(AG29),INDEX(Lists!$G$2:$G$5,MATCH(ROUND(AG29,0),Lists!$H$2:$H$5,0)),"")</f>
        <v/>
      </c>
      <c r="AI29" s="54">
        <f>IF(AF29&gt;0,AD29/AF29,"")</f>
        <v/>
      </c>
      <c r="AJ29" s="54">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2">
        <f>IFERROR(IF(INDEX('Faculties'!$M$10:$M$19,MATCH($F30,'Faculties'!$B$10:$B$19,0))="","Cell will autofill based on response",INDEX('Faculties'!$M$10:$M$19,MATCH($F30,'Faculties'!$B$10:$B$19,0))),"N/A")</f>
        <v/>
      </c>
      <c r="I30" s="52">
        <f>IFERROR(IF(INDEX('Faculties'!$M$26:$M$35,MATCH($F30,'Faculties'!$B$26:$B$35,0))="","Cell will autofill based on response",INDEX('Faculties'!$M$26:$M$35,MATCH($F30,'Faculties'!$B$26:$B$35,0))),"N/A")</f>
        <v/>
      </c>
      <c r="J30" s="52">
        <f>IFERROR(IF(INDEX('Faculties'!$M$42:$M$51,MATCH($F30,'Faculties'!$B$42:$B$51,0))="","Cell will autofill based on response",INDEX('Faculties'!$M$42:$M$51,MATCH($F30,'Faculties'!$B$42:$B$51,0))),"N/A")</f>
        <v/>
      </c>
      <c r="K30" s="52">
        <f>IFERROR(IF(INDEX('Faculties'!$M$58:$M$67,MATCH($F30,'Faculties'!$B$58:$B$67,0))="","Cell will autofill based on response",INDEX('Faculties'!$M$58:$M$67,MATCH($F30,'Faculties'!$B$58:$B$67,0))),"N/A")</f>
        <v/>
      </c>
      <c r="L30" s="52">
        <f>IFERROR(IF(INDEX('CI&amp;S'!$M$10:$M$15,MATCH($F30,'CI&amp;S'!$B$10:$B$15,0))="","Cell will autofill based on response",INDEX('CI&amp;S'!$M$10:$M$15,MATCH($F30,'CI&amp;S'!$B$10:$B$15,0))),"N/A")</f>
        <v/>
      </c>
      <c r="M30" s="52">
        <f>IFERROR(IF(INDEX('CI&amp;S'!$M$22:$M$36,MATCH($F30,'CI&amp;S'!$B$22:$B$36,0))="","Cell will autofill based on response",INDEX('CI&amp;S'!$M$22:$M$36,MATCH($F30,'CI&amp;S'!$B$22:$B$36,0))),"N/A")</f>
        <v/>
      </c>
      <c r="N30" s="52">
        <f>IFERROR(IF(INDEX('CFOG'!$M$10:$M$16,MATCH($F30,'CFOG'!$B$10:$B$16,0))="","Cell will autofill based on response",INDEX('CFOG'!$M$10:$M$16,MATCH($F30,'CFOG'!$B$10:$B$16,0))),"N/A")</f>
        <v/>
      </c>
      <c r="O30" s="52">
        <f>IFERROR(IF(INDEX('CFOG'!$M$23:$M$24,MATCH($F30,'CFOG'!$B$23:$B$24,0))="","Cell will autofill based on response",INDEX('CFOG'!$M$23:$M$24,MATCH($F30,'CFOG'!$B$23:$B$24,0))),"N/A")</f>
        <v/>
      </c>
      <c r="P30" s="52">
        <f>IFERROR(IF(INDEX('ESG'!$M$10:$M$17,MATCH($F30,'ESG'!$B$10:$B$17,0))="","Cell will autofill based on response",INDEX('ESG'!$M$10:$M$17,MATCH($F30,'ESG'!$B$10:$B$17,0))),"N/A")</f>
        <v/>
      </c>
      <c r="Q30" s="52">
        <f>IFERROR(IF(INDEX('CIOG'!$M$10:$M$14,MATCH($F30,'CIOG'!$B$10:$B$14,0))="","Cell will autofill based on response",INDEX('CIOG'!$M$10:$M$14,MATCH($F30,'CIOG'!$B$10:$B$14,0))),"N/A")</f>
        <v/>
      </c>
      <c r="R30" s="52">
        <f>IFERROR(IF(INDEX('MRE'!$M$10:$M$18,MATCH($F30,'MRE'!$B$10:$B$18,0))="","Cell will autofill based on response",INDEX('MRE'!$M$10:$M$18,MATCH($F30,'MRE'!$B$10:$B$18,0))),"N/A")</f>
        <v/>
      </c>
      <c r="S30" s="52">
        <f>IFERROR(IF(INDEX('AC&amp;M'!$M$10:$M$14,MATCH($F30,'AC&amp;M'!$B$10:$B$14,0))="","Cell will autofill based on response",INDEX('AC&amp;M'!$M$10:$M$14,MATCH($F30,'AC&amp;M'!$B$10:$B$14,0))),"N/A")</f>
        <v/>
      </c>
      <c r="T30" s="52">
        <f>IFERROR(IF(INDEX('GCE'!$M$10:$M$12,MATCH($F30,'GCE'!$B$10:$B$12,0))="","Cell will autofill based on response",INDEX('GCE'!$M$10:$M$12,MATCH($F30,'GCE'!$B$10:$B$12,0))),"N/A")</f>
        <v/>
      </c>
      <c r="U30" s="52">
        <f>IFERROR(IF(INDEX('Education'!$M$10:$M$13,MATCH($F30,'Education'!$B$10:$B$13,0))="","Cell will autofill based on response",INDEX('Education'!$M$10:$M$13,MATCH($F30,'Education'!$B$10:$B$13,0))),"N/A")</f>
        <v/>
      </c>
      <c r="V30" s="52">
        <f>IFERROR(IF(INDEX('SaSS'!$M$10:$M$12,MATCH($F30,'SaSS'!$B$10:$B$12,0))="","Cell will autofill based on response",INDEX('SaSS'!$M$10:$M$12,MATCH($F30,'SaSS'!$B$10:$B$12,0))),"N/A")</f>
        <v/>
      </c>
      <c r="W30" s="52">
        <f>IFERROR(IF(INDEX('Indigenous'!$M$10:$M$11,MATCH($F30,'Indigenous'!$B$10:$B$11,0))="","Cell will autofill based on response",INDEX('Indigenous'!$M$10:$M$11,MATCH($F30,'Indigenous'!$B$10:$B$11,0))),"N/A")</f>
        <v/>
      </c>
      <c r="X30" s="52">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2">
        <f>IFERROR(IF(INDEX('Faculties'!$N$10:$N$19,MATCH($F31,'Faculties'!$B$10:$B$19,0))="","Cell will autofill based on response",INDEX('Faculties'!$N$10:$N$19,MATCH($F31,'Faculties'!$B$10:$B$19,0))),"N/A")</f>
        <v/>
      </c>
      <c r="I31" s="52">
        <f>IFERROR(IF(INDEX('Faculties'!$N$26:$N$35,MATCH($F31,'Faculties'!$B$26:$B$35,0))="","Cell will autofill based on response",INDEX('Faculties'!$N$26:$N$35,MATCH($F31,'Faculties'!$B$26:$B$35,0))),"N/A")</f>
        <v/>
      </c>
      <c r="J31" s="52">
        <f>IFERROR(IF(INDEX('Faculties'!$N$42:$N$51,MATCH($F31,'Faculties'!$B$42:$B$51,0))="","Cell will autofill based on response",INDEX('Faculties'!$N$42:$N$51,MATCH($F31,'Faculties'!$B$42:$B$51,0))),"N/A")</f>
        <v/>
      </c>
      <c r="K31" s="52">
        <f>IFERROR(IF(INDEX('Faculties'!$N$58:$N$67,MATCH($F31,'Faculties'!$B$58:$B$67,0))="","Cell will autofill based on response",INDEX('Faculties'!$N$58:$N$67,MATCH($F31,'Faculties'!$B$58:$B$67,0))),"N/A")</f>
        <v/>
      </c>
      <c r="L31" s="52">
        <f>IFERROR(IF(INDEX('CI&amp;S'!$N$10:$N$15,MATCH($F31,'CI&amp;S'!$B$10:$B$15,0))="","Cell will autofill based on response",INDEX('CI&amp;S'!$N$10:$N$15,MATCH($F31,'CI&amp;S'!$B$10:$B$15,0))),"N/A")</f>
        <v/>
      </c>
      <c r="M31" s="52">
        <f>IFERROR(IF(INDEX('CI&amp;S'!$N$22:$N$36,MATCH($F31,'CI&amp;S'!$B$22:$B$36,0))="","Cell will autofill based on response",INDEX('CI&amp;S'!$N$22:$N$36,MATCH($F31,'CI&amp;S'!$B$22:$B$36,0))),"N/A")</f>
        <v/>
      </c>
      <c r="N31" s="52">
        <f>IFERROR(IF(INDEX('CFOG'!$N$10:$N$16,MATCH($F31,'CFOG'!$B$10:$B$16,0))="","Cell will autofill based on response",INDEX('CFOG'!$N$10:$N$16,MATCH($F31,'CFOG'!$B$10:$B$16,0))),"N/A")</f>
        <v/>
      </c>
      <c r="O31" s="52">
        <f>IFERROR(IF(INDEX('CFOG'!$N$23:$N$24,MATCH($F31,'CFOG'!$B$23:$B$24,0))="","Cell will autofill based on response",INDEX('CFOG'!$N$23:$N$24,MATCH($F31,'CFOG'!$B$23:$B$24,0))),"N/A")</f>
        <v/>
      </c>
      <c r="P31" s="52">
        <f>IFERROR(IF(INDEX('ESG'!$N$10:$N$17,MATCH($F31,'ESG'!$B$10:$B$17,0))="","Cell will autofill based on response",INDEX('ESG'!$N$10:$N$17,MATCH($F31,'ESG'!$B$10:$B$17,0))),"N/A")</f>
        <v/>
      </c>
      <c r="Q31" s="52">
        <f>IFERROR(IF(INDEX('CIOG'!$N$10:$N$14,MATCH($F31,'CIOG'!$B$10:$B$14,0))="","Cell will autofill based on response",INDEX('CIOG'!$N$10:$N$14,MATCH($F31,'CIOG'!$B$10:$B$14,0))),"N/A")</f>
        <v/>
      </c>
      <c r="R31" s="52">
        <f>IFERROR(IF(INDEX('MRE'!$N$10:$N$18,MATCH($F31,'MRE'!$B$10:$B$18,0))="","Cell will autofill based on response",INDEX('MRE'!$N$10:$N$18,MATCH($F31,'MRE'!$B$10:$B$18,0))),"N/A")</f>
        <v/>
      </c>
      <c r="S31" s="52">
        <f>IFERROR(IF(INDEX('AC&amp;M'!$N$10:$N$14,MATCH($F31,'AC&amp;M'!$B$10:$B$14,0))="","Cell will autofill based on response",INDEX('AC&amp;M'!$N$10:$N$14,MATCH($F31,'AC&amp;M'!$B$10:$B$14,0))),"N/A")</f>
        <v/>
      </c>
      <c r="T31" s="52">
        <f>IFERROR(IF(INDEX('GCE'!$N$10:$N$12,MATCH($F31,'GCE'!$B$10:$B$12,0))="","Cell will autofill based on response",INDEX('GCE'!$N$10:$N$12,MATCH($F31,'GCE'!$B$10:$B$12,0))),"N/A")</f>
        <v/>
      </c>
      <c r="U31" s="52">
        <f>IFERROR(IF(INDEX('Education'!$N$10:$N$13,MATCH($F31,'Education'!$B$10:$B$13,0))="","Cell will autofill based on response",INDEX('Education'!$N$10:$N$13,MATCH($F31,'Education'!$B$10:$B$13,0))),"N/A")</f>
        <v/>
      </c>
      <c r="V31" s="52">
        <f>IFERROR(IF(INDEX('SaSS'!$N$10:$N$12,MATCH($F31,'SaSS'!$B$10:$B$12,0))="","Cell will autofill based on response",INDEX('SaSS'!$N$10:$N$12,MATCH($F31,'SaSS'!$B$10:$B$12,0))),"N/A")</f>
        <v/>
      </c>
      <c r="W31" s="52">
        <f>IFERROR(IF(INDEX('Indigenous'!$N$10:$N$11,MATCH($F31,'Indigenous'!$B$10:$B$11,0))="","Cell will autofill based on response",INDEX('Indigenous'!$N$10:$N$11,MATCH($F31,'Indigenous'!$B$10:$B$11,0))),"N/A")</f>
        <v/>
      </c>
      <c r="X31" s="52">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2">
        <f>IFERROR(IF(INDEX('Faculties'!$O$10:$O$19,MATCH($F32,'Faculties'!$B$10:$B$19,0))="","Cell will autofill based on response",INDEX('Faculties'!$O$10:$O$19,MATCH($F32,'Faculties'!$B$10:$B$19,0))),"N/A")</f>
        <v/>
      </c>
      <c r="I32" s="52">
        <f>IFERROR(IF(INDEX('Faculties'!$O$26:$O$35,MATCH($F32,'Faculties'!$B$26:$B$35,0))="","Cell will autofill based on response",INDEX('Faculties'!$O$26:$O$35,MATCH($F32,'Faculties'!$B$26:$B$35,0))),"N/A")</f>
        <v/>
      </c>
      <c r="J32" s="52">
        <f>IFERROR(IF(INDEX('Faculties'!$O$42:$O$51,MATCH($F32,'Faculties'!$B$42:$B$51,0))="","Cell will autofill based on response",INDEX('Faculties'!$O$42:$O$51,MATCH($F32,'Faculties'!$B$42:$B$51,0))),"N/A")</f>
        <v/>
      </c>
      <c r="K32" s="52">
        <f>IFERROR(IF(INDEX('Faculties'!$O$58:$O$67,MATCH($F32,'Faculties'!$B$58:$B$67,0))="","Cell will autofill based on response",INDEX('Faculties'!$O$58:$O$67,MATCH($F32,'Faculties'!$B$58:$B$67,0))),"N/A")</f>
        <v/>
      </c>
      <c r="L32" s="52">
        <f>IFERROR(IF(INDEX('CI&amp;S'!$O$10:$O$15,MATCH($F32,'CI&amp;S'!$B$10:$B$15,0))="","Cell will autofill based on response",INDEX('CI&amp;S'!$O$10:$O$15,MATCH($F32,'CI&amp;S'!$B$10:$B$15,0))),"N/A")</f>
        <v/>
      </c>
      <c r="M32" s="52">
        <f>IFERROR(IF(INDEX('CI&amp;S'!$O$22:$O$36,MATCH($F32,'CI&amp;S'!$B$22:$B$36,0))="","Cell will autofill based on response",INDEX('CI&amp;S'!$O$22:$O$36,MATCH($F32,'CI&amp;S'!$B$22:$B$36,0))),"N/A")</f>
        <v/>
      </c>
      <c r="N32" s="52">
        <f>IFERROR(IF(INDEX('CFOG'!$O$10:$O$16,MATCH($F32,'CFOG'!$B$10:$B$16,0))="","Cell will autofill based on response",INDEX('CFOG'!$O$10:$O$16,MATCH($F32,'CFOG'!$B$10:$B$16,0))),"N/A")</f>
        <v/>
      </c>
      <c r="O32" s="52">
        <f>IFERROR(IF(INDEX('CFOG'!$O$23:$O$24,MATCH($F32,'CFOG'!$B$23:$B$24,0))="","Cell will autofill based on response",INDEX('CFOG'!$O$23:$O$24,MATCH($F32,'CFOG'!$B$23:$B$24,0))),"N/A")</f>
        <v/>
      </c>
      <c r="P32" s="52">
        <f>IFERROR(IF(INDEX('ESG'!$O$10:$O$17,MATCH($F32,'ESG'!$B$10:$B$17,0))="","Cell will autofill based on response",INDEX('ESG'!$O$10:$O$17,MATCH($F32,'ESG'!$B$10:$B$17,0))),"N/A")</f>
        <v/>
      </c>
      <c r="Q32" s="52">
        <f>IFERROR(IF(INDEX('CIOG'!$O$10:$O$14,MATCH($F32,'CIOG'!$B$10:$B$14,0))="","Cell will autofill based on response",INDEX('CIOG'!$O$10:$O$14,MATCH($F32,'CIOG'!$B$10:$B$14,0))),"N/A")</f>
        <v/>
      </c>
      <c r="R32" s="52">
        <f>IFERROR(IF(INDEX('MRE'!$O$10:$O$18,MATCH($F32,'MRE'!$B$10:$B$18,0))="","Cell will autofill based on response",INDEX('MRE'!$O$10:$O$18,MATCH($F32,'MRE'!$B$10:$B$18,0))),"N/A")</f>
        <v/>
      </c>
      <c r="S32" s="52">
        <f>IFERROR(IF(INDEX('AC&amp;M'!$O$10:$O$14,MATCH($F32,'AC&amp;M'!$B$10:$B$14,0))="","Cell will autofill based on response",INDEX('AC&amp;M'!$O$10:$O$14,MATCH($F32,'AC&amp;M'!$B$10:$B$14,0))),"N/A")</f>
        <v/>
      </c>
      <c r="T32" s="52">
        <f>IFERROR(IF(INDEX('GCE'!$O$10:$O$12,MATCH($F32,'GCE'!$B$10:$B$12,0))="","Cell will autofill based on response",INDEX('GCE'!$O$10:$O$12,MATCH($F32,'GCE'!$B$10:$B$12,0))),"N/A")</f>
        <v/>
      </c>
      <c r="U32" s="52">
        <f>IFERROR(IF(INDEX('Education'!$O$10:$O$13,MATCH($F32,'Education'!$B$10:$B$13,0))="","Cell will autofill based on response",INDEX('Education'!$O$10:$O$13,MATCH($F32,'Education'!$B$10:$B$13,0))),"N/A")</f>
        <v/>
      </c>
      <c r="V32" s="52">
        <f>IFERROR(IF(INDEX('SaSS'!$O$10:$O$12,MATCH($F32,'SaSS'!$B$10:$B$12,0))="","Cell will autofill based on response",INDEX('SaSS'!$O$10:$O$12,MATCH($F32,'SaSS'!$B$10:$B$12,0))),"N/A")</f>
        <v/>
      </c>
      <c r="W32" s="52">
        <f>IFERROR(IF(INDEX('Indigenous'!$O$10:$O$11,MATCH($F32,'Indigenous'!$B$10:$B$11,0))="","Cell will autofill based on response",INDEX('Indigenous'!$O$10:$O$11,MATCH($F32,'Indigenous'!$B$10:$B$11,0))),"N/A")</f>
        <v/>
      </c>
      <c r="X32" s="52">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2">
        <f>IFERROR(IF(INDEX('Faculties'!$P$10:$P$19,MATCH($F33,'Faculties'!$B$10:$B$19,0))="","Cell will autofill based on response",INDEX('Faculties'!$P$10:$P$19,MATCH($F33,'Faculties'!$B$10:$B$19,0))),"N/A")</f>
        <v/>
      </c>
      <c r="I33" s="52">
        <f>IFERROR(IF(INDEX('Faculties'!$P$26:$P$35,MATCH($F33,'Faculties'!$B$26:$B$35,0))="","Cell will autofill based on response",INDEX('Faculties'!$P$26:$P$35,MATCH($F33,'Faculties'!$B$26:$B$35,0))),"N/A")</f>
        <v/>
      </c>
      <c r="J33" s="52">
        <f>IFERROR(IF(INDEX('Faculties'!$P$42:$P$51,MATCH($F33,'Faculties'!$B$42:$B$51,0))="","Cell will autofill based on response",INDEX('Faculties'!$P$42:$P$51,MATCH($F33,'Faculties'!$B$42:$B$51,0))),"N/A")</f>
        <v/>
      </c>
      <c r="K33" s="52">
        <f>IFERROR(IF(INDEX('Faculties'!$P$58:$P$67,MATCH($F33,'Faculties'!$B$58:$B$67,0))="","Cell will autofill based on response",INDEX('Faculties'!$P$58:$P$67,MATCH($F33,'Faculties'!$B$58:$B$67,0))),"N/A")</f>
        <v/>
      </c>
      <c r="L33" s="52">
        <f>IFERROR(IF(INDEX('CI&amp;S'!$P$10:$P$15,MATCH($F33,'CI&amp;S'!$B$10:$B$15,0))="","Cell will autofill based on response",INDEX('CI&amp;S'!$P$10:$P$15,MATCH($F33,'CI&amp;S'!$B$10:$B$15,0))),"N/A")</f>
        <v/>
      </c>
      <c r="M33" s="52">
        <f>IFERROR(IF(INDEX('CI&amp;S'!$P$22:$P$36,MATCH($F33,'CI&amp;S'!$B$22:$B$36,0))="","Cell will autofill based on response",INDEX('CI&amp;S'!$P$22:$P$36,MATCH($F33,'CI&amp;S'!$B$22:$B$36,0))),"N/A")</f>
        <v/>
      </c>
      <c r="N33" s="52">
        <f>IFERROR(IF(INDEX('CFOG'!$P$10:$P$16,MATCH($F33,'CFOG'!$B$10:$B$16,0))="","Cell will autofill based on response",INDEX('CFOG'!$P$10:$P$16,MATCH($F33,'CFOG'!$B$10:$B$16,0))),"N/A")</f>
        <v/>
      </c>
      <c r="O33" s="52">
        <f>IFERROR(IF(INDEX('CFOG'!$P$23:$P$24,MATCH($F33,'CFOG'!$B$23:$B$24,0))="","Cell will autofill based on response",INDEX('CFOG'!$P$23:$P$24,MATCH($F33,'CFOG'!$B$23:$B$24,0))),"N/A")</f>
        <v/>
      </c>
      <c r="P33" s="52">
        <f>IFERROR(IF(INDEX('ESG'!$P$10:$P$17,MATCH($F33,'ESG'!$B$10:$B$17,0))="","Cell will autofill based on response",INDEX('ESG'!$P$10:$P$17,MATCH($F33,'ESG'!$B$10:$B$17,0))),"N/A")</f>
        <v/>
      </c>
      <c r="Q33" s="52">
        <f>IFERROR(IF(INDEX('CIOG'!$P$10:$P$14,MATCH($F33,'CIOG'!$B$10:$B$14,0))="","Cell will autofill based on response",INDEX('CIOG'!$P$10:$P$14,MATCH($F33,'CIOG'!$B$10:$B$14,0))),"N/A")</f>
        <v/>
      </c>
      <c r="R33" s="52">
        <f>IFERROR(IF(INDEX('MRE'!$P$10:$P$18,MATCH($F33,'MRE'!$B$10:$B$18,0))="","Cell will autofill based on response",INDEX('MRE'!$P$10:$P$18,MATCH($F33,'MRE'!$B$10:$B$18,0))),"N/A")</f>
        <v/>
      </c>
      <c r="S33" s="52">
        <f>IFERROR(IF(INDEX('AC&amp;M'!$P$10:$P$14,MATCH($F33,'AC&amp;M'!$B$10:$B$14,0))="","Cell will autofill based on response",INDEX('AC&amp;M'!$P$10:$P$14,MATCH($F33,'AC&amp;M'!$B$10:$B$14,0))),"N/A")</f>
        <v/>
      </c>
      <c r="T33" s="52">
        <f>IFERROR(IF(INDEX('GCE'!$P$10:$P$12,MATCH($F33,'GCE'!$B$10:$B$12,0))="","Cell will autofill based on response",INDEX('GCE'!$P$10:$P$12,MATCH($F33,'GCE'!$B$10:$B$12,0))),"N/A")</f>
        <v/>
      </c>
      <c r="U33" s="52">
        <f>IFERROR(IF(INDEX('Education'!$P$10:$P$13,MATCH($F33,'Education'!$B$10:$B$13,0))="","Cell will autofill based on response",INDEX('Education'!$P$10:$P$13,MATCH($F33,'Education'!$B$10:$B$13,0))),"N/A")</f>
        <v/>
      </c>
      <c r="V33" s="52">
        <f>IFERROR(IF(INDEX('SaSS'!$P$10:$P$12,MATCH($F33,'SaSS'!$B$10:$B$12,0))="","Cell will autofill based on response",INDEX('SaSS'!$P$10:$P$12,MATCH($F33,'SaSS'!$B$10:$B$12,0))),"N/A")</f>
        <v/>
      </c>
      <c r="W33" s="52">
        <f>IFERROR(IF(INDEX('Indigenous'!$P$10:$P$11,MATCH($F33,'Indigenous'!$B$10:$B$11,0))="","Cell will autofill based on response",INDEX('Indigenous'!$P$10:$P$11,MATCH($F33,'Indigenous'!$B$10:$B$11,0))),"N/A")</f>
        <v/>
      </c>
      <c r="X33" s="52">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2">
        <f>IFERROR(IF(INDEX('Faculties'!$Q$10:$Q$19,MATCH($F34,'Faculties'!$B$10:$B$19,0))="","Cell will autofill based on response",INDEX('Faculties'!$Q$10:$Q$19,MATCH($F34,'Faculties'!$B$10:$B$19,0))),"N/A")</f>
        <v/>
      </c>
      <c r="I34" s="52">
        <f>IFERROR(IF(INDEX('Faculties'!$Q$26:$Q$35,MATCH($F34,'Faculties'!$B$26:$B$35,0))="","Cell will autofill based on response",INDEX('Faculties'!$Q$26:$Q$35,MATCH($F34,'Faculties'!$B$26:$B$35,0))),"N/A")</f>
        <v/>
      </c>
      <c r="J34" s="52">
        <f>IFERROR(IF(INDEX('Faculties'!$Q$42:$Q$51,MATCH($F34,'Faculties'!$B$42:$B$51,0))="","Cell will autofill based on response",INDEX('Faculties'!$Q$42:$Q$51,MATCH($F34,'Faculties'!$B$42:$B$51,0))),"N/A")</f>
        <v/>
      </c>
      <c r="K34" s="52">
        <f>IFERROR(IF(INDEX('Faculties'!$Q$58:$Q$67,MATCH($F34,'Faculties'!$B$58:$B$67,0))="","Cell will autofill based on response",INDEX('Faculties'!$Q$58:$Q$67,MATCH($F34,'Faculties'!$B$58:$B$67,0))),"N/A")</f>
        <v/>
      </c>
      <c r="L34" s="52">
        <f>IFERROR(IF(INDEX('CI&amp;S'!$Q$10:$Q$15,MATCH($F34,'CI&amp;S'!$B$10:$B$15,0))="","Cell will autofill based on response",INDEX('CI&amp;S'!$Q$10:$Q$15,MATCH($F34,'CI&amp;S'!$B$10:$B$15,0))),"N/A")</f>
        <v/>
      </c>
      <c r="M34" s="52">
        <f>IFERROR(IF(INDEX('CI&amp;S'!$Q$22:$Q$36,MATCH($F34,'CI&amp;S'!$B$22:$B$36,0))="","Cell will autofill based on response",INDEX('CI&amp;S'!$Q$22:$Q$36,MATCH($F34,'CI&amp;S'!$B$22:$B$36,0))),"N/A")</f>
        <v/>
      </c>
      <c r="N34" s="52">
        <f>IFERROR(IF(INDEX('CFOG'!$Q$10:$Q$16,MATCH($F34,'CFOG'!$B$10:$B$16,0))="","Cell will autofill based on response",INDEX('CFOG'!$Q$10:$Q$16,MATCH($F34,'CFOG'!$B$10:$B$16,0))),"N/A")</f>
        <v/>
      </c>
      <c r="O34" s="52">
        <f>IFERROR(IF(INDEX('CFOG'!$Q$23:$Q$24,MATCH($F34,'CFOG'!$B$23:$B$24,0))="","Cell will autofill based on response",INDEX('CFOG'!$Q$23:$Q$24,MATCH($F34,'CFOG'!$B$23:$B$24,0))),"N/A")</f>
        <v/>
      </c>
      <c r="P34" s="52">
        <f>IFERROR(IF(INDEX('ESG'!$Q$10:$Q$17,MATCH($F34,'ESG'!$B$10:$B$17,0))="","Cell will autofill based on response",INDEX('ESG'!$Q$10:$Q$17,MATCH($F34,'ESG'!$B$10:$B$17,0))),"N/A")</f>
        <v/>
      </c>
      <c r="Q34" s="52">
        <f>IFERROR(IF(INDEX('CIOG'!$Q$10:$Q$14,MATCH($F34,'CIOG'!$B$10:$B$14,0))="","Cell will autofill based on response",INDEX('CIOG'!$Q$10:$Q$14,MATCH($F34,'CIOG'!$B$10:$B$14,0))),"N/A")</f>
        <v/>
      </c>
      <c r="R34" s="52">
        <f>IFERROR(IF(INDEX('MRE'!$Q$10:$Q$18,MATCH($F34,'MRE'!$B$10:$B$18,0))="","Cell will autofill based on response",INDEX('MRE'!$Q$10:$Q$18,MATCH($F34,'MRE'!$B$10:$B$18,0))),"N/A")</f>
        <v/>
      </c>
      <c r="S34" s="52">
        <f>IFERROR(IF(INDEX('AC&amp;M'!$Q$10:$Q$14,MATCH($F34,'AC&amp;M'!$B$10:$B$14,0))="","Cell will autofill based on response",INDEX('AC&amp;M'!$Q$10:$Q$14,MATCH($F34,'AC&amp;M'!$B$10:$B$14,0))),"N/A")</f>
        <v/>
      </c>
      <c r="T34" s="52">
        <f>IFERROR(IF(INDEX('GCE'!$Q$10:$Q$12,MATCH($F34,'GCE'!$B$10:$B$12,0))="","Cell will autofill based on response",INDEX('GCE'!$Q$10:$Q$12,MATCH($F34,'GCE'!$B$10:$B$12,0))),"N/A")</f>
        <v/>
      </c>
      <c r="U34" s="52">
        <f>IFERROR(IF(INDEX('Education'!$Q$10:$Q$13,MATCH($F34,'Education'!$B$10:$B$13,0))="","Cell will autofill based on response",INDEX('Education'!$Q$10:$Q$13,MATCH($F34,'Education'!$B$10:$B$13,0))),"N/A")</f>
        <v/>
      </c>
      <c r="V34" s="52">
        <f>IFERROR(IF(INDEX('SaSS'!$Q$10:$Q$12,MATCH($F34,'SaSS'!$B$10:$B$12,0))="","Cell will autofill based on response",INDEX('SaSS'!$Q$10:$Q$12,MATCH($F34,'SaSS'!$B$10:$B$12,0))),"N/A")</f>
        <v/>
      </c>
      <c r="W34" s="52">
        <f>IFERROR(IF(INDEX('Indigenous'!$Q$10:$Q$11,MATCH($F34,'Indigenous'!$B$10:$B$11,0))="","Cell will autofill based on response",INDEX('Indigenous'!$Q$10:$Q$11,MATCH($F34,'Indigenous'!$B$10:$B$11,0))),"N/A")</f>
        <v/>
      </c>
      <c r="X34" s="52">
        <f>IFERROR(IF(INDEX('L&amp;R'!$Q$10:$Q$11,MATCH($F34,'L&amp;R'!$B$10:$B$11,0))="","Cell will autofill based on response",INDEX('L&amp;R'!$Q$10:$Q$11,MATCH($F34,'L&amp;R'!$B$10:$B$11,0))),"N/A")</f>
        <v/>
      </c>
    </row>
    <row r="35">
      <c r="A35">
        <f>F35&amp;"|"&amp;G35</f>
        <v/>
      </c>
      <c r="B35" s="7" t="inlineStr">
        <is>
          <t>TR1(a)</t>
        </is>
      </c>
      <c r="C35" s="50" t="inlineStr">
        <is>
          <t>Transformational research</t>
        </is>
      </c>
      <c r="D35" s="50" t="inlineStr">
        <is>
          <t>Expert-reviewed evidence of researchers contributing to operational sustainability priorities through partnerships, advisory input, living labs, applied projects or decision-support</t>
        </is>
      </c>
      <c r="E35"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0" t="inlineStr">
        <is>
          <t>TR1(a)</t>
        </is>
      </c>
      <c r="G35" s="50" t="inlineStr">
        <is>
          <t>Confirm end-2026 target status</t>
        </is>
      </c>
      <c r="H35" s="52">
        <f>IFERROR(IF(INDEX('Faculties'!$L$10:$L$19,MATCH($F35,'Faculties'!$B$10:$B$19,0))="","Cell will autofill based on response",INDEX('Faculties'!$L$10:$L$19,MATCH($F35,'Faculties'!$B$10:$B$19,0))),"N/A")</f>
        <v/>
      </c>
      <c r="I35" s="52">
        <f>IFERROR(IF(INDEX('Faculties'!$L$26:$L$35,MATCH($F35,'Faculties'!$B$26:$B$35,0))="","Cell will autofill based on response",INDEX('Faculties'!$L$26:$L$35,MATCH($F35,'Faculties'!$B$26:$B$35,0))),"N/A")</f>
        <v/>
      </c>
      <c r="J35" s="52">
        <f>IFERROR(IF(INDEX('Faculties'!$L$42:$L$51,MATCH($F35,'Faculties'!$B$42:$B$51,0))="","Cell will autofill based on response",INDEX('Faculties'!$L$42:$L$51,MATCH($F35,'Faculties'!$B$42:$B$51,0))),"N/A")</f>
        <v/>
      </c>
      <c r="K35" s="52">
        <f>IFERROR(IF(INDEX('Faculties'!$L$58:$L$67,MATCH($F35,'Faculties'!$B$58:$B$67,0))="","Cell will autofill based on response",INDEX('Faculties'!$L$58:$L$67,MATCH($F35,'Faculties'!$B$58:$B$67,0))),"N/A")</f>
        <v/>
      </c>
      <c r="L35" s="52">
        <f>IFERROR(IF(INDEX('CI&amp;S'!$L$10:$L$15,MATCH($F35,'CI&amp;S'!$B$10:$B$15,0))="","Cell will autofill based on response",INDEX('CI&amp;S'!$L$10:$L$15,MATCH($F35,'CI&amp;S'!$B$10:$B$15,0))),"N/A")</f>
        <v/>
      </c>
      <c r="M35" s="52">
        <f>IFERROR(IF(INDEX('CI&amp;S'!$L$22:$L$36,MATCH($F35,'CI&amp;S'!$B$22:$B$36,0))="","Cell will autofill based on response",INDEX('CI&amp;S'!$L$22:$L$36,MATCH($F35,'CI&amp;S'!$B$22:$B$36,0))),"N/A")</f>
        <v/>
      </c>
      <c r="N35" s="52">
        <f>IFERROR(IF(INDEX('CFOG'!$L$10:$L$16,MATCH($F35,'CFOG'!$B$10:$B$16,0))="","Cell will autofill based on response",INDEX('CFOG'!$L$10:$L$16,MATCH($F35,'CFOG'!$B$10:$B$16,0))),"N/A")</f>
        <v/>
      </c>
      <c r="O35" s="52">
        <f>IFERROR(IF(INDEX('CFOG'!$L$23:$L$24,MATCH($F35,'CFOG'!$B$23:$B$24,0))="","Cell will autofill based on response",INDEX('CFOG'!$L$23:$L$24,MATCH($F35,'CFOG'!$B$23:$B$24,0))),"N/A")</f>
        <v/>
      </c>
      <c r="P35" s="52">
        <f>IFERROR(IF(INDEX('ESG'!$L$10:$L$17,MATCH($F35,'ESG'!$B$10:$B$17,0))="","Cell will autofill based on response",INDEX('ESG'!$L$10:$L$17,MATCH($F35,'ESG'!$B$10:$B$17,0))),"N/A")</f>
        <v/>
      </c>
      <c r="Q35" s="52">
        <f>IFERROR(IF(INDEX('CIOG'!$L$10:$L$14,MATCH($F35,'CIOG'!$B$10:$B$14,0))="","Cell will autofill based on response",INDEX('CIOG'!$L$10:$L$14,MATCH($F35,'CIOG'!$B$10:$B$14,0))),"N/A")</f>
        <v/>
      </c>
      <c r="R35" s="52">
        <f>IFERROR(IF(INDEX('MRE'!$L$10:$L$18,MATCH($F35,'MRE'!$B$10:$B$18,0))="","Cell will autofill based on response",INDEX('MRE'!$L$10:$L$18,MATCH($F35,'MRE'!$B$10:$B$18,0))),"N/A")</f>
        <v/>
      </c>
      <c r="S35" s="52">
        <f>IFERROR(IF(INDEX('AC&amp;M'!$L$10:$L$14,MATCH($F35,'AC&amp;M'!$B$10:$B$14,0))="","Cell will autofill based on response",INDEX('AC&amp;M'!$L$10:$L$14,MATCH($F35,'AC&amp;M'!$B$10:$B$14,0))),"N/A")</f>
        <v/>
      </c>
      <c r="T35" s="52">
        <f>IFERROR(IF(INDEX('GCE'!$L$10:$L$12,MATCH($F35,'GCE'!$B$10:$B$12,0))="","Cell will autofill based on response",INDEX('GCE'!$L$10:$L$12,MATCH($F35,'GCE'!$B$10:$B$12,0))),"N/A")</f>
        <v/>
      </c>
      <c r="U35" s="52">
        <f>IFERROR(IF(INDEX('Education'!$L$10:$L$13,MATCH($F35,'Education'!$B$10:$B$13,0))="","Cell will autofill based on response",INDEX('Education'!$L$10:$L$13,MATCH($F35,'Education'!$B$10:$B$13,0))),"N/A")</f>
        <v/>
      </c>
      <c r="V35" s="52">
        <f>IFERROR(IF(INDEX('SaSS'!$L$10:$L$12,MATCH($F35,'SaSS'!$B$10:$B$12,0))="","Cell will autofill based on response",INDEX('SaSS'!$L$10:$L$12,MATCH($F35,'SaSS'!$B$10:$B$12,0))),"N/A")</f>
        <v/>
      </c>
      <c r="W35" s="52">
        <f>IFERROR(IF(INDEX('Indigenous'!$L$10:$L$11,MATCH($F35,'Indigenous'!$B$10:$B$11,0))="","Cell will autofill based on response",INDEX('Indigenous'!$L$10:$L$11,MATCH($F35,'Indigenous'!$B$10:$B$11,0))),"N/A")</f>
        <v/>
      </c>
      <c r="X35" s="52">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3">
        <f>IF(AF35&gt;0,AE35/AF35,"No valid responses to date")</f>
        <v/>
      </c>
      <c r="AH35" s="10">
        <f>IF(ISNUMBER(AG35),INDEX(Lists!$G$2:$G$5,MATCH(ROUND(AG35,0),Lists!$H$2:$H$5,0)),"")</f>
        <v/>
      </c>
      <c r="AI35" s="54">
        <f>IF(AF35&gt;0,AD35/AF35,"")</f>
        <v/>
      </c>
      <c r="AJ35" s="54">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2">
        <f>IFERROR(IF(INDEX('Faculties'!$M$10:$M$19,MATCH($F36,'Faculties'!$B$10:$B$19,0))="","Cell will autofill based on response",INDEX('Faculties'!$M$10:$M$19,MATCH($F36,'Faculties'!$B$10:$B$19,0))),"N/A")</f>
        <v/>
      </c>
      <c r="I36" s="52">
        <f>IFERROR(IF(INDEX('Faculties'!$M$26:$M$35,MATCH($F36,'Faculties'!$B$26:$B$35,0))="","Cell will autofill based on response",INDEX('Faculties'!$M$26:$M$35,MATCH($F36,'Faculties'!$B$26:$B$35,0))),"N/A")</f>
        <v/>
      </c>
      <c r="J36" s="52">
        <f>IFERROR(IF(INDEX('Faculties'!$M$42:$M$51,MATCH($F36,'Faculties'!$B$42:$B$51,0))="","Cell will autofill based on response",INDEX('Faculties'!$M$42:$M$51,MATCH($F36,'Faculties'!$B$42:$B$51,0))),"N/A")</f>
        <v/>
      </c>
      <c r="K36" s="52">
        <f>IFERROR(IF(INDEX('Faculties'!$M$58:$M$67,MATCH($F36,'Faculties'!$B$58:$B$67,0))="","Cell will autofill based on response",INDEX('Faculties'!$M$58:$M$67,MATCH($F36,'Faculties'!$B$58:$B$67,0))),"N/A")</f>
        <v/>
      </c>
      <c r="L36" s="52">
        <f>IFERROR(IF(INDEX('CI&amp;S'!$M$10:$M$15,MATCH($F36,'CI&amp;S'!$B$10:$B$15,0))="","Cell will autofill based on response",INDEX('CI&amp;S'!$M$10:$M$15,MATCH($F36,'CI&amp;S'!$B$10:$B$15,0))),"N/A")</f>
        <v/>
      </c>
      <c r="M36" s="52">
        <f>IFERROR(IF(INDEX('CI&amp;S'!$M$22:$M$36,MATCH($F36,'CI&amp;S'!$B$22:$B$36,0))="","Cell will autofill based on response",INDEX('CI&amp;S'!$M$22:$M$36,MATCH($F36,'CI&amp;S'!$B$22:$B$36,0))),"N/A")</f>
        <v/>
      </c>
      <c r="N36" s="52">
        <f>IFERROR(IF(INDEX('CFOG'!$M$10:$M$16,MATCH($F36,'CFOG'!$B$10:$B$16,0))="","Cell will autofill based on response",INDEX('CFOG'!$M$10:$M$16,MATCH($F36,'CFOG'!$B$10:$B$16,0))),"N/A")</f>
        <v/>
      </c>
      <c r="O36" s="52">
        <f>IFERROR(IF(INDEX('CFOG'!$M$23:$M$24,MATCH($F36,'CFOG'!$B$23:$B$24,0))="","Cell will autofill based on response",INDEX('CFOG'!$M$23:$M$24,MATCH($F36,'CFOG'!$B$23:$B$24,0))),"N/A")</f>
        <v/>
      </c>
      <c r="P36" s="52">
        <f>IFERROR(IF(INDEX('ESG'!$M$10:$M$17,MATCH($F36,'ESG'!$B$10:$B$17,0))="","Cell will autofill based on response",INDEX('ESG'!$M$10:$M$17,MATCH($F36,'ESG'!$B$10:$B$17,0))),"N/A")</f>
        <v/>
      </c>
      <c r="Q36" s="52">
        <f>IFERROR(IF(INDEX('CIOG'!$M$10:$M$14,MATCH($F36,'CIOG'!$B$10:$B$14,0))="","Cell will autofill based on response",INDEX('CIOG'!$M$10:$M$14,MATCH($F36,'CIOG'!$B$10:$B$14,0))),"N/A")</f>
        <v/>
      </c>
      <c r="R36" s="52">
        <f>IFERROR(IF(INDEX('MRE'!$M$10:$M$18,MATCH($F36,'MRE'!$B$10:$B$18,0))="","Cell will autofill based on response",INDEX('MRE'!$M$10:$M$18,MATCH($F36,'MRE'!$B$10:$B$18,0))),"N/A")</f>
        <v/>
      </c>
      <c r="S36" s="52">
        <f>IFERROR(IF(INDEX('AC&amp;M'!$M$10:$M$14,MATCH($F36,'AC&amp;M'!$B$10:$B$14,0))="","Cell will autofill based on response",INDEX('AC&amp;M'!$M$10:$M$14,MATCH($F36,'AC&amp;M'!$B$10:$B$14,0))),"N/A")</f>
        <v/>
      </c>
      <c r="T36" s="52">
        <f>IFERROR(IF(INDEX('GCE'!$M$10:$M$12,MATCH($F36,'GCE'!$B$10:$B$12,0))="","Cell will autofill based on response",INDEX('GCE'!$M$10:$M$12,MATCH($F36,'GCE'!$B$10:$B$12,0))),"N/A")</f>
        <v/>
      </c>
      <c r="U36" s="52">
        <f>IFERROR(IF(INDEX('Education'!$M$10:$M$13,MATCH($F36,'Education'!$B$10:$B$13,0))="","Cell will autofill based on response",INDEX('Education'!$M$10:$M$13,MATCH($F36,'Education'!$B$10:$B$13,0))),"N/A")</f>
        <v/>
      </c>
      <c r="V36" s="52">
        <f>IFERROR(IF(INDEX('SaSS'!$M$10:$M$12,MATCH($F36,'SaSS'!$B$10:$B$12,0))="","Cell will autofill based on response",INDEX('SaSS'!$M$10:$M$12,MATCH($F36,'SaSS'!$B$10:$B$12,0))),"N/A")</f>
        <v/>
      </c>
      <c r="W36" s="52">
        <f>IFERROR(IF(INDEX('Indigenous'!$M$10:$M$11,MATCH($F36,'Indigenous'!$B$10:$B$11,0))="","Cell will autofill based on response",INDEX('Indigenous'!$M$10:$M$11,MATCH($F36,'Indigenous'!$B$10:$B$11,0))),"N/A")</f>
        <v/>
      </c>
      <c r="X36" s="52">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2">
        <f>IFERROR(IF(INDEX('Faculties'!$N$10:$N$19,MATCH($F37,'Faculties'!$B$10:$B$19,0))="","Cell will autofill based on response",INDEX('Faculties'!$N$10:$N$19,MATCH($F37,'Faculties'!$B$10:$B$19,0))),"N/A")</f>
        <v/>
      </c>
      <c r="I37" s="52">
        <f>IFERROR(IF(INDEX('Faculties'!$N$26:$N$35,MATCH($F37,'Faculties'!$B$26:$B$35,0))="","Cell will autofill based on response",INDEX('Faculties'!$N$26:$N$35,MATCH($F37,'Faculties'!$B$26:$B$35,0))),"N/A")</f>
        <v/>
      </c>
      <c r="J37" s="52">
        <f>IFERROR(IF(INDEX('Faculties'!$N$42:$N$51,MATCH($F37,'Faculties'!$B$42:$B$51,0))="","Cell will autofill based on response",INDEX('Faculties'!$N$42:$N$51,MATCH($F37,'Faculties'!$B$42:$B$51,0))),"N/A")</f>
        <v/>
      </c>
      <c r="K37" s="52">
        <f>IFERROR(IF(INDEX('Faculties'!$N$58:$N$67,MATCH($F37,'Faculties'!$B$58:$B$67,0))="","Cell will autofill based on response",INDEX('Faculties'!$N$58:$N$67,MATCH($F37,'Faculties'!$B$58:$B$67,0))),"N/A")</f>
        <v/>
      </c>
      <c r="L37" s="52">
        <f>IFERROR(IF(INDEX('CI&amp;S'!$N$10:$N$15,MATCH($F37,'CI&amp;S'!$B$10:$B$15,0))="","Cell will autofill based on response",INDEX('CI&amp;S'!$N$10:$N$15,MATCH($F37,'CI&amp;S'!$B$10:$B$15,0))),"N/A")</f>
        <v/>
      </c>
      <c r="M37" s="52">
        <f>IFERROR(IF(INDEX('CI&amp;S'!$N$22:$N$36,MATCH($F37,'CI&amp;S'!$B$22:$B$36,0))="","Cell will autofill based on response",INDEX('CI&amp;S'!$N$22:$N$36,MATCH($F37,'CI&amp;S'!$B$22:$B$36,0))),"N/A")</f>
        <v/>
      </c>
      <c r="N37" s="52">
        <f>IFERROR(IF(INDEX('CFOG'!$N$10:$N$16,MATCH($F37,'CFOG'!$B$10:$B$16,0))="","Cell will autofill based on response",INDEX('CFOG'!$N$10:$N$16,MATCH($F37,'CFOG'!$B$10:$B$16,0))),"N/A")</f>
        <v/>
      </c>
      <c r="O37" s="52">
        <f>IFERROR(IF(INDEX('CFOG'!$N$23:$N$24,MATCH($F37,'CFOG'!$B$23:$B$24,0))="","Cell will autofill based on response",INDEX('CFOG'!$N$23:$N$24,MATCH($F37,'CFOG'!$B$23:$B$24,0))),"N/A")</f>
        <v/>
      </c>
      <c r="P37" s="52">
        <f>IFERROR(IF(INDEX('ESG'!$N$10:$N$17,MATCH($F37,'ESG'!$B$10:$B$17,0))="","Cell will autofill based on response",INDEX('ESG'!$N$10:$N$17,MATCH($F37,'ESG'!$B$10:$B$17,0))),"N/A")</f>
        <v/>
      </c>
      <c r="Q37" s="52">
        <f>IFERROR(IF(INDEX('CIOG'!$N$10:$N$14,MATCH($F37,'CIOG'!$B$10:$B$14,0))="","Cell will autofill based on response",INDEX('CIOG'!$N$10:$N$14,MATCH($F37,'CIOG'!$B$10:$B$14,0))),"N/A")</f>
        <v/>
      </c>
      <c r="R37" s="52">
        <f>IFERROR(IF(INDEX('MRE'!$N$10:$N$18,MATCH($F37,'MRE'!$B$10:$B$18,0))="","Cell will autofill based on response",INDEX('MRE'!$N$10:$N$18,MATCH($F37,'MRE'!$B$10:$B$18,0))),"N/A")</f>
        <v/>
      </c>
      <c r="S37" s="52">
        <f>IFERROR(IF(INDEX('AC&amp;M'!$N$10:$N$14,MATCH($F37,'AC&amp;M'!$B$10:$B$14,0))="","Cell will autofill based on response",INDEX('AC&amp;M'!$N$10:$N$14,MATCH($F37,'AC&amp;M'!$B$10:$B$14,0))),"N/A")</f>
        <v/>
      </c>
      <c r="T37" s="52">
        <f>IFERROR(IF(INDEX('GCE'!$N$10:$N$12,MATCH($F37,'GCE'!$B$10:$B$12,0))="","Cell will autofill based on response",INDEX('GCE'!$N$10:$N$12,MATCH($F37,'GCE'!$B$10:$B$12,0))),"N/A")</f>
        <v/>
      </c>
      <c r="U37" s="52">
        <f>IFERROR(IF(INDEX('Education'!$N$10:$N$13,MATCH($F37,'Education'!$B$10:$B$13,0))="","Cell will autofill based on response",INDEX('Education'!$N$10:$N$13,MATCH($F37,'Education'!$B$10:$B$13,0))),"N/A")</f>
        <v/>
      </c>
      <c r="V37" s="52">
        <f>IFERROR(IF(INDEX('SaSS'!$N$10:$N$12,MATCH($F37,'SaSS'!$B$10:$B$12,0))="","Cell will autofill based on response",INDEX('SaSS'!$N$10:$N$12,MATCH($F37,'SaSS'!$B$10:$B$12,0))),"N/A")</f>
        <v/>
      </c>
      <c r="W37" s="52">
        <f>IFERROR(IF(INDEX('Indigenous'!$N$10:$N$11,MATCH($F37,'Indigenous'!$B$10:$B$11,0))="","Cell will autofill based on response",INDEX('Indigenous'!$N$10:$N$11,MATCH($F37,'Indigenous'!$B$10:$B$11,0))),"N/A")</f>
        <v/>
      </c>
      <c r="X37" s="52">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2">
        <f>IFERROR(IF(INDEX('Faculties'!$O$10:$O$19,MATCH($F38,'Faculties'!$B$10:$B$19,0))="","Cell will autofill based on response",INDEX('Faculties'!$O$10:$O$19,MATCH($F38,'Faculties'!$B$10:$B$19,0))),"N/A")</f>
        <v/>
      </c>
      <c r="I38" s="52">
        <f>IFERROR(IF(INDEX('Faculties'!$O$26:$O$35,MATCH($F38,'Faculties'!$B$26:$B$35,0))="","Cell will autofill based on response",INDEX('Faculties'!$O$26:$O$35,MATCH($F38,'Faculties'!$B$26:$B$35,0))),"N/A")</f>
        <v/>
      </c>
      <c r="J38" s="52">
        <f>IFERROR(IF(INDEX('Faculties'!$O$42:$O$51,MATCH($F38,'Faculties'!$B$42:$B$51,0))="","Cell will autofill based on response",INDEX('Faculties'!$O$42:$O$51,MATCH($F38,'Faculties'!$B$42:$B$51,0))),"N/A")</f>
        <v/>
      </c>
      <c r="K38" s="52">
        <f>IFERROR(IF(INDEX('Faculties'!$O$58:$O$67,MATCH($F38,'Faculties'!$B$58:$B$67,0))="","Cell will autofill based on response",INDEX('Faculties'!$O$58:$O$67,MATCH($F38,'Faculties'!$B$58:$B$67,0))),"N/A")</f>
        <v/>
      </c>
      <c r="L38" s="52">
        <f>IFERROR(IF(INDEX('CI&amp;S'!$O$10:$O$15,MATCH($F38,'CI&amp;S'!$B$10:$B$15,0))="","Cell will autofill based on response",INDEX('CI&amp;S'!$O$10:$O$15,MATCH($F38,'CI&amp;S'!$B$10:$B$15,0))),"N/A")</f>
        <v/>
      </c>
      <c r="M38" s="52">
        <f>IFERROR(IF(INDEX('CI&amp;S'!$O$22:$O$36,MATCH($F38,'CI&amp;S'!$B$22:$B$36,0))="","Cell will autofill based on response",INDEX('CI&amp;S'!$O$22:$O$36,MATCH($F38,'CI&amp;S'!$B$22:$B$36,0))),"N/A")</f>
        <v/>
      </c>
      <c r="N38" s="52">
        <f>IFERROR(IF(INDEX('CFOG'!$O$10:$O$16,MATCH($F38,'CFOG'!$B$10:$B$16,0))="","Cell will autofill based on response",INDEX('CFOG'!$O$10:$O$16,MATCH($F38,'CFOG'!$B$10:$B$16,0))),"N/A")</f>
        <v/>
      </c>
      <c r="O38" s="52">
        <f>IFERROR(IF(INDEX('CFOG'!$O$23:$O$24,MATCH($F38,'CFOG'!$B$23:$B$24,0))="","Cell will autofill based on response",INDEX('CFOG'!$O$23:$O$24,MATCH($F38,'CFOG'!$B$23:$B$24,0))),"N/A")</f>
        <v/>
      </c>
      <c r="P38" s="52">
        <f>IFERROR(IF(INDEX('ESG'!$O$10:$O$17,MATCH($F38,'ESG'!$B$10:$B$17,0))="","Cell will autofill based on response",INDEX('ESG'!$O$10:$O$17,MATCH($F38,'ESG'!$B$10:$B$17,0))),"N/A")</f>
        <v/>
      </c>
      <c r="Q38" s="52">
        <f>IFERROR(IF(INDEX('CIOG'!$O$10:$O$14,MATCH($F38,'CIOG'!$B$10:$B$14,0))="","Cell will autofill based on response",INDEX('CIOG'!$O$10:$O$14,MATCH($F38,'CIOG'!$B$10:$B$14,0))),"N/A")</f>
        <v/>
      </c>
      <c r="R38" s="52">
        <f>IFERROR(IF(INDEX('MRE'!$O$10:$O$18,MATCH($F38,'MRE'!$B$10:$B$18,0))="","Cell will autofill based on response",INDEX('MRE'!$O$10:$O$18,MATCH($F38,'MRE'!$B$10:$B$18,0))),"N/A")</f>
        <v/>
      </c>
      <c r="S38" s="52">
        <f>IFERROR(IF(INDEX('AC&amp;M'!$O$10:$O$14,MATCH($F38,'AC&amp;M'!$B$10:$B$14,0))="","Cell will autofill based on response",INDEX('AC&amp;M'!$O$10:$O$14,MATCH($F38,'AC&amp;M'!$B$10:$B$14,0))),"N/A")</f>
        <v/>
      </c>
      <c r="T38" s="52">
        <f>IFERROR(IF(INDEX('GCE'!$O$10:$O$12,MATCH($F38,'GCE'!$B$10:$B$12,0))="","Cell will autofill based on response",INDEX('GCE'!$O$10:$O$12,MATCH($F38,'GCE'!$B$10:$B$12,0))),"N/A")</f>
        <v/>
      </c>
      <c r="U38" s="52">
        <f>IFERROR(IF(INDEX('Education'!$O$10:$O$13,MATCH($F38,'Education'!$B$10:$B$13,0))="","Cell will autofill based on response",INDEX('Education'!$O$10:$O$13,MATCH($F38,'Education'!$B$10:$B$13,0))),"N/A")</f>
        <v/>
      </c>
      <c r="V38" s="52">
        <f>IFERROR(IF(INDEX('SaSS'!$O$10:$O$12,MATCH($F38,'SaSS'!$B$10:$B$12,0))="","Cell will autofill based on response",INDEX('SaSS'!$O$10:$O$12,MATCH($F38,'SaSS'!$B$10:$B$12,0))),"N/A")</f>
        <v/>
      </c>
      <c r="W38" s="52">
        <f>IFERROR(IF(INDEX('Indigenous'!$O$10:$O$11,MATCH($F38,'Indigenous'!$B$10:$B$11,0))="","Cell will autofill based on response",INDEX('Indigenous'!$O$10:$O$11,MATCH($F38,'Indigenous'!$B$10:$B$11,0))),"N/A")</f>
        <v/>
      </c>
      <c r="X38" s="52">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2">
        <f>IFERROR(IF(INDEX('Faculties'!$P$10:$P$19,MATCH($F39,'Faculties'!$B$10:$B$19,0))="","Cell will autofill based on response",INDEX('Faculties'!$P$10:$P$19,MATCH($F39,'Faculties'!$B$10:$B$19,0))),"N/A")</f>
        <v/>
      </c>
      <c r="I39" s="52">
        <f>IFERROR(IF(INDEX('Faculties'!$P$26:$P$35,MATCH($F39,'Faculties'!$B$26:$B$35,0))="","Cell will autofill based on response",INDEX('Faculties'!$P$26:$P$35,MATCH($F39,'Faculties'!$B$26:$B$35,0))),"N/A")</f>
        <v/>
      </c>
      <c r="J39" s="52">
        <f>IFERROR(IF(INDEX('Faculties'!$P$42:$P$51,MATCH($F39,'Faculties'!$B$42:$B$51,0))="","Cell will autofill based on response",INDEX('Faculties'!$P$42:$P$51,MATCH($F39,'Faculties'!$B$42:$B$51,0))),"N/A")</f>
        <v/>
      </c>
      <c r="K39" s="52">
        <f>IFERROR(IF(INDEX('Faculties'!$P$58:$P$67,MATCH($F39,'Faculties'!$B$58:$B$67,0))="","Cell will autofill based on response",INDEX('Faculties'!$P$58:$P$67,MATCH($F39,'Faculties'!$B$58:$B$67,0))),"N/A")</f>
        <v/>
      </c>
      <c r="L39" s="52">
        <f>IFERROR(IF(INDEX('CI&amp;S'!$P$10:$P$15,MATCH($F39,'CI&amp;S'!$B$10:$B$15,0))="","Cell will autofill based on response",INDEX('CI&amp;S'!$P$10:$P$15,MATCH($F39,'CI&amp;S'!$B$10:$B$15,0))),"N/A")</f>
        <v/>
      </c>
      <c r="M39" s="52">
        <f>IFERROR(IF(INDEX('CI&amp;S'!$P$22:$P$36,MATCH($F39,'CI&amp;S'!$B$22:$B$36,0))="","Cell will autofill based on response",INDEX('CI&amp;S'!$P$22:$P$36,MATCH($F39,'CI&amp;S'!$B$22:$B$36,0))),"N/A")</f>
        <v/>
      </c>
      <c r="N39" s="52">
        <f>IFERROR(IF(INDEX('CFOG'!$P$10:$P$16,MATCH($F39,'CFOG'!$B$10:$B$16,0))="","Cell will autofill based on response",INDEX('CFOG'!$P$10:$P$16,MATCH($F39,'CFOG'!$B$10:$B$16,0))),"N/A")</f>
        <v/>
      </c>
      <c r="O39" s="52">
        <f>IFERROR(IF(INDEX('CFOG'!$P$23:$P$24,MATCH($F39,'CFOG'!$B$23:$B$24,0))="","Cell will autofill based on response",INDEX('CFOG'!$P$23:$P$24,MATCH($F39,'CFOG'!$B$23:$B$24,0))),"N/A")</f>
        <v/>
      </c>
      <c r="P39" s="52">
        <f>IFERROR(IF(INDEX('ESG'!$P$10:$P$17,MATCH($F39,'ESG'!$B$10:$B$17,0))="","Cell will autofill based on response",INDEX('ESG'!$P$10:$P$17,MATCH($F39,'ESG'!$B$10:$B$17,0))),"N/A")</f>
        <v/>
      </c>
      <c r="Q39" s="52">
        <f>IFERROR(IF(INDEX('CIOG'!$P$10:$P$14,MATCH($F39,'CIOG'!$B$10:$B$14,0))="","Cell will autofill based on response",INDEX('CIOG'!$P$10:$P$14,MATCH($F39,'CIOG'!$B$10:$B$14,0))),"N/A")</f>
        <v/>
      </c>
      <c r="R39" s="52">
        <f>IFERROR(IF(INDEX('MRE'!$P$10:$P$18,MATCH($F39,'MRE'!$B$10:$B$18,0))="","Cell will autofill based on response",INDEX('MRE'!$P$10:$P$18,MATCH($F39,'MRE'!$B$10:$B$18,0))),"N/A")</f>
        <v/>
      </c>
      <c r="S39" s="52">
        <f>IFERROR(IF(INDEX('AC&amp;M'!$P$10:$P$14,MATCH($F39,'AC&amp;M'!$B$10:$B$14,0))="","Cell will autofill based on response",INDEX('AC&amp;M'!$P$10:$P$14,MATCH($F39,'AC&amp;M'!$B$10:$B$14,0))),"N/A")</f>
        <v/>
      </c>
      <c r="T39" s="52">
        <f>IFERROR(IF(INDEX('GCE'!$P$10:$P$12,MATCH($F39,'GCE'!$B$10:$B$12,0))="","Cell will autofill based on response",INDEX('GCE'!$P$10:$P$12,MATCH($F39,'GCE'!$B$10:$B$12,0))),"N/A")</f>
        <v/>
      </c>
      <c r="U39" s="52">
        <f>IFERROR(IF(INDEX('Education'!$P$10:$P$13,MATCH($F39,'Education'!$B$10:$B$13,0))="","Cell will autofill based on response",INDEX('Education'!$P$10:$P$13,MATCH($F39,'Education'!$B$10:$B$13,0))),"N/A")</f>
        <v/>
      </c>
      <c r="V39" s="52">
        <f>IFERROR(IF(INDEX('SaSS'!$P$10:$P$12,MATCH($F39,'SaSS'!$B$10:$B$12,0))="","Cell will autofill based on response",INDEX('SaSS'!$P$10:$P$12,MATCH($F39,'SaSS'!$B$10:$B$12,0))),"N/A")</f>
        <v/>
      </c>
      <c r="W39" s="52">
        <f>IFERROR(IF(INDEX('Indigenous'!$P$10:$P$11,MATCH($F39,'Indigenous'!$B$10:$B$11,0))="","Cell will autofill based on response",INDEX('Indigenous'!$P$10:$P$11,MATCH($F39,'Indigenous'!$B$10:$B$11,0))),"N/A")</f>
        <v/>
      </c>
      <c r="X39" s="52">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2">
        <f>IFERROR(IF(INDEX('Faculties'!$Q$10:$Q$19,MATCH($F40,'Faculties'!$B$10:$B$19,0))="","Cell will autofill based on response",INDEX('Faculties'!$Q$10:$Q$19,MATCH($F40,'Faculties'!$B$10:$B$19,0))),"N/A")</f>
        <v/>
      </c>
      <c r="I40" s="52">
        <f>IFERROR(IF(INDEX('Faculties'!$Q$26:$Q$35,MATCH($F40,'Faculties'!$B$26:$B$35,0))="","Cell will autofill based on response",INDEX('Faculties'!$Q$26:$Q$35,MATCH($F40,'Faculties'!$B$26:$B$35,0))),"N/A")</f>
        <v/>
      </c>
      <c r="J40" s="52">
        <f>IFERROR(IF(INDEX('Faculties'!$Q$42:$Q$51,MATCH($F40,'Faculties'!$B$42:$B$51,0))="","Cell will autofill based on response",INDEX('Faculties'!$Q$42:$Q$51,MATCH($F40,'Faculties'!$B$42:$B$51,0))),"N/A")</f>
        <v/>
      </c>
      <c r="K40" s="52">
        <f>IFERROR(IF(INDEX('Faculties'!$Q$58:$Q$67,MATCH($F40,'Faculties'!$B$58:$B$67,0))="","Cell will autofill based on response",INDEX('Faculties'!$Q$58:$Q$67,MATCH($F40,'Faculties'!$B$58:$B$67,0))),"N/A")</f>
        <v/>
      </c>
      <c r="L40" s="52">
        <f>IFERROR(IF(INDEX('CI&amp;S'!$Q$10:$Q$15,MATCH($F40,'CI&amp;S'!$B$10:$B$15,0))="","Cell will autofill based on response",INDEX('CI&amp;S'!$Q$10:$Q$15,MATCH($F40,'CI&amp;S'!$B$10:$B$15,0))),"N/A")</f>
        <v/>
      </c>
      <c r="M40" s="52">
        <f>IFERROR(IF(INDEX('CI&amp;S'!$Q$22:$Q$36,MATCH($F40,'CI&amp;S'!$B$22:$B$36,0))="","Cell will autofill based on response",INDEX('CI&amp;S'!$Q$22:$Q$36,MATCH($F40,'CI&amp;S'!$B$22:$B$36,0))),"N/A")</f>
        <v/>
      </c>
      <c r="N40" s="52">
        <f>IFERROR(IF(INDEX('CFOG'!$Q$10:$Q$16,MATCH($F40,'CFOG'!$B$10:$B$16,0))="","Cell will autofill based on response",INDEX('CFOG'!$Q$10:$Q$16,MATCH($F40,'CFOG'!$B$10:$B$16,0))),"N/A")</f>
        <v/>
      </c>
      <c r="O40" s="52">
        <f>IFERROR(IF(INDEX('CFOG'!$Q$23:$Q$24,MATCH($F40,'CFOG'!$B$23:$B$24,0))="","Cell will autofill based on response",INDEX('CFOG'!$Q$23:$Q$24,MATCH($F40,'CFOG'!$B$23:$B$24,0))),"N/A")</f>
        <v/>
      </c>
      <c r="P40" s="52">
        <f>IFERROR(IF(INDEX('ESG'!$Q$10:$Q$17,MATCH($F40,'ESG'!$B$10:$B$17,0))="","Cell will autofill based on response",INDEX('ESG'!$Q$10:$Q$17,MATCH($F40,'ESG'!$B$10:$B$17,0))),"N/A")</f>
        <v/>
      </c>
      <c r="Q40" s="52">
        <f>IFERROR(IF(INDEX('CIOG'!$Q$10:$Q$14,MATCH($F40,'CIOG'!$B$10:$B$14,0))="","Cell will autofill based on response",INDEX('CIOG'!$Q$10:$Q$14,MATCH($F40,'CIOG'!$B$10:$B$14,0))),"N/A")</f>
        <v/>
      </c>
      <c r="R40" s="52">
        <f>IFERROR(IF(INDEX('MRE'!$Q$10:$Q$18,MATCH($F40,'MRE'!$B$10:$B$18,0))="","Cell will autofill based on response",INDEX('MRE'!$Q$10:$Q$18,MATCH($F40,'MRE'!$B$10:$B$18,0))),"N/A")</f>
        <v/>
      </c>
      <c r="S40" s="52">
        <f>IFERROR(IF(INDEX('AC&amp;M'!$Q$10:$Q$14,MATCH($F40,'AC&amp;M'!$B$10:$B$14,0))="","Cell will autofill based on response",INDEX('AC&amp;M'!$Q$10:$Q$14,MATCH($F40,'AC&amp;M'!$B$10:$B$14,0))),"N/A")</f>
        <v/>
      </c>
      <c r="T40" s="52">
        <f>IFERROR(IF(INDEX('GCE'!$Q$10:$Q$12,MATCH($F40,'GCE'!$B$10:$B$12,0))="","Cell will autofill based on response",INDEX('GCE'!$Q$10:$Q$12,MATCH($F40,'GCE'!$B$10:$B$12,0))),"N/A")</f>
        <v/>
      </c>
      <c r="U40" s="52">
        <f>IFERROR(IF(INDEX('Education'!$Q$10:$Q$13,MATCH($F40,'Education'!$B$10:$B$13,0))="","Cell will autofill based on response",INDEX('Education'!$Q$10:$Q$13,MATCH($F40,'Education'!$B$10:$B$13,0))),"N/A")</f>
        <v/>
      </c>
      <c r="V40" s="52">
        <f>IFERROR(IF(INDEX('SaSS'!$Q$10:$Q$12,MATCH($F40,'SaSS'!$B$10:$B$12,0))="","Cell will autofill based on response",INDEX('SaSS'!$Q$10:$Q$12,MATCH($F40,'SaSS'!$B$10:$B$12,0))),"N/A")</f>
        <v/>
      </c>
      <c r="W40" s="52">
        <f>IFERROR(IF(INDEX('Indigenous'!$Q$10:$Q$11,MATCH($F40,'Indigenous'!$B$10:$B$11,0))="","Cell will autofill based on response",INDEX('Indigenous'!$Q$10:$Q$11,MATCH($F40,'Indigenous'!$B$10:$B$11,0))),"N/A")</f>
        <v/>
      </c>
      <c r="X40" s="52">
        <f>IFERROR(IF(INDEX('L&amp;R'!$Q$10:$Q$11,MATCH($F40,'L&amp;R'!$B$10:$B$11,0))="","Cell will autofill based on response",INDEX('L&amp;R'!$Q$10:$Q$11,MATCH($F40,'L&amp;R'!$B$10:$B$11,0))),"N/A")</f>
        <v/>
      </c>
    </row>
    <row r="41">
      <c r="A41">
        <f>F41&amp;"|"&amp;G41</f>
        <v/>
      </c>
      <c r="B41" s="7" t="inlineStr">
        <is>
          <t>TR1(b)</t>
        </is>
      </c>
      <c r="C41" s="50" t="inlineStr">
        <is>
          <t>Transformational research</t>
        </is>
      </c>
      <c r="D41" s="50" t="inlineStr">
        <is>
          <t>Evidence of institutional pathways that enable ongoing collaboration between academic and professional staff</t>
        </is>
      </c>
      <c r="E41"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0" t="inlineStr">
        <is>
          <t>TR1(b)</t>
        </is>
      </c>
      <c r="G41" s="50" t="inlineStr">
        <is>
          <t>Confirm end-2026 target status</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3">
        <f>IF(AF41&gt;0,AE41/AF41,"No valid responses to date")</f>
        <v/>
      </c>
      <c r="AH41" s="10">
        <f>IF(ISNUMBER(AG41),INDEX(Lists!$G$2:$G$5,MATCH(ROUND(AG41,0),Lists!$H$2:$H$5,0)),"")</f>
        <v/>
      </c>
      <c r="AI41" s="54">
        <f>IF(AF41&gt;0,AD41/AF41,"")</f>
        <v/>
      </c>
      <c r="AJ41" s="54">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2">
        <f>IFERROR(IF(INDEX('Faculties'!$Q$10:$Q$19,MATCH($F46,'Faculties'!$B$10:$B$19,0))="","Cell will autofill based on response",INDEX('Faculties'!$Q$10:$Q$19,MATCH($F46,'Faculties'!$B$10:$B$19,0))),"N/A")</f>
        <v/>
      </c>
      <c r="I46" s="52">
        <f>IFERROR(IF(INDEX('Faculties'!$Q$26:$Q$35,MATCH($F46,'Faculties'!$B$26:$B$35,0))="","Cell will autofill based on response",INDEX('Faculties'!$Q$26:$Q$35,MATCH($F46,'Faculties'!$B$26:$B$35,0))),"N/A")</f>
        <v/>
      </c>
      <c r="J46" s="52">
        <f>IFERROR(IF(INDEX('Faculties'!$Q$42:$Q$51,MATCH($F46,'Faculties'!$B$42:$B$51,0))="","Cell will autofill based on response",INDEX('Faculties'!$Q$42:$Q$51,MATCH($F46,'Faculties'!$B$42:$B$51,0))),"N/A")</f>
        <v/>
      </c>
      <c r="K46" s="52">
        <f>IFERROR(IF(INDEX('Faculties'!$Q$58:$Q$67,MATCH($F46,'Faculties'!$B$58:$B$67,0))="","Cell will autofill based on response",INDEX('Faculties'!$Q$58:$Q$67,MATCH($F46,'Faculties'!$B$58:$B$67,0))),"N/A")</f>
        <v/>
      </c>
      <c r="L46" s="52">
        <f>IFERROR(IF(INDEX('CI&amp;S'!$Q$10:$Q$15,MATCH($F46,'CI&amp;S'!$B$10:$B$15,0))="","Cell will autofill based on response",INDEX('CI&amp;S'!$Q$10:$Q$15,MATCH($F46,'CI&amp;S'!$B$10:$B$15,0))),"N/A")</f>
        <v/>
      </c>
      <c r="M46" s="52">
        <f>IFERROR(IF(INDEX('CI&amp;S'!$Q$22:$Q$36,MATCH($F46,'CI&amp;S'!$B$22:$B$36,0))="","Cell will autofill based on response",INDEX('CI&amp;S'!$Q$22:$Q$36,MATCH($F46,'CI&amp;S'!$B$22:$B$36,0))),"N/A")</f>
        <v/>
      </c>
      <c r="N46" s="52">
        <f>IFERROR(IF(INDEX('CFOG'!$Q$10:$Q$16,MATCH($F46,'CFOG'!$B$10:$B$16,0))="","Cell will autofill based on response",INDEX('CFOG'!$Q$10:$Q$16,MATCH($F46,'CFOG'!$B$10:$B$16,0))),"N/A")</f>
        <v/>
      </c>
      <c r="O46" s="52">
        <f>IFERROR(IF(INDEX('CFOG'!$Q$23:$Q$24,MATCH($F46,'CFOG'!$B$23:$B$24,0))="","Cell will autofill based on response",INDEX('CFOG'!$Q$23:$Q$24,MATCH($F46,'CFOG'!$B$23:$B$24,0))),"N/A")</f>
        <v/>
      </c>
      <c r="P46" s="52">
        <f>IFERROR(IF(INDEX('ESG'!$Q$10:$Q$17,MATCH($F46,'ESG'!$B$10:$B$17,0))="","Cell will autofill based on response",INDEX('ESG'!$Q$10:$Q$17,MATCH($F46,'ESG'!$B$10:$B$17,0))),"N/A")</f>
        <v/>
      </c>
      <c r="Q46" s="52">
        <f>IFERROR(IF(INDEX('CIOG'!$Q$10:$Q$14,MATCH($F46,'CIOG'!$B$10:$B$14,0))="","Cell will autofill based on response",INDEX('CIOG'!$Q$10:$Q$14,MATCH($F46,'CIOG'!$B$10:$B$14,0))),"N/A")</f>
        <v/>
      </c>
      <c r="R46" s="52">
        <f>IFERROR(IF(INDEX('MRE'!$Q$10:$Q$18,MATCH($F46,'MRE'!$B$10:$B$18,0))="","Cell will autofill based on response",INDEX('MRE'!$Q$10:$Q$18,MATCH($F46,'MRE'!$B$10:$B$18,0))),"N/A")</f>
        <v/>
      </c>
      <c r="S46" s="52">
        <f>IFERROR(IF(INDEX('AC&amp;M'!$Q$10:$Q$14,MATCH($F46,'AC&amp;M'!$B$10:$B$14,0))="","Cell will autofill based on response",INDEX('AC&amp;M'!$Q$10:$Q$14,MATCH($F46,'AC&amp;M'!$B$10:$B$14,0))),"N/A")</f>
        <v/>
      </c>
      <c r="T46" s="52">
        <f>IFERROR(IF(INDEX('GCE'!$Q$10:$Q$12,MATCH($F46,'GCE'!$B$10:$B$12,0))="","Cell will autofill based on response",INDEX('GCE'!$Q$10:$Q$12,MATCH($F46,'GCE'!$B$10:$B$12,0))),"N/A")</f>
        <v/>
      </c>
      <c r="U46" s="52">
        <f>IFERROR(IF(INDEX('Education'!$Q$10:$Q$13,MATCH($F46,'Education'!$B$10:$B$13,0))="","Cell will autofill based on response",INDEX('Education'!$Q$10:$Q$13,MATCH($F46,'Education'!$B$10:$B$13,0))),"N/A")</f>
        <v/>
      </c>
      <c r="V46" s="52">
        <f>IFERROR(IF(INDEX('SaSS'!$Q$10:$Q$12,MATCH($F46,'SaSS'!$B$10:$B$12,0))="","Cell will autofill based on response",INDEX('SaSS'!$Q$10:$Q$12,MATCH($F46,'SaSS'!$B$10:$B$12,0))),"N/A")</f>
        <v/>
      </c>
      <c r="W46" s="52">
        <f>IFERROR(IF(INDEX('Indigenous'!$Q$10:$Q$11,MATCH($F46,'Indigenous'!$B$10:$B$11,0))="","Cell will autofill based on response",INDEX('Indigenous'!$Q$10:$Q$11,MATCH($F46,'Indigenous'!$B$10:$B$11,0))),"N/A")</f>
        <v/>
      </c>
      <c r="X46" s="52">
        <f>IFERROR(IF(INDEX('L&amp;R'!$Q$10:$Q$11,MATCH($F46,'L&amp;R'!$B$10:$B$11,0))="","Cell will autofill based on response",INDEX('L&amp;R'!$Q$10:$Q$11,MATCH($F46,'L&amp;R'!$B$10:$B$11,0))),"N/A")</f>
        <v/>
      </c>
    </row>
    <row r="47">
      <c r="A47">
        <f>F47&amp;"|"&amp;G47</f>
        <v/>
      </c>
      <c r="B47" s="7" t="inlineStr">
        <is>
          <t>TR1(c)</t>
        </is>
      </c>
      <c r="C47" s="50" t="inlineStr">
        <is>
          <t>Transformational research</t>
        </is>
      </c>
      <c r="D47" s="50" t="inlineStr">
        <is>
          <t>Expert assessment of the quality, relevance and continuity of these collaborations</t>
        </is>
      </c>
      <c r="E47"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0" t="inlineStr">
        <is>
          <t>TR1(c)</t>
        </is>
      </c>
      <c r="G47" s="50" t="inlineStr">
        <is>
          <t>Confirm end-2026 target status</t>
        </is>
      </c>
      <c r="H47" s="52">
        <f>IFERROR(IF(INDEX('Faculties'!$L$10:$L$19,MATCH($F47,'Faculties'!$B$10:$B$19,0))="","Cell will autofill based on response",INDEX('Faculties'!$L$10:$L$19,MATCH($F47,'Faculties'!$B$10:$B$19,0))),"N/A")</f>
        <v/>
      </c>
      <c r="I47" s="52">
        <f>IFERROR(IF(INDEX('Faculties'!$L$26:$L$35,MATCH($F47,'Faculties'!$B$26:$B$35,0))="","Cell will autofill based on response",INDEX('Faculties'!$L$26:$L$35,MATCH($F47,'Faculties'!$B$26:$B$35,0))),"N/A")</f>
        <v/>
      </c>
      <c r="J47" s="52">
        <f>IFERROR(IF(INDEX('Faculties'!$L$42:$L$51,MATCH($F47,'Faculties'!$B$42:$B$51,0))="","Cell will autofill based on response",INDEX('Faculties'!$L$42:$L$51,MATCH($F47,'Faculties'!$B$42:$B$51,0))),"N/A")</f>
        <v/>
      </c>
      <c r="K47" s="52">
        <f>IFERROR(IF(INDEX('Faculties'!$L$58:$L$67,MATCH($F47,'Faculties'!$B$58:$B$67,0))="","Cell will autofill based on response",INDEX('Faculties'!$L$58:$L$67,MATCH($F47,'Faculties'!$B$58:$B$67,0))),"N/A")</f>
        <v/>
      </c>
      <c r="L47" s="52">
        <f>IFERROR(IF(INDEX('CI&amp;S'!$L$10:$L$15,MATCH($F47,'CI&amp;S'!$B$10:$B$15,0))="","Cell will autofill based on response",INDEX('CI&amp;S'!$L$10:$L$15,MATCH($F47,'CI&amp;S'!$B$10:$B$15,0))),"N/A")</f>
        <v/>
      </c>
      <c r="M47" s="52">
        <f>IFERROR(IF(INDEX('CI&amp;S'!$L$22:$L$36,MATCH($F47,'CI&amp;S'!$B$22:$B$36,0))="","Cell will autofill based on response",INDEX('CI&amp;S'!$L$22:$L$36,MATCH($F47,'CI&amp;S'!$B$22:$B$36,0))),"N/A")</f>
        <v/>
      </c>
      <c r="N47" s="52">
        <f>IFERROR(IF(INDEX('CFOG'!$L$10:$L$16,MATCH($F47,'CFOG'!$B$10:$B$16,0))="","Cell will autofill based on response",INDEX('CFOG'!$L$10:$L$16,MATCH($F47,'CFOG'!$B$10:$B$16,0))),"N/A")</f>
        <v/>
      </c>
      <c r="O47" s="52">
        <f>IFERROR(IF(INDEX('CFOG'!$L$23:$L$24,MATCH($F47,'CFOG'!$B$23:$B$24,0))="","Cell will autofill based on response",INDEX('CFOG'!$L$23:$L$24,MATCH($F47,'CFOG'!$B$23:$B$24,0))),"N/A")</f>
        <v/>
      </c>
      <c r="P47" s="52">
        <f>IFERROR(IF(INDEX('ESG'!$L$10:$L$17,MATCH($F47,'ESG'!$B$10:$B$17,0))="","Cell will autofill based on response",INDEX('ESG'!$L$10:$L$17,MATCH($F47,'ESG'!$B$10:$B$17,0))),"N/A")</f>
        <v/>
      </c>
      <c r="Q47" s="52">
        <f>IFERROR(IF(INDEX('CIOG'!$L$10:$L$14,MATCH($F47,'CIOG'!$B$10:$B$14,0))="","Cell will autofill based on response",INDEX('CIOG'!$L$10:$L$14,MATCH($F47,'CIOG'!$B$10:$B$14,0))),"N/A")</f>
        <v/>
      </c>
      <c r="R47" s="52">
        <f>IFERROR(IF(INDEX('MRE'!$L$10:$L$18,MATCH($F47,'MRE'!$B$10:$B$18,0))="","Cell will autofill based on response",INDEX('MRE'!$L$10:$L$18,MATCH($F47,'MRE'!$B$10:$B$18,0))),"N/A")</f>
        <v/>
      </c>
      <c r="S47" s="52">
        <f>IFERROR(IF(INDEX('AC&amp;M'!$L$10:$L$14,MATCH($F47,'AC&amp;M'!$B$10:$B$14,0))="","Cell will autofill based on response",INDEX('AC&amp;M'!$L$10:$L$14,MATCH($F47,'AC&amp;M'!$B$10:$B$14,0))),"N/A")</f>
        <v/>
      </c>
      <c r="T47" s="52">
        <f>IFERROR(IF(INDEX('GCE'!$L$10:$L$12,MATCH($F47,'GCE'!$B$10:$B$12,0))="","Cell will autofill based on response",INDEX('GCE'!$L$10:$L$12,MATCH($F47,'GCE'!$B$10:$B$12,0))),"N/A")</f>
        <v/>
      </c>
      <c r="U47" s="52">
        <f>IFERROR(IF(INDEX('Education'!$L$10:$L$13,MATCH($F47,'Education'!$B$10:$B$13,0))="","Cell will autofill based on response",INDEX('Education'!$L$10:$L$13,MATCH($F47,'Education'!$B$10:$B$13,0))),"N/A")</f>
        <v/>
      </c>
      <c r="V47" s="52">
        <f>IFERROR(IF(INDEX('SaSS'!$L$10:$L$12,MATCH($F47,'SaSS'!$B$10:$B$12,0))="","Cell will autofill based on response",INDEX('SaSS'!$L$10:$L$12,MATCH($F47,'SaSS'!$B$10:$B$12,0))),"N/A")</f>
        <v/>
      </c>
      <c r="W47" s="52">
        <f>IFERROR(IF(INDEX('Indigenous'!$L$10:$L$11,MATCH($F47,'Indigenous'!$B$10:$B$11,0))="","Cell will autofill based on response",INDEX('Indigenous'!$L$10:$L$11,MATCH($F47,'Indigenous'!$B$10:$B$11,0))),"N/A")</f>
        <v/>
      </c>
      <c r="X47" s="52">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3">
        <f>IF(AF47&gt;0,AE47/AF47,"No valid responses to date")</f>
        <v/>
      </c>
      <c r="AH47" s="10">
        <f>IF(ISNUMBER(AG47),INDEX(Lists!$G$2:$G$5,MATCH(ROUND(AG47,0),Lists!$H$2:$H$5,0)),"")</f>
        <v/>
      </c>
      <c r="AI47" s="54">
        <f>IF(AF47&gt;0,AD47/AF47,"")</f>
        <v/>
      </c>
      <c r="AJ47" s="54">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2">
        <f>IFERROR(IF(INDEX('Faculties'!$M$10:$M$19,MATCH($F48,'Faculties'!$B$10:$B$19,0))="","Cell will autofill based on response",INDEX('Faculties'!$M$10:$M$19,MATCH($F48,'Faculties'!$B$10:$B$19,0))),"N/A")</f>
        <v/>
      </c>
      <c r="I48" s="52">
        <f>IFERROR(IF(INDEX('Faculties'!$M$26:$M$35,MATCH($F48,'Faculties'!$B$26:$B$35,0))="","Cell will autofill based on response",INDEX('Faculties'!$M$26:$M$35,MATCH($F48,'Faculties'!$B$26:$B$35,0))),"N/A")</f>
        <v/>
      </c>
      <c r="J48" s="52">
        <f>IFERROR(IF(INDEX('Faculties'!$M$42:$M$51,MATCH($F48,'Faculties'!$B$42:$B$51,0))="","Cell will autofill based on response",INDEX('Faculties'!$M$42:$M$51,MATCH($F48,'Faculties'!$B$42:$B$51,0))),"N/A")</f>
        <v/>
      </c>
      <c r="K48" s="52">
        <f>IFERROR(IF(INDEX('Faculties'!$M$58:$M$67,MATCH($F48,'Faculties'!$B$58:$B$67,0))="","Cell will autofill based on response",INDEX('Faculties'!$M$58:$M$67,MATCH($F48,'Faculties'!$B$58:$B$67,0))),"N/A")</f>
        <v/>
      </c>
      <c r="L48" s="52">
        <f>IFERROR(IF(INDEX('CI&amp;S'!$M$10:$M$15,MATCH($F48,'CI&amp;S'!$B$10:$B$15,0))="","Cell will autofill based on response",INDEX('CI&amp;S'!$M$10:$M$15,MATCH($F48,'CI&amp;S'!$B$10:$B$15,0))),"N/A")</f>
        <v/>
      </c>
      <c r="M48" s="52">
        <f>IFERROR(IF(INDEX('CI&amp;S'!$M$22:$M$36,MATCH($F48,'CI&amp;S'!$B$22:$B$36,0))="","Cell will autofill based on response",INDEX('CI&amp;S'!$M$22:$M$36,MATCH($F48,'CI&amp;S'!$B$22:$B$36,0))),"N/A")</f>
        <v/>
      </c>
      <c r="N48" s="52">
        <f>IFERROR(IF(INDEX('CFOG'!$M$10:$M$16,MATCH($F48,'CFOG'!$B$10:$B$16,0))="","Cell will autofill based on response",INDEX('CFOG'!$M$10:$M$16,MATCH($F48,'CFOG'!$B$10:$B$16,0))),"N/A")</f>
        <v/>
      </c>
      <c r="O48" s="52">
        <f>IFERROR(IF(INDEX('CFOG'!$M$23:$M$24,MATCH($F48,'CFOG'!$B$23:$B$24,0))="","Cell will autofill based on response",INDEX('CFOG'!$M$23:$M$24,MATCH($F48,'CFOG'!$B$23:$B$24,0))),"N/A")</f>
        <v/>
      </c>
      <c r="P48" s="52">
        <f>IFERROR(IF(INDEX('ESG'!$M$10:$M$17,MATCH($F48,'ESG'!$B$10:$B$17,0))="","Cell will autofill based on response",INDEX('ESG'!$M$10:$M$17,MATCH($F48,'ESG'!$B$10:$B$17,0))),"N/A")</f>
        <v/>
      </c>
      <c r="Q48" s="52">
        <f>IFERROR(IF(INDEX('CIOG'!$M$10:$M$14,MATCH($F48,'CIOG'!$B$10:$B$14,0))="","Cell will autofill based on response",INDEX('CIOG'!$M$10:$M$14,MATCH($F48,'CIOG'!$B$10:$B$14,0))),"N/A")</f>
        <v/>
      </c>
      <c r="R48" s="52">
        <f>IFERROR(IF(INDEX('MRE'!$M$10:$M$18,MATCH($F48,'MRE'!$B$10:$B$18,0))="","Cell will autofill based on response",INDEX('MRE'!$M$10:$M$18,MATCH($F48,'MRE'!$B$10:$B$18,0))),"N/A")</f>
        <v/>
      </c>
      <c r="S48" s="52">
        <f>IFERROR(IF(INDEX('AC&amp;M'!$M$10:$M$14,MATCH($F48,'AC&amp;M'!$B$10:$B$14,0))="","Cell will autofill based on response",INDEX('AC&amp;M'!$M$10:$M$14,MATCH($F48,'AC&amp;M'!$B$10:$B$14,0))),"N/A")</f>
        <v/>
      </c>
      <c r="T48" s="52">
        <f>IFERROR(IF(INDEX('GCE'!$M$10:$M$12,MATCH($F48,'GCE'!$B$10:$B$12,0))="","Cell will autofill based on response",INDEX('GCE'!$M$10:$M$12,MATCH($F48,'GCE'!$B$10:$B$12,0))),"N/A")</f>
        <v/>
      </c>
      <c r="U48" s="52">
        <f>IFERROR(IF(INDEX('Education'!$M$10:$M$13,MATCH($F48,'Education'!$B$10:$B$13,0))="","Cell will autofill based on response",INDEX('Education'!$M$10:$M$13,MATCH($F48,'Education'!$B$10:$B$13,0))),"N/A")</f>
        <v/>
      </c>
      <c r="V48" s="52">
        <f>IFERROR(IF(INDEX('SaSS'!$M$10:$M$12,MATCH($F48,'SaSS'!$B$10:$B$12,0))="","Cell will autofill based on response",INDEX('SaSS'!$M$10:$M$12,MATCH($F48,'SaSS'!$B$10:$B$12,0))),"N/A")</f>
        <v/>
      </c>
      <c r="W48" s="52">
        <f>IFERROR(IF(INDEX('Indigenous'!$M$10:$M$11,MATCH($F48,'Indigenous'!$B$10:$B$11,0))="","Cell will autofill based on response",INDEX('Indigenous'!$M$10:$M$11,MATCH($F48,'Indigenous'!$B$10:$B$11,0))),"N/A")</f>
        <v/>
      </c>
      <c r="X48" s="52">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2">
        <f>IFERROR(IF(INDEX('Faculties'!$N$10:$N$19,MATCH($F49,'Faculties'!$B$10:$B$19,0))="","Cell will autofill based on response",INDEX('Faculties'!$N$10:$N$19,MATCH($F49,'Faculties'!$B$10:$B$19,0))),"N/A")</f>
        <v/>
      </c>
      <c r="I49" s="52">
        <f>IFERROR(IF(INDEX('Faculties'!$N$26:$N$35,MATCH($F49,'Faculties'!$B$26:$B$35,0))="","Cell will autofill based on response",INDEX('Faculties'!$N$26:$N$35,MATCH($F49,'Faculties'!$B$26:$B$35,0))),"N/A")</f>
        <v/>
      </c>
      <c r="J49" s="52">
        <f>IFERROR(IF(INDEX('Faculties'!$N$42:$N$51,MATCH($F49,'Faculties'!$B$42:$B$51,0))="","Cell will autofill based on response",INDEX('Faculties'!$N$42:$N$51,MATCH($F49,'Faculties'!$B$42:$B$51,0))),"N/A")</f>
        <v/>
      </c>
      <c r="K49" s="52">
        <f>IFERROR(IF(INDEX('Faculties'!$N$58:$N$67,MATCH($F49,'Faculties'!$B$58:$B$67,0))="","Cell will autofill based on response",INDEX('Faculties'!$N$58:$N$67,MATCH($F49,'Faculties'!$B$58:$B$67,0))),"N/A")</f>
        <v/>
      </c>
      <c r="L49" s="52">
        <f>IFERROR(IF(INDEX('CI&amp;S'!$N$10:$N$15,MATCH($F49,'CI&amp;S'!$B$10:$B$15,0))="","Cell will autofill based on response",INDEX('CI&amp;S'!$N$10:$N$15,MATCH($F49,'CI&amp;S'!$B$10:$B$15,0))),"N/A")</f>
        <v/>
      </c>
      <c r="M49" s="52">
        <f>IFERROR(IF(INDEX('CI&amp;S'!$N$22:$N$36,MATCH($F49,'CI&amp;S'!$B$22:$B$36,0))="","Cell will autofill based on response",INDEX('CI&amp;S'!$N$22:$N$36,MATCH($F49,'CI&amp;S'!$B$22:$B$36,0))),"N/A")</f>
        <v/>
      </c>
      <c r="N49" s="52">
        <f>IFERROR(IF(INDEX('CFOG'!$N$10:$N$16,MATCH($F49,'CFOG'!$B$10:$B$16,0))="","Cell will autofill based on response",INDEX('CFOG'!$N$10:$N$16,MATCH($F49,'CFOG'!$B$10:$B$16,0))),"N/A")</f>
        <v/>
      </c>
      <c r="O49" s="52">
        <f>IFERROR(IF(INDEX('CFOG'!$N$23:$N$24,MATCH($F49,'CFOG'!$B$23:$B$24,0))="","Cell will autofill based on response",INDEX('CFOG'!$N$23:$N$24,MATCH($F49,'CFOG'!$B$23:$B$24,0))),"N/A")</f>
        <v/>
      </c>
      <c r="P49" s="52">
        <f>IFERROR(IF(INDEX('ESG'!$N$10:$N$17,MATCH($F49,'ESG'!$B$10:$B$17,0))="","Cell will autofill based on response",INDEX('ESG'!$N$10:$N$17,MATCH($F49,'ESG'!$B$10:$B$17,0))),"N/A")</f>
        <v/>
      </c>
      <c r="Q49" s="52">
        <f>IFERROR(IF(INDEX('CIOG'!$N$10:$N$14,MATCH($F49,'CIOG'!$B$10:$B$14,0))="","Cell will autofill based on response",INDEX('CIOG'!$N$10:$N$14,MATCH($F49,'CIOG'!$B$10:$B$14,0))),"N/A")</f>
        <v/>
      </c>
      <c r="R49" s="52">
        <f>IFERROR(IF(INDEX('MRE'!$N$10:$N$18,MATCH($F49,'MRE'!$B$10:$B$18,0))="","Cell will autofill based on response",INDEX('MRE'!$N$10:$N$18,MATCH($F49,'MRE'!$B$10:$B$18,0))),"N/A")</f>
        <v/>
      </c>
      <c r="S49" s="52">
        <f>IFERROR(IF(INDEX('AC&amp;M'!$N$10:$N$14,MATCH($F49,'AC&amp;M'!$B$10:$B$14,0))="","Cell will autofill based on response",INDEX('AC&amp;M'!$N$10:$N$14,MATCH($F49,'AC&amp;M'!$B$10:$B$14,0))),"N/A")</f>
        <v/>
      </c>
      <c r="T49" s="52">
        <f>IFERROR(IF(INDEX('GCE'!$N$10:$N$12,MATCH($F49,'GCE'!$B$10:$B$12,0))="","Cell will autofill based on response",INDEX('GCE'!$N$10:$N$12,MATCH($F49,'GCE'!$B$10:$B$12,0))),"N/A")</f>
        <v/>
      </c>
      <c r="U49" s="52">
        <f>IFERROR(IF(INDEX('Education'!$N$10:$N$13,MATCH($F49,'Education'!$B$10:$B$13,0))="","Cell will autofill based on response",INDEX('Education'!$N$10:$N$13,MATCH($F49,'Education'!$B$10:$B$13,0))),"N/A")</f>
        <v/>
      </c>
      <c r="V49" s="52">
        <f>IFERROR(IF(INDEX('SaSS'!$N$10:$N$12,MATCH($F49,'SaSS'!$B$10:$B$12,0))="","Cell will autofill based on response",INDEX('SaSS'!$N$10:$N$12,MATCH($F49,'SaSS'!$B$10:$B$12,0))),"N/A")</f>
        <v/>
      </c>
      <c r="W49" s="52">
        <f>IFERROR(IF(INDEX('Indigenous'!$N$10:$N$11,MATCH($F49,'Indigenous'!$B$10:$B$11,0))="","Cell will autofill based on response",INDEX('Indigenous'!$N$10:$N$11,MATCH($F49,'Indigenous'!$B$10:$B$11,0))),"N/A")</f>
        <v/>
      </c>
      <c r="X49" s="52">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2">
        <f>IFERROR(IF(INDEX('Faculties'!$O$10:$O$19,MATCH($F50,'Faculties'!$B$10:$B$19,0))="","Cell will autofill based on response",INDEX('Faculties'!$O$10:$O$19,MATCH($F50,'Faculties'!$B$10:$B$19,0))),"N/A")</f>
        <v/>
      </c>
      <c r="I50" s="52">
        <f>IFERROR(IF(INDEX('Faculties'!$O$26:$O$35,MATCH($F50,'Faculties'!$B$26:$B$35,0))="","Cell will autofill based on response",INDEX('Faculties'!$O$26:$O$35,MATCH($F50,'Faculties'!$B$26:$B$35,0))),"N/A")</f>
        <v/>
      </c>
      <c r="J50" s="52">
        <f>IFERROR(IF(INDEX('Faculties'!$O$42:$O$51,MATCH($F50,'Faculties'!$B$42:$B$51,0))="","Cell will autofill based on response",INDEX('Faculties'!$O$42:$O$51,MATCH($F50,'Faculties'!$B$42:$B$51,0))),"N/A")</f>
        <v/>
      </c>
      <c r="K50" s="52">
        <f>IFERROR(IF(INDEX('Faculties'!$O$58:$O$67,MATCH($F50,'Faculties'!$B$58:$B$67,0))="","Cell will autofill based on response",INDEX('Faculties'!$O$58:$O$67,MATCH($F50,'Faculties'!$B$58:$B$67,0))),"N/A")</f>
        <v/>
      </c>
      <c r="L50" s="52">
        <f>IFERROR(IF(INDEX('CI&amp;S'!$O$10:$O$15,MATCH($F50,'CI&amp;S'!$B$10:$B$15,0))="","Cell will autofill based on response",INDEX('CI&amp;S'!$O$10:$O$15,MATCH($F50,'CI&amp;S'!$B$10:$B$15,0))),"N/A")</f>
        <v/>
      </c>
      <c r="M50" s="52">
        <f>IFERROR(IF(INDEX('CI&amp;S'!$O$22:$O$36,MATCH($F50,'CI&amp;S'!$B$22:$B$36,0))="","Cell will autofill based on response",INDEX('CI&amp;S'!$O$22:$O$36,MATCH($F50,'CI&amp;S'!$B$22:$B$36,0))),"N/A")</f>
        <v/>
      </c>
      <c r="N50" s="52">
        <f>IFERROR(IF(INDEX('CFOG'!$O$10:$O$16,MATCH($F50,'CFOG'!$B$10:$B$16,0))="","Cell will autofill based on response",INDEX('CFOG'!$O$10:$O$16,MATCH($F50,'CFOG'!$B$10:$B$16,0))),"N/A")</f>
        <v/>
      </c>
      <c r="O50" s="52">
        <f>IFERROR(IF(INDEX('CFOG'!$O$23:$O$24,MATCH($F50,'CFOG'!$B$23:$B$24,0))="","Cell will autofill based on response",INDEX('CFOG'!$O$23:$O$24,MATCH($F50,'CFOG'!$B$23:$B$24,0))),"N/A")</f>
        <v/>
      </c>
      <c r="P50" s="52">
        <f>IFERROR(IF(INDEX('ESG'!$O$10:$O$17,MATCH($F50,'ESG'!$B$10:$B$17,0))="","Cell will autofill based on response",INDEX('ESG'!$O$10:$O$17,MATCH($F50,'ESG'!$B$10:$B$17,0))),"N/A")</f>
        <v/>
      </c>
      <c r="Q50" s="52">
        <f>IFERROR(IF(INDEX('CIOG'!$O$10:$O$14,MATCH($F50,'CIOG'!$B$10:$B$14,0))="","Cell will autofill based on response",INDEX('CIOG'!$O$10:$O$14,MATCH($F50,'CIOG'!$B$10:$B$14,0))),"N/A")</f>
        <v/>
      </c>
      <c r="R50" s="52">
        <f>IFERROR(IF(INDEX('MRE'!$O$10:$O$18,MATCH($F50,'MRE'!$B$10:$B$18,0))="","Cell will autofill based on response",INDEX('MRE'!$O$10:$O$18,MATCH($F50,'MRE'!$B$10:$B$18,0))),"N/A")</f>
        <v/>
      </c>
      <c r="S50" s="52">
        <f>IFERROR(IF(INDEX('AC&amp;M'!$O$10:$O$14,MATCH($F50,'AC&amp;M'!$B$10:$B$14,0))="","Cell will autofill based on response",INDEX('AC&amp;M'!$O$10:$O$14,MATCH($F50,'AC&amp;M'!$B$10:$B$14,0))),"N/A")</f>
        <v/>
      </c>
      <c r="T50" s="52">
        <f>IFERROR(IF(INDEX('GCE'!$O$10:$O$12,MATCH($F50,'GCE'!$B$10:$B$12,0))="","Cell will autofill based on response",INDEX('GCE'!$O$10:$O$12,MATCH($F50,'GCE'!$B$10:$B$12,0))),"N/A")</f>
        <v/>
      </c>
      <c r="U50" s="52">
        <f>IFERROR(IF(INDEX('Education'!$O$10:$O$13,MATCH($F50,'Education'!$B$10:$B$13,0))="","Cell will autofill based on response",INDEX('Education'!$O$10:$O$13,MATCH($F50,'Education'!$B$10:$B$13,0))),"N/A")</f>
        <v/>
      </c>
      <c r="V50" s="52">
        <f>IFERROR(IF(INDEX('SaSS'!$O$10:$O$12,MATCH($F50,'SaSS'!$B$10:$B$12,0))="","Cell will autofill based on response",INDEX('SaSS'!$O$10:$O$12,MATCH($F50,'SaSS'!$B$10:$B$12,0))),"N/A")</f>
        <v/>
      </c>
      <c r="W50" s="52">
        <f>IFERROR(IF(INDEX('Indigenous'!$O$10:$O$11,MATCH($F50,'Indigenous'!$B$10:$B$11,0))="","Cell will autofill based on response",INDEX('Indigenous'!$O$10:$O$11,MATCH($F50,'Indigenous'!$B$10:$B$11,0))),"N/A")</f>
        <v/>
      </c>
      <c r="X50" s="52">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2">
        <f>IFERROR(IF(INDEX('Faculties'!$P$10:$P$19,MATCH($F51,'Faculties'!$B$10:$B$19,0))="","Cell will autofill based on response",INDEX('Faculties'!$P$10:$P$19,MATCH($F51,'Faculties'!$B$10:$B$19,0))),"N/A")</f>
        <v/>
      </c>
      <c r="I51" s="52">
        <f>IFERROR(IF(INDEX('Faculties'!$P$26:$P$35,MATCH($F51,'Faculties'!$B$26:$B$35,0))="","Cell will autofill based on response",INDEX('Faculties'!$P$26:$P$35,MATCH($F51,'Faculties'!$B$26:$B$35,0))),"N/A")</f>
        <v/>
      </c>
      <c r="J51" s="52">
        <f>IFERROR(IF(INDEX('Faculties'!$P$42:$P$51,MATCH($F51,'Faculties'!$B$42:$B$51,0))="","Cell will autofill based on response",INDEX('Faculties'!$P$42:$P$51,MATCH($F51,'Faculties'!$B$42:$B$51,0))),"N/A")</f>
        <v/>
      </c>
      <c r="K51" s="52">
        <f>IFERROR(IF(INDEX('Faculties'!$P$58:$P$67,MATCH($F51,'Faculties'!$B$58:$B$67,0))="","Cell will autofill based on response",INDEX('Faculties'!$P$58:$P$67,MATCH($F51,'Faculties'!$B$58:$B$67,0))),"N/A")</f>
        <v/>
      </c>
      <c r="L51" s="52">
        <f>IFERROR(IF(INDEX('CI&amp;S'!$P$10:$P$15,MATCH($F51,'CI&amp;S'!$B$10:$B$15,0))="","Cell will autofill based on response",INDEX('CI&amp;S'!$P$10:$P$15,MATCH($F51,'CI&amp;S'!$B$10:$B$15,0))),"N/A")</f>
        <v/>
      </c>
      <c r="M51" s="52">
        <f>IFERROR(IF(INDEX('CI&amp;S'!$P$22:$P$36,MATCH($F51,'CI&amp;S'!$B$22:$B$36,0))="","Cell will autofill based on response",INDEX('CI&amp;S'!$P$22:$P$36,MATCH($F51,'CI&amp;S'!$B$22:$B$36,0))),"N/A")</f>
        <v/>
      </c>
      <c r="N51" s="52">
        <f>IFERROR(IF(INDEX('CFOG'!$P$10:$P$16,MATCH($F51,'CFOG'!$B$10:$B$16,0))="","Cell will autofill based on response",INDEX('CFOG'!$P$10:$P$16,MATCH($F51,'CFOG'!$B$10:$B$16,0))),"N/A")</f>
        <v/>
      </c>
      <c r="O51" s="52">
        <f>IFERROR(IF(INDEX('CFOG'!$P$23:$P$24,MATCH($F51,'CFOG'!$B$23:$B$24,0))="","Cell will autofill based on response",INDEX('CFOG'!$P$23:$P$24,MATCH($F51,'CFOG'!$B$23:$B$24,0))),"N/A")</f>
        <v/>
      </c>
      <c r="P51" s="52">
        <f>IFERROR(IF(INDEX('ESG'!$P$10:$P$17,MATCH($F51,'ESG'!$B$10:$B$17,0))="","Cell will autofill based on response",INDEX('ESG'!$P$10:$P$17,MATCH($F51,'ESG'!$B$10:$B$17,0))),"N/A")</f>
        <v/>
      </c>
      <c r="Q51" s="52">
        <f>IFERROR(IF(INDEX('CIOG'!$P$10:$P$14,MATCH($F51,'CIOG'!$B$10:$B$14,0))="","Cell will autofill based on response",INDEX('CIOG'!$P$10:$P$14,MATCH($F51,'CIOG'!$B$10:$B$14,0))),"N/A")</f>
        <v/>
      </c>
      <c r="R51" s="52">
        <f>IFERROR(IF(INDEX('MRE'!$P$10:$P$18,MATCH($F51,'MRE'!$B$10:$B$18,0))="","Cell will autofill based on response",INDEX('MRE'!$P$10:$P$18,MATCH($F51,'MRE'!$B$10:$B$18,0))),"N/A")</f>
        <v/>
      </c>
      <c r="S51" s="52">
        <f>IFERROR(IF(INDEX('AC&amp;M'!$P$10:$P$14,MATCH($F51,'AC&amp;M'!$B$10:$B$14,0))="","Cell will autofill based on response",INDEX('AC&amp;M'!$P$10:$P$14,MATCH($F51,'AC&amp;M'!$B$10:$B$14,0))),"N/A")</f>
        <v/>
      </c>
      <c r="T51" s="52">
        <f>IFERROR(IF(INDEX('GCE'!$P$10:$P$12,MATCH($F51,'GCE'!$B$10:$B$12,0))="","Cell will autofill based on response",INDEX('GCE'!$P$10:$P$12,MATCH($F51,'GCE'!$B$10:$B$12,0))),"N/A")</f>
        <v/>
      </c>
      <c r="U51" s="52">
        <f>IFERROR(IF(INDEX('Education'!$P$10:$P$13,MATCH($F51,'Education'!$B$10:$B$13,0))="","Cell will autofill based on response",INDEX('Education'!$P$10:$P$13,MATCH($F51,'Education'!$B$10:$B$13,0))),"N/A")</f>
        <v/>
      </c>
      <c r="V51" s="52">
        <f>IFERROR(IF(INDEX('SaSS'!$P$10:$P$12,MATCH($F51,'SaSS'!$B$10:$B$12,0))="","Cell will autofill based on response",INDEX('SaSS'!$P$10:$P$12,MATCH($F51,'SaSS'!$B$10:$B$12,0))),"N/A")</f>
        <v/>
      </c>
      <c r="W51" s="52">
        <f>IFERROR(IF(INDEX('Indigenous'!$P$10:$P$11,MATCH($F51,'Indigenous'!$B$10:$B$11,0))="","Cell will autofill based on response",INDEX('Indigenous'!$P$10:$P$11,MATCH($F51,'Indigenous'!$B$10:$B$11,0))),"N/A")</f>
        <v/>
      </c>
      <c r="X51" s="52">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2">
        <f>IFERROR(IF(INDEX('Faculties'!$Q$10:$Q$19,MATCH($F52,'Faculties'!$B$10:$B$19,0))="","Cell will autofill based on response",INDEX('Faculties'!$Q$10:$Q$19,MATCH($F52,'Faculties'!$B$10:$B$19,0))),"N/A")</f>
        <v/>
      </c>
      <c r="I52" s="52">
        <f>IFERROR(IF(INDEX('Faculties'!$Q$26:$Q$35,MATCH($F52,'Faculties'!$B$26:$B$35,0))="","Cell will autofill based on response",INDEX('Faculties'!$Q$26:$Q$35,MATCH($F52,'Faculties'!$B$26:$B$35,0))),"N/A")</f>
        <v/>
      </c>
      <c r="J52" s="52">
        <f>IFERROR(IF(INDEX('Faculties'!$Q$42:$Q$51,MATCH($F52,'Faculties'!$B$42:$B$51,0))="","Cell will autofill based on response",INDEX('Faculties'!$Q$42:$Q$51,MATCH($F52,'Faculties'!$B$42:$B$51,0))),"N/A")</f>
        <v/>
      </c>
      <c r="K52" s="52">
        <f>IFERROR(IF(INDEX('Faculties'!$Q$58:$Q$67,MATCH($F52,'Faculties'!$B$58:$B$67,0))="","Cell will autofill based on response",INDEX('Faculties'!$Q$58:$Q$67,MATCH($F52,'Faculties'!$B$58:$B$67,0))),"N/A")</f>
        <v/>
      </c>
      <c r="L52" s="52">
        <f>IFERROR(IF(INDEX('CI&amp;S'!$Q$10:$Q$15,MATCH($F52,'CI&amp;S'!$B$10:$B$15,0))="","Cell will autofill based on response",INDEX('CI&amp;S'!$Q$10:$Q$15,MATCH($F52,'CI&amp;S'!$B$10:$B$15,0))),"N/A")</f>
        <v/>
      </c>
      <c r="M52" s="52">
        <f>IFERROR(IF(INDEX('CI&amp;S'!$Q$22:$Q$36,MATCH($F52,'CI&amp;S'!$B$22:$B$36,0))="","Cell will autofill based on response",INDEX('CI&amp;S'!$Q$22:$Q$36,MATCH($F52,'CI&amp;S'!$B$22:$B$36,0))),"N/A")</f>
        <v/>
      </c>
      <c r="N52" s="52">
        <f>IFERROR(IF(INDEX('CFOG'!$Q$10:$Q$16,MATCH($F52,'CFOG'!$B$10:$B$16,0))="","Cell will autofill based on response",INDEX('CFOG'!$Q$10:$Q$16,MATCH($F52,'CFOG'!$B$10:$B$16,0))),"N/A")</f>
        <v/>
      </c>
      <c r="O52" s="52">
        <f>IFERROR(IF(INDEX('CFOG'!$Q$23:$Q$24,MATCH($F52,'CFOG'!$B$23:$B$24,0))="","Cell will autofill based on response",INDEX('CFOG'!$Q$23:$Q$24,MATCH($F52,'CFOG'!$B$23:$B$24,0))),"N/A")</f>
        <v/>
      </c>
      <c r="P52" s="52">
        <f>IFERROR(IF(INDEX('ESG'!$Q$10:$Q$17,MATCH($F52,'ESG'!$B$10:$B$17,0))="","Cell will autofill based on response",INDEX('ESG'!$Q$10:$Q$17,MATCH($F52,'ESG'!$B$10:$B$17,0))),"N/A")</f>
        <v/>
      </c>
      <c r="Q52" s="52">
        <f>IFERROR(IF(INDEX('CIOG'!$Q$10:$Q$14,MATCH($F52,'CIOG'!$B$10:$B$14,0))="","Cell will autofill based on response",INDEX('CIOG'!$Q$10:$Q$14,MATCH($F52,'CIOG'!$B$10:$B$14,0))),"N/A")</f>
        <v/>
      </c>
      <c r="R52" s="52">
        <f>IFERROR(IF(INDEX('MRE'!$Q$10:$Q$18,MATCH($F52,'MRE'!$B$10:$B$18,0))="","Cell will autofill based on response",INDEX('MRE'!$Q$10:$Q$18,MATCH($F52,'MRE'!$B$10:$B$18,0))),"N/A")</f>
        <v/>
      </c>
      <c r="S52" s="52">
        <f>IFERROR(IF(INDEX('AC&amp;M'!$Q$10:$Q$14,MATCH($F52,'AC&amp;M'!$B$10:$B$14,0))="","Cell will autofill based on response",INDEX('AC&amp;M'!$Q$10:$Q$14,MATCH($F52,'AC&amp;M'!$B$10:$B$14,0))),"N/A")</f>
        <v/>
      </c>
      <c r="T52" s="52">
        <f>IFERROR(IF(INDEX('GCE'!$Q$10:$Q$12,MATCH($F52,'GCE'!$B$10:$B$12,0))="","Cell will autofill based on response",INDEX('GCE'!$Q$10:$Q$12,MATCH($F52,'GCE'!$B$10:$B$12,0))),"N/A")</f>
        <v/>
      </c>
      <c r="U52" s="52">
        <f>IFERROR(IF(INDEX('Education'!$Q$10:$Q$13,MATCH($F52,'Education'!$B$10:$B$13,0))="","Cell will autofill based on response",INDEX('Education'!$Q$10:$Q$13,MATCH($F52,'Education'!$B$10:$B$13,0))),"N/A")</f>
        <v/>
      </c>
      <c r="V52" s="52">
        <f>IFERROR(IF(INDEX('SaSS'!$Q$10:$Q$12,MATCH($F52,'SaSS'!$B$10:$B$12,0))="","Cell will autofill based on response",INDEX('SaSS'!$Q$10:$Q$12,MATCH($F52,'SaSS'!$B$10:$B$12,0))),"N/A")</f>
        <v/>
      </c>
      <c r="W52" s="52">
        <f>IFERROR(IF(INDEX('Indigenous'!$Q$10:$Q$11,MATCH($F52,'Indigenous'!$B$10:$B$11,0))="","Cell will autofill based on response",INDEX('Indigenous'!$Q$10:$Q$11,MATCH($F52,'Indigenous'!$B$10:$B$11,0))),"N/A")</f>
        <v/>
      </c>
      <c r="X52" s="52">
        <f>IFERROR(IF(INDEX('L&amp;R'!$Q$10:$Q$11,MATCH($F52,'L&amp;R'!$B$10:$B$11,0))="","Cell will autofill based on response",INDEX('L&amp;R'!$Q$10:$Q$11,MATCH($F52,'L&amp;R'!$B$10:$B$11,0))),"N/A")</f>
        <v/>
      </c>
    </row>
    <row r="53">
      <c r="A53">
        <f>F53&amp;"|"&amp;G53</f>
        <v/>
      </c>
      <c r="B53" s="7" t="inlineStr">
        <is>
          <t>TR1(d)</t>
        </is>
      </c>
      <c r="C53" s="50" t="inlineStr">
        <is>
          <t>Transformational research</t>
        </is>
      </c>
      <c r="D53" s="50" t="inlineStr">
        <is>
          <t>Periodic feedback from participants on the effectiveness and mutual benefit of collaboration mechanisms.</t>
        </is>
      </c>
      <c r="E53"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0" t="inlineStr">
        <is>
          <t>TR1(d)</t>
        </is>
      </c>
      <c r="G53" s="50" t="inlineStr">
        <is>
          <t>Confirm end-2026 target status</t>
        </is>
      </c>
      <c r="H53" s="52">
        <f>IFERROR(IF(INDEX('Faculties'!$L$10:$L$19,MATCH($F53,'Faculties'!$B$10:$B$19,0))="","Cell will autofill based on response",INDEX('Faculties'!$L$10:$L$19,MATCH($F53,'Faculties'!$B$10:$B$19,0))),"N/A")</f>
        <v/>
      </c>
      <c r="I53" s="52">
        <f>IFERROR(IF(INDEX('Faculties'!$L$26:$L$35,MATCH($F53,'Faculties'!$B$26:$B$35,0))="","Cell will autofill based on response",INDEX('Faculties'!$L$26:$L$35,MATCH($F53,'Faculties'!$B$26:$B$35,0))),"N/A")</f>
        <v/>
      </c>
      <c r="J53" s="52">
        <f>IFERROR(IF(INDEX('Faculties'!$L$42:$L$51,MATCH($F53,'Faculties'!$B$42:$B$51,0))="","Cell will autofill based on response",INDEX('Faculties'!$L$42:$L$51,MATCH($F53,'Faculties'!$B$42:$B$51,0))),"N/A")</f>
        <v/>
      </c>
      <c r="K53" s="52">
        <f>IFERROR(IF(INDEX('Faculties'!$L$58:$L$67,MATCH($F53,'Faculties'!$B$58:$B$67,0))="","Cell will autofill based on response",INDEX('Faculties'!$L$58:$L$67,MATCH($F53,'Faculties'!$B$58:$B$67,0))),"N/A")</f>
        <v/>
      </c>
      <c r="L53" s="52">
        <f>IFERROR(IF(INDEX('CI&amp;S'!$L$10:$L$15,MATCH($F53,'CI&amp;S'!$B$10:$B$15,0))="","Cell will autofill based on response",INDEX('CI&amp;S'!$L$10:$L$15,MATCH($F53,'CI&amp;S'!$B$10:$B$15,0))),"N/A")</f>
        <v/>
      </c>
      <c r="M53" s="52">
        <f>IFERROR(IF(INDEX('CI&amp;S'!$L$22:$L$36,MATCH($F53,'CI&amp;S'!$B$22:$B$36,0))="","Cell will autofill based on response",INDEX('CI&amp;S'!$L$22:$L$36,MATCH($F53,'CI&amp;S'!$B$22:$B$36,0))),"N/A")</f>
        <v/>
      </c>
      <c r="N53" s="52">
        <f>IFERROR(IF(INDEX('CFOG'!$L$10:$L$16,MATCH($F53,'CFOG'!$B$10:$B$16,0))="","Cell will autofill based on response",INDEX('CFOG'!$L$10:$L$16,MATCH($F53,'CFOG'!$B$10:$B$16,0))),"N/A")</f>
        <v/>
      </c>
      <c r="O53" s="52">
        <f>IFERROR(IF(INDEX('CFOG'!$L$23:$L$24,MATCH($F53,'CFOG'!$B$23:$B$24,0))="","Cell will autofill based on response",INDEX('CFOG'!$L$23:$L$24,MATCH($F53,'CFOG'!$B$23:$B$24,0))),"N/A")</f>
        <v/>
      </c>
      <c r="P53" s="52">
        <f>IFERROR(IF(INDEX('ESG'!$L$10:$L$17,MATCH($F53,'ESG'!$B$10:$B$17,0))="","Cell will autofill based on response",INDEX('ESG'!$L$10:$L$17,MATCH($F53,'ESG'!$B$10:$B$17,0))),"N/A")</f>
        <v/>
      </c>
      <c r="Q53" s="52">
        <f>IFERROR(IF(INDEX('CIOG'!$L$10:$L$14,MATCH($F53,'CIOG'!$B$10:$B$14,0))="","Cell will autofill based on response",INDEX('CIOG'!$L$10:$L$14,MATCH($F53,'CIOG'!$B$10:$B$14,0))),"N/A")</f>
        <v/>
      </c>
      <c r="R53" s="52">
        <f>IFERROR(IF(INDEX('MRE'!$L$10:$L$18,MATCH($F53,'MRE'!$B$10:$B$18,0))="","Cell will autofill based on response",INDEX('MRE'!$L$10:$L$18,MATCH($F53,'MRE'!$B$10:$B$18,0))),"N/A")</f>
        <v/>
      </c>
      <c r="S53" s="52">
        <f>IFERROR(IF(INDEX('AC&amp;M'!$L$10:$L$14,MATCH($F53,'AC&amp;M'!$B$10:$B$14,0))="","Cell will autofill based on response",INDEX('AC&amp;M'!$L$10:$L$14,MATCH($F53,'AC&amp;M'!$B$10:$B$14,0))),"N/A")</f>
        <v/>
      </c>
      <c r="T53" s="52">
        <f>IFERROR(IF(INDEX('GCE'!$L$10:$L$12,MATCH($F53,'GCE'!$B$10:$B$12,0))="","Cell will autofill based on response",INDEX('GCE'!$L$10:$L$12,MATCH($F53,'GCE'!$B$10:$B$12,0))),"N/A")</f>
        <v/>
      </c>
      <c r="U53" s="52">
        <f>IFERROR(IF(INDEX('Education'!$L$10:$L$13,MATCH($F53,'Education'!$B$10:$B$13,0))="","Cell will autofill based on response",INDEX('Education'!$L$10:$L$13,MATCH($F53,'Education'!$B$10:$B$13,0))),"N/A")</f>
        <v/>
      </c>
      <c r="V53" s="52">
        <f>IFERROR(IF(INDEX('SaSS'!$L$10:$L$12,MATCH($F53,'SaSS'!$B$10:$B$12,0))="","Cell will autofill based on response",INDEX('SaSS'!$L$10:$L$12,MATCH($F53,'SaSS'!$B$10:$B$12,0))),"N/A")</f>
        <v/>
      </c>
      <c r="W53" s="52">
        <f>IFERROR(IF(INDEX('Indigenous'!$L$10:$L$11,MATCH($F53,'Indigenous'!$B$10:$B$11,0))="","Cell will autofill based on response",INDEX('Indigenous'!$L$10:$L$11,MATCH($F53,'Indigenous'!$B$10:$B$11,0))),"N/A")</f>
        <v/>
      </c>
      <c r="X53" s="52">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3">
        <f>IF(AF53&gt;0,AE53/AF53,"No valid responses to date")</f>
        <v/>
      </c>
      <c r="AH53" s="10">
        <f>IF(ISNUMBER(AG53),INDEX(Lists!$G$2:$G$5,MATCH(ROUND(AG53,0),Lists!$H$2:$H$5,0)),"")</f>
        <v/>
      </c>
      <c r="AI53" s="54">
        <f>IF(AF53&gt;0,AD53/AF53,"")</f>
        <v/>
      </c>
      <c r="AJ53" s="54">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2">
        <f>IFERROR(IF(INDEX('Faculties'!$M$10:$M$19,MATCH($F54,'Faculties'!$B$10:$B$19,0))="","Cell will autofill based on response",INDEX('Faculties'!$M$10:$M$19,MATCH($F54,'Faculties'!$B$10:$B$19,0))),"N/A")</f>
        <v/>
      </c>
      <c r="I54" s="52">
        <f>IFERROR(IF(INDEX('Faculties'!$M$26:$M$35,MATCH($F54,'Faculties'!$B$26:$B$35,0))="","Cell will autofill based on response",INDEX('Faculties'!$M$26:$M$35,MATCH($F54,'Faculties'!$B$26:$B$35,0))),"N/A")</f>
        <v/>
      </c>
      <c r="J54" s="52">
        <f>IFERROR(IF(INDEX('Faculties'!$M$42:$M$51,MATCH($F54,'Faculties'!$B$42:$B$51,0))="","Cell will autofill based on response",INDEX('Faculties'!$M$42:$M$51,MATCH($F54,'Faculties'!$B$42:$B$51,0))),"N/A")</f>
        <v/>
      </c>
      <c r="K54" s="52">
        <f>IFERROR(IF(INDEX('Faculties'!$M$58:$M$67,MATCH($F54,'Faculties'!$B$58:$B$67,0))="","Cell will autofill based on response",INDEX('Faculties'!$M$58:$M$67,MATCH($F54,'Faculties'!$B$58:$B$67,0))),"N/A")</f>
        <v/>
      </c>
      <c r="L54" s="52">
        <f>IFERROR(IF(INDEX('CI&amp;S'!$M$10:$M$15,MATCH($F54,'CI&amp;S'!$B$10:$B$15,0))="","Cell will autofill based on response",INDEX('CI&amp;S'!$M$10:$M$15,MATCH($F54,'CI&amp;S'!$B$10:$B$15,0))),"N/A")</f>
        <v/>
      </c>
      <c r="M54" s="52">
        <f>IFERROR(IF(INDEX('CI&amp;S'!$M$22:$M$36,MATCH($F54,'CI&amp;S'!$B$22:$B$36,0))="","Cell will autofill based on response",INDEX('CI&amp;S'!$M$22:$M$36,MATCH($F54,'CI&amp;S'!$B$22:$B$36,0))),"N/A")</f>
        <v/>
      </c>
      <c r="N54" s="52">
        <f>IFERROR(IF(INDEX('CFOG'!$M$10:$M$16,MATCH($F54,'CFOG'!$B$10:$B$16,0))="","Cell will autofill based on response",INDEX('CFOG'!$M$10:$M$16,MATCH($F54,'CFOG'!$B$10:$B$16,0))),"N/A")</f>
        <v/>
      </c>
      <c r="O54" s="52">
        <f>IFERROR(IF(INDEX('CFOG'!$M$23:$M$24,MATCH($F54,'CFOG'!$B$23:$B$24,0))="","Cell will autofill based on response",INDEX('CFOG'!$M$23:$M$24,MATCH($F54,'CFOG'!$B$23:$B$24,0))),"N/A")</f>
        <v/>
      </c>
      <c r="P54" s="52">
        <f>IFERROR(IF(INDEX('ESG'!$M$10:$M$17,MATCH($F54,'ESG'!$B$10:$B$17,0))="","Cell will autofill based on response",INDEX('ESG'!$M$10:$M$17,MATCH($F54,'ESG'!$B$10:$B$17,0))),"N/A")</f>
        <v/>
      </c>
      <c r="Q54" s="52">
        <f>IFERROR(IF(INDEX('CIOG'!$M$10:$M$14,MATCH($F54,'CIOG'!$B$10:$B$14,0))="","Cell will autofill based on response",INDEX('CIOG'!$M$10:$M$14,MATCH($F54,'CIOG'!$B$10:$B$14,0))),"N/A")</f>
        <v/>
      </c>
      <c r="R54" s="52">
        <f>IFERROR(IF(INDEX('MRE'!$M$10:$M$18,MATCH($F54,'MRE'!$B$10:$B$18,0))="","Cell will autofill based on response",INDEX('MRE'!$M$10:$M$18,MATCH($F54,'MRE'!$B$10:$B$18,0))),"N/A")</f>
        <v/>
      </c>
      <c r="S54" s="52">
        <f>IFERROR(IF(INDEX('AC&amp;M'!$M$10:$M$14,MATCH($F54,'AC&amp;M'!$B$10:$B$14,0))="","Cell will autofill based on response",INDEX('AC&amp;M'!$M$10:$M$14,MATCH($F54,'AC&amp;M'!$B$10:$B$14,0))),"N/A")</f>
        <v/>
      </c>
      <c r="T54" s="52">
        <f>IFERROR(IF(INDEX('GCE'!$M$10:$M$12,MATCH($F54,'GCE'!$B$10:$B$12,0))="","Cell will autofill based on response",INDEX('GCE'!$M$10:$M$12,MATCH($F54,'GCE'!$B$10:$B$12,0))),"N/A")</f>
        <v/>
      </c>
      <c r="U54" s="52">
        <f>IFERROR(IF(INDEX('Education'!$M$10:$M$13,MATCH($F54,'Education'!$B$10:$B$13,0))="","Cell will autofill based on response",INDEX('Education'!$M$10:$M$13,MATCH($F54,'Education'!$B$10:$B$13,0))),"N/A")</f>
        <v/>
      </c>
      <c r="V54" s="52">
        <f>IFERROR(IF(INDEX('SaSS'!$M$10:$M$12,MATCH($F54,'SaSS'!$B$10:$B$12,0))="","Cell will autofill based on response",INDEX('SaSS'!$M$10:$M$12,MATCH($F54,'SaSS'!$B$10:$B$12,0))),"N/A")</f>
        <v/>
      </c>
      <c r="W54" s="52">
        <f>IFERROR(IF(INDEX('Indigenous'!$M$10:$M$11,MATCH($F54,'Indigenous'!$B$10:$B$11,0))="","Cell will autofill based on response",INDEX('Indigenous'!$M$10:$M$11,MATCH($F54,'Indigenous'!$B$10:$B$11,0))),"N/A")</f>
        <v/>
      </c>
      <c r="X54" s="52">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2">
        <f>IFERROR(IF(INDEX('Faculties'!$N$10:$N$19,MATCH($F55,'Faculties'!$B$10:$B$19,0))="","Cell will autofill based on response",INDEX('Faculties'!$N$10:$N$19,MATCH($F55,'Faculties'!$B$10:$B$19,0))),"N/A")</f>
        <v/>
      </c>
      <c r="I55" s="52">
        <f>IFERROR(IF(INDEX('Faculties'!$N$26:$N$35,MATCH($F55,'Faculties'!$B$26:$B$35,0))="","Cell will autofill based on response",INDEX('Faculties'!$N$26:$N$35,MATCH($F55,'Faculties'!$B$26:$B$35,0))),"N/A")</f>
        <v/>
      </c>
      <c r="J55" s="52">
        <f>IFERROR(IF(INDEX('Faculties'!$N$42:$N$51,MATCH($F55,'Faculties'!$B$42:$B$51,0))="","Cell will autofill based on response",INDEX('Faculties'!$N$42:$N$51,MATCH($F55,'Faculties'!$B$42:$B$51,0))),"N/A")</f>
        <v/>
      </c>
      <c r="K55" s="52">
        <f>IFERROR(IF(INDEX('Faculties'!$N$58:$N$67,MATCH($F55,'Faculties'!$B$58:$B$67,0))="","Cell will autofill based on response",INDEX('Faculties'!$N$58:$N$67,MATCH($F55,'Faculties'!$B$58:$B$67,0))),"N/A")</f>
        <v/>
      </c>
      <c r="L55" s="52">
        <f>IFERROR(IF(INDEX('CI&amp;S'!$N$10:$N$15,MATCH($F55,'CI&amp;S'!$B$10:$B$15,0))="","Cell will autofill based on response",INDEX('CI&amp;S'!$N$10:$N$15,MATCH($F55,'CI&amp;S'!$B$10:$B$15,0))),"N/A")</f>
        <v/>
      </c>
      <c r="M55" s="52">
        <f>IFERROR(IF(INDEX('CI&amp;S'!$N$22:$N$36,MATCH($F55,'CI&amp;S'!$B$22:$B$36,0))="","Cell will autofill based on response",INDEX('CI&amp;S'!$N$22:$N$36,MATCH($F55,'CI&amp;S'!$B$22:$B$36,0))),"N/A")</f>
        <v/>
      </c>
      <c r="N55" s="52">
        <f>IFERROR(IF(INDEX('CFOG'!$N$10:$N$16,MATCH($F55,'CFOG'!$B$10:$B$16,0))="","Cell will autofill based on response",INDEX('CFOG'!$N$10:$N$16,MATCH($F55,'CFOG'!$B$10:$B$16,0))),"N/A")</f>
        <v/>
      </c>
      <c r="O55" s="52">
        <f>IFERROR(IF(INDEX('CFOG'!$N$23:$N$24,MATCH($F55,'CFOG'!$B$23:$B$24,0))="","Cell will autofill based on response",INDEX('CFOG'!$N$23:$N$24,MATCH($F55,'CFOG'!$B$23:$B$24,0))),"N/A")</f>
        <v/>
      </c>
      <c r="P55" s="52">
        <f>IFERROR(IF(INDEX('ESG'!$N$10:$N$17,MATCH($F55,'ESG'!$B$10:$B$17,0))="","Cell will autofill based on response",INDEX('ESG'!$N$10:$N$17,MATCH($F55,'ESG'!$B$10:$B$17,0))),"N/A")</f>
        <v/>
      </c>
      <c r="Q55" s="52">
        <f>IFERROR(IF(INDEX('CIOG'!$N$10:$N$14,MATCH($F55,'CIOG'!$B$10:$B$14,0))="","Cell will autofill based on response",INDEX('CIOG'!$N$10:$N$14,MATCH($F55,'CIOG'!$B$10:$B$14,0))),"N/A")</f>
        <v/>
      </c>
      <c r="R55" s="52">
        <f>IFERROR(IF(INDEX('MRE'!$N$10:$N$18,MATCH($F55,'MRE'!$B$10:$B$18,0))="","Cell will autofill based on response",INDEX('MRE'!$N$10:$N$18,MATCH($F55,'MRE'!$B$10:$B$18,0))),"N/A")</f>
        <v/>
      </c>
      <c r="S55" s="52">
        <f>IFERROR(IF(INDEX('AC&amp;M'!$N$10:$N$14,MATCH($F55,'AC&amp;M'!$B$10:$B$14,0))="","Cell will autofill based on response",INDEX('AC&amp;M'!$N$10:$N$14,MATCH($F55,'AC&amp;M'!$B$10:$B$14,0))),"N/A")</f>
        <v/>
      </c>
      <c r="T55" s="52">
        <f>IFERROR(IF(INDEX('GCE'!$N$10:$N$12,MATCH($F55,'GCE'!$B$10:$B$12,0))="","Cell will autofill based on response",INDEX('GCE'!$N$10:$N$12,MATCH($F55,'GCE'!$B$10:$B$12,0))),"N/A")</f>
        <v/>
      </c>
      <c r="U55" s="52">
        <f>IFERROR(IF(INDEX('Education'!$N$10:$N$13,MATCH($F55,'Education'!$B$10:$B$13,0))="","Cell will autofill based on response",INDEX('Education'!$N$10:$N$13,MATCH($F55,'Education'!$B$10:$B$13,0))),"N/A")</f>
        <v/>
      </c>
      <c r="V55" s="52">
        <f>IFERROR(IF(INDEX('SaSS'!$N$10:$N$12,MATCH($F55,'SaSS'!$B$10:$B$12,0))="","Cell will autofill based on response",INDEX('SaSS'!$N$10:$N$12,MATCH($F55,'SaSS'!$B$10:$B$12,0))),"N/A")</f>
        <v/>
      </c>
      <c r="W55" s="52">
        <f>IFERROR(IF(INDEX('Indigenous'!$N$10:$N$11,MATCH($F55,'Indigenous'!$B$10:$B$11,0))="","Cell will autofill based on response",INDEX('Indigenous'!$N$10:$N$11,MATCH($F55,'Indigenous'!$B$10:$B$11,0))),"N/A")</f>
        <v/>
      </c>
      <c r="X55" s="52">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2">
        <f>IFERROR(IF(INDEX('Faculties'!$O$10:$O$19,MATCH($F56,'Faculties'!$B$10:$B$19,0))="","Cell will autofill based on response",INDEX('Faculties'!$O$10:$O$19,MATCH($F56,'Faculties'!$B$10:$B$19,0))),"N/A")</f>
        <v/>
      </c>
      <c r="I56" s="52">
        <f>IFERROR(IF(INDEX('Faculties'!$O$26:$O$35,MATCH($F56,'Faculties'!$B$26:$B$35,0))="","Cell will autofill based on response",INDEX('Faculties'!$O$26:$O$35,MATCH($F56,'Faculties'!$B$26:$B$35,0))),"N/A")</f>
        <v/>
      </c>
      <c r="J56" s="52">
        <f>IFERROR(IF(INDEX('Faculties'!$O$42:$O$51,MATCH($F56,'Faculties'!$B$42:$B$51,0))="","Cell will autofill based on response",INDEX('Faculties'!$O$42:$O$51,MATCH($F56,'Faculties'!$B$42:$B$51,0))),"N/A")</f>
        <v/>
      </c>
      <c r="K56" s="52">
        <f>IFERROR(IF(INDEX('Faculties'!$O$58:$O$67,MATCH($F56,'Faculties'!$B$58:$B$67,0))="","Cell will autofill based on response",INDEX('Faculties'!$O$58:$O$67,MATCH($F56,'Faculties'!$B$58:$B$67,0))),"N/A")</f>
        <v/>
      </c>
      <c r="L56" s="52">
        <f>IFERROR(IF(INDEX('CI&amp;S'!$O$10:$O$15,MATCH($F56,'CI&amp;S'!$B$10:$B$15,0))="","Cell will autofill based on response",INDEX('CI&amp;S'!$O$10:$O$15,MATCH($F56,'CI&amp;S'!$B$10:$B$15,0))),"N/A")</f>
        <v/>
      </c>
      <c r="M56" s="52">
        <f>IFERROR(IF(INDEX('CI&amp;S'!$O$22:$O$36,MATCH($F56,'CI&amp;S'!$B$22:$B$36,0))="","Cell will autofill based on response",INDEX('CI&amp;S'!$O$22:$O$36,MATCH($F56,'CI&amp;S'!$B$22:$B$36,0))),"N/A")</f>
        <v/>
      </c>
      <c r="N56" s="52">
        <f>IFERROR(IF(INDEX('CFOG'!$O$10:$O$16,MATCH($F56,'CFOG'!$B$10:$B$16,0))="","Cell will autofill based on response",INDEX('CFOG'!$O$10:$O$16,MATCH($F56,'CFOG'!$B$10:$B$16,0))),"N/A")</f>
        <v/>
      </c>
      <c r="O56" s="52">
        <f>IFERROR(IF(INDEX('CFOG'!$O$23:$O$24,MATCH($F56,'CFOG'!$B$23:$B$24,0))="","Cell will autofill based on response",INDEX('CFOG'!$O$23:$O$24,MATCH($F56,'CFOG'!$B$23:$B$24,0))),"N/A")</f>
        <v/>
      </c>
      <c r="P56" s="52">
        <f>IFERROR(IF(INDEX('ESG'!$O$10:$O$17,MATCH($F56,'ESG'!$B$10:$B$17,0))="","Cell will autofill based on response",INDEX('ESG'!$O$10:$O$17,MATCH($F56,'ESG'!$B$10:$B$17,0))),"N/A")</f>
        <v/>
      </c>
      <c r="Q56" s="52">
        <f>IFERROR(IF(INDEX('CIOG'!$O$10:$O$14,MATCH($F56,'CIOG'!$B$10:$B$14,0))="","Cell will autofill based on response",INDEX('CIOG'!$O$10:$O$14,MATCH($F56,'CIOG'!$B$10:$B$14,0))),"N/A")</f>
        <v/>
      </c>
      <c r="R56" s="52">
        <f>IFERROR(IF(INDEX('MRE'!$O$10:$O$18,MATCH($F56,'MRE'!$B$10:$B$18,0))="","Cell will autofill based on response",INDEX('MRE'!$O$10:$O$18,MATCH($F56,'MRE'!$B$10:$B$18,0))),"N/A")</f>
        <v/>
      </c>
      <c r="S56" s="52">
        <f>IFERROR(IF(INDEX('AC&amp;M'!$O$10:$O$14,MATCH($F56,'AC&amp;M'!$B$10:$B$14,0))="","Cell will autofill based on response",INDEX('AC&amp;M'!$O$10:$O$14,MATCH($F56,'AC&amp;M'!$B$10:$B$14,0))),"N/A")</f>
        <v/>
      </c>
      <c r="T56" s="52">
        <f>IFERROR(IF(INDEX('GCE'!$O$10:$O$12,MATCH($F56,'GCE'!$B$10:$B$12,0))="","Cell will autofill based on response",INDEX('GCE'!$O$10:$O$12,MATCH($F56,'GCE'!$B$10:$B$12,0))),"N/A")</f>
        <v/>
      </c>
      <c r="U56" s="52">
        <f>IFERROR(IF(INDEX('Education'!$O$10:$O$13,MATCH($F56,'Education'!$B$10:$B$13,0))="","Cell will autofill based on response",INDEX('Education'!$O$10:$O$13,MATCH($F56,'Education'!$B$10:$B$13,0))),"N/A")</f>
        <v/>
      </c>
      <c r="V56" s="52">
        <f>IFERROR(IF(INDEX('SaSS'!$O$10:$O$12,MATCH($F56,'SaSS'!$B$10:$B$12,0))="","Cell will autofill based on response",INDEX('SaSS'!$O$10:$O$12,MATCH($F56,'SaSS'!$B$10:$B$12,0))),"N/A")</f>
        <v/>
      </c>
      <c r="W56" s="52">
        <f>IFERROR(IF(INDEX('Indigenous'!$O$10:$O$11,MATCH($F56,'Indigenous'!$B$10:$B$11,0))="","Cell will autofill based on response",INDEX('Indigenous'!$O$10:$O$11,MATCH($F56,'Indigenous'!$B$10:$B$11,0))),"N/A")</f>
        <v/>
      </c>
      <c r="X56" s="52">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2">
        <f>IFERROR(IF(INDEX('Faculties'!$P$10:$P$19,MATCH($F57,'Faculties'!$B$10:$B$19,0))="","Cell will autofill based on response",INDEX('Faculties'!$P$10:$P$19,MATCH($F57,'Faculties'!$B$10:$B$19,0))),"N/A")</f>
        <v/>
      </c>
      <c r="I57" s="52">
        <f>IFERROR(IF(INDEX('Faculties'!$P$26:$P$35,MATCH($F57,'Faculties'!$B$26:$B$35,0))="","Cell will autofill based on response",INDEX('Faculties'!$P$26:$P$35,MATCH($F57,'Faculties'!$B$26:$B$35,0))),"N/A")</f>
        <v/>
      </c>
      <c r="J57" s="52">
        <f>IFERROR(IF(INDEX('Faculties'!$P$42:$P$51,MATCH($F57,'Faculties'!$B$42:$B$51,0))="","Cell will autofill based on response",INDEX('Faculties'!$P$42:$P$51,MATCH($F57,'Faculties'!$B$42:$B$51,0))),"N/A")</f>
        <v/>
      </c>
      <c r="K57" s="52">
        <f>IFERROR(IF(INDEX('Faculties'!$P$58:$P$67,MATCH($F57,'Faculties'!$B$58:$B$67,0))="","Cell will autofill based on response",INDEX('Faculties'!$P$58:$P$67,MATCH($F57,'Faculties'!$B$58:$B$67,0))),"N/A")</f>
        <v/>
      </c>
      <c r="L57" s="52">
        <f>IFERROR(IF(INDEX('CI&amp;S'!$P$10:$P$15,MATCH($F57,'CI&amp;S'!$B$10:$B$15,0))="","Cell will autofill based on response",INDEX('CI&amp;S'!$P$10:$P$15,MATCH($F57,'CI&amp;S'!$B$10:$B$15,0))),"N/A")</f>
        <v/>
      </c>
      <c r="M57" s="52">
        <f>IFERROR(IF(INDEX('CI&amp;S'!$P$22:$P$36,MATCH($F57,'CI&amp;S'!$B$22:$B$36,0))="","Cell will autofill based on response",INDEX('CI&amp;S'!$P$22:$P$36,MATCH($F57,'CI&amp;S'!$B$22:$B$36,0))),"N/A")</f>
        <v/>
      </c>
      <c r="N57" s="52">
        <f>IFERROR(IF(INDEX('CFOG'!$P$10:$P$16,MATCH($F57,'CFOG'!$B$10:$B$16,0))="","Cell will autofill based on response",INDEX('CFOG'!$P$10:$P$16,MATCH($F57,'CFOG'!$B$10:$B$16,0))),"N/A")</f>
        <v/>
      </c>
      <c r="O57" s="52">
        <f>IFERROR(IF(INDEX('CFOG'!$P$23:$P$24,MATCH($F57,'CFOG'!$B$23:$B$24,0))="","Cell will autofill based on response",INDEX('CFOG'!$P$23:$P$24,MATCH($F57,'CFOG'!$B$23:$B$24,0))),"N/A")</f>
        <v/>
      </c>
      <c r="P57" s="52">
        <f>IFERROR(IF(INDEX('ESG'!$P$10:$P$17,MATCH($F57,'ESG'!$B$10:$B$17,0))="","Cell will autofill based on response",INDEX('ESG'!$P$10:$P$17,MATCH($F57,'ESG'!$B$10:$B$17,0))),"N/A")</f>
        <v/>
      </c>
      <c r="Q57" s="52">
        <f>IFERROR(IF(INDEX('CIOG'!$P$10:$P$14,MATCH($F57,'CIOG'!$B$10:$B$14,0))="","Cell will autofill based on response",INDEX('CIOG'!$P$10:$P$14,MATCH($F57,'CIOG'!$B$10:$B$14,0))),"N/A")</f>
        <v/>
      </c>
      <c r="R57" s="52">
        <f>IFERROR(IF(INDEX('MRE'!$P$10:$P$18,MATCH($F57,'MRE'!$B$10:$B$18,0))="","Cell will autofill based on response",INDEX('MRE'!$P$10:$P$18,MATCH($F57,'MRE'!$B$10:$B$18,0))),"N/A")</f>
        <v/>
      </c>
      <c r="S57" s="52">
        <f>IFERROR(IF(INDEX('AC&amp;M'!$P$10:$P$14,MATCH($F57,'AC&amp;M'!$B$10:$B$14,0))="","Cell will autofill based on response",INDEX('AC&amp;M'!$P$10:$P$14,MATCH($F57,'AC&amp;M'!$B$10:$B$14,0))),"N/A")</f>
        <v/>
      </c>
      <c r="T57" s="52">
        <f>IFERROR(IF(INDEX('GCE'!$P$10:$P$12,MATCH($F57,'GCE'!$B$10:$B$12,0))="","Cell will autofill based on response",INDEX('GCE'!$P$10:$P$12,MATCH($F57,'GCE'!$B$10:$B$12,0))),"N/A")</f>
        <v/>
      </c>
      <c r="U57" s="52">
        <f>IFERROR(IF(INDEX('Education'!$P$10:$P$13,MATCH($F57,'Education'!$B$10:$B$13,0))="","Cell will autofill based on response",INDEX('Education'!$P$10:$P$13,MATCH($F57,'Education'!$B$10:$B$13,0))),"N/A")</f>
        <v/>
      </c>
      <c r="V57" s="52">
        <f>IFERROR(IF(INDEX('SaSS'!$P$10:$P$12,MATCH($F57,'SaSS'!$B$10:$B$12,0))="","Cell will autofill based on response",INDEX('SaSS'!$P$10:$P$12,MATCH($F57,'SaSS'!$B$10:$B$12,0))),"N/A")</f>
        <v/>
      </c>
      <c r="W57" s="52">
        <f>IFERROR(IF(INDEX('Indigenous'!$P$10:$P$11,MATCH($F57,'Indigenous'!$B$10:$B$11,0))="","Cell will autofill based on response",INDEX('Indigenous'!$P$10:$P$11,MATCH($F57,'Indigenous'!$B$10:$B$11,0))),"N/A")</f>
        <v/>
      </c>
      <c r="X57" s="52">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2">
        <f>IFERROR(IF(INDEX('Faculties'!$Q$10:$Q$19,MATCH($F58,'Faculties'!$B$10:$B$19,0))="","Cell will autofill based on response",INDEX('Faculties'!$Q$10:$Q$19,MATCH($F58,'Faculties'!$B$10:$B$19,0))),"N/A")</f>
        <v/>
      </c>
      <c r="I58" s="52">
        <f>IFERROR(IF(INDEX('Faculties'!$Q$26:$Q$35,MATCH($F58,'Faculties'!$B$26:$B$35,0))="","Cell will autofill based on response",INDEX('Faculties'!$Q$26:$Q$35,MATCH($F58,'Faculties'!$B$26:$B$35,0))),"N/A")</f>
        <v/>
      </c>
      <c r="J58" s="52">
        <f>IFERROR(IF(INDEX('Faculties'!$Q$42:$Q$51,MATCH($F58,'Faculties'!$B$42:$B$51,0))="","Cell will autofill based on response",INDEX('Faculties'!$Q$42:$Q$51,MATCH($F58,'Faculties'!$B$42:$B$51,0))),"N/A")</f>
        <v/>
      </c>
      <c r="K58" s="52">
        <f>IFERROR(IF(INDEX('Faculties'!$Q$58:$Q$67,MATCH($F58,'Faculties'!$B$58:$B$67,0))="","Cell will autofill based on response",INDEX('Faculties'!$Q$58:$Q$67,MATCH($F58,'Faculties'!$B$58:$B$67,0))),"N/A")</f>
        <v/>
      </c>
      <c r="L58" s="52">
        <f>IFERROR(IF(INDEX('CI&amp;S'!$Q$10:$Q$15,MATCH($F58,'CI&amp;S'!$B$10:$B$15,0))="","Cell will autofill based on response",INDEX('CI&amp;S'!$Q$10:$Q$15,MATCH($F58,'CI&amp;S'!$B$10:$B$15,0))),"N/A")</f>
        <v/>
      </c>
      <c r="M58" s="52">
        <f>IFERROR(IF(INDEX('CI&amp;S'!$Q$22:$Q$36,MATCH($F58,'CI&amp;S'!$B$22:$B$36,0))="","Cell will autofill based on response",INDEX('CI&amp;S'!$Q$22:$Q$36,MATCH($F58,'CI&amp;S'!$B$22:$B$36,0))),"N/A")</f>
        <v/>
      </c>
      <c r="N58" s="52">
        <f>IFERROR(IF(INDEX('CFOG'!$Q$10:$Q$16,MATCH($F58,'CFOG'!$B$10:$B$16,0))="","Cell will autofill based on response",INDEX('CFOG'!$Q$10:$Q$16,MATCH($F58,'CFOG'!$B$10:$B$16,0))),"N/A")</f>
        <v/>
      </c>
      <c r="O58" s="52">
        <f>IFERROR(IF(INDEX('CFOG'!$Q$23:$Q$24,MATCH($F58,'CFOG'!$B$23:$B$24,0))="","Cell will autofill based on response",INDEX('CFOG'!$Q$23:$Q$24,MATCH($F58,'CFOG'!$B$23:$B$24,0))),"N/A")</f>
        <v/>
      </c>
      <c r="P58" s="52">
        <f>IFERROR(IF(INDEX('ESG'!$Q$10:$Q$17,MATCH($F58,'ESG'!$B$10:$B$17,0))="","Cell will autofill based on response",INDEX('ESG'!$Q$10:$Q$17,MATCH($F58,'ESG'!$B$10:$B$17,0))),"N/A")</f>
        <v/>
      </c>
      <c r="Q58" s="52">
        <f>IFERROR(IF(INDEX('CIOG'!$Q$10:$Q$14,MATCH($F58,'CIOG'!$B$10:$B$14,0))="","Cell will autofill based on response",INDEX('CIOG'!$Q$10:$Q$14,MATCH($F58,'CIOG'!$B$10:$B$14,0))),"N/A")</f>
        <v/>
      </c>
      <c r="R58" s="52">
        <f>IFERROR(IF(INDEX('MRE'!$Q$10:$Q$18,MATCH($F58,'MRE'!$B$10:$B$18,0))="","Cell will autofill based on response",INDEX('MRE'!$Q$10:$Q$18,MATCH($F58,'MRE'!$B$10:$B$18,0))),"N/A")</f>
        <v/>
      </c>
      <c r="S58" s="52">
        <f>IFERROR(IF(INDEX('AC&amp;M'!$Q$10:$Q$14,MATCH($F58,'AC&amp;M'!$B$10:$B$14,0))="","Cell will autofill based on response",INDEX('AC&amp;M'!$Q$10:$Q$14,MATCH($F58,'AC&amp;M'!$B$10:$B$14,0))),"N/A")</f>
        <v/>
      </c>
      <c r="T58" s="52">
        <f>IFERROR(IF(INDEX('GCE'!$Q$10:$Q$12,MATCH($F58,'GCE'!$B$10:$B$12,0))="","Cell will autofill based on response",INDEX('GCE'!$Q$10:$Q$12,MATCH($F58,'GCE'!$B$10:$B$12,0))),"N/A")</f>
        <v/>
      </c>
      <c r="U58" s="52">
        <f>IFERROR(IF(INDEX('Education'!$Q$10:$Q$13,MATCH($F58,'Education'!$B$10:$B$13,0))="","Cell will autofill based on response",INDEX('Education'!$Q$10:$Q$13,MATCH($F58,'Education'!$B$10:$B$13,0))),"N/A")</f>
        <v/>
      </c>
      <c r="V58" s="52">
        <f>IFERROR(IF(INDEX('SaSS'!$Q$10:$Q$12,MATCH($F58,'SaSS'!$B$10:$B$12,0))="","Cell will autofill based on response",INDEX('SaSS'!$Q$10:$Q$12,MATCH($F58,'SaSS'!$B$10:$B$12,0))),"N/A")</f>
        <v/>
      </c>
      <c r="W58" s="52">
        <f>IFERROR(IF(INDEX('Indigenous'!$Q$10:$Q$11,MATCH($F58,'Indigenous'!$B$10:$B$11,0))="","Cell will autofill based on response",INDEX('Indigenous'!$Q$10:$Q$11,MATCH($F58,'Indigenous'!$B$10:$B$11,0))),"N/A")</f>
        <v/>
      </c>
      <c r="X58" s="52">
        <f>IFERROR(IF(INDEX('L&amp;R'!$Q$10:$Q$11,MATCH($F58,'L&amp;R'!$B$10:$B$11,0))="","Cell will autofill based on response",INDEX('L&amp;R'!$Q$10:$Q$11,MATCH($F58,'L&amp;R'!$B$10:$B$11,0))),"N/A")</f>
        <v/>
      </c>
    </row>
    <row r="59">
      <c r="A59">
        <f>F59&amp;"|"&amp;G59</f>
        <v/>
      </c>
      <c r="B59" s="7" t="inlineStr">
        <is>
          <t>TR2(a)</t>
        </is>
      </c>
      <c r="C59" s="50" t="inlineStr">
        <is>
          <t>Transformational research</t>
        </is>
      </c>
      <c r="D59" s="50" t="inlineStr">
        <is>
          <t>Evidence of sustainability-related research impact across diverse pathways, could include policy, industry, community, practice, cultural and institutional outcomes</t>
        </is>
      </c>
      <c r="E59"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0" t="inlineStr">
        <is>
          <t>TR2(a)</t>
        </is>
      </c>
      <c r="G59" s="50" t="inlineStr">
        <is>
          <t>Confirm end-2026 target status</t>
        </is>
      </c>
      <c r="H59" s="52">
        <f>IFERROR(IF(INDEX('Faculties'!$L$10:$L$19,MATCH($F59,'Faculties'!$B$10:$B$19,0))="","Cell will autofill based on response",INDEX('Faculties'!$L$10:$L$19,MATCH($F59,'Faculties'!$B$10:$B$19,0))),"N/A")</f>
        <v/>
      </c>
      <c r="I59" s="52">
        <f>IFERROR(IF(INDEX('Faculties'!$L$26:$L$35,MATCH($F59,'Faculties'!$B$26:$B$35,0))="","Cell will autofill based on response",INDEX('Faculties'!$L$26:$L$35,MATCH($F59,'Faculties'!$B$26:$B$35,0))),"N/A")</f>
        <v/>
      </c>
      <c r="J59" s="52">
        <f>IFERROR(IF(INDEX('Faculties'!$L$42:$L$51,MATCH($F59,'Faculties'!$B$42:$B$51,0))="","Cell will autofill based on response",INDEX('Faculties'!$L$42:$L$51,MATCH($F59,'Faculties'!$B$42:$B$51,0))),"N/A")</f>
        <v/>
      </c>
      <c r="K59" s="52">
        <f>IFERROR(IF(INDEX('Faculties'!$L$58:$L$67,MATCH($F59,'Faculties'!$B$58:$B$67,0))="","Cell will autofill based on response",INDEX('Faculties'!$L$58:$L$67,MATCH($F59,'Faculties'!$B$58:$B$67,0))),"N/A")</f>
        <v/>
      </c>
      <c r="L59" s="52">
        <f>IFERROR(IF(INDEX('CI&amp;S'!$L$10:$L$15,MATCH($F59,'CI&amp;S'!$B$10:$B$15,0))="","Cell will autofill based on response",INDEX('CI&amp;S'!$L$10:$L$15,MATCH($F59,'CI&amp;S'!$B$10:$B$15,0))),"N/A")</f>
        <v/>
      </c>
      <c r="M59" s="52">
        <f>IFERROR(IF(INDEX('CI&amp;S'!$L$22:$L$36,MATCH($F59,'CI&amp;S'!$B$22:$B$36,0))="","Cell will autofill based on response",INDEX('CI&amp;S'!$L$22:$L$36,MATCH($F59,'CI&amp;S'!$B$22:$B$36,0))),"N/A")</f>
        <v/>
      </c>
      <c r="N59" s="52">
        <f>IFERROR(IF(INDEX('CFOG'!$L$10:$L$16,MATCH($F59,'CFOG'!$B$10:$B$16,0))="","Cell will autofill based on response",INDEX('CFOG'!$L$10:$L$16,MATCH($F59,'CFOG'!$B$10:$B$16,0))),"N/A")</f>
        <v/>
      </c>
      <c r="O59" s="52">
        <f>IFERROR(IF(INDEX('CFOG'!$L$23:$L$24,MATCH($F59,'CFOG'!$B$23:$B$24,0))="","Cell will autofill based on response",INDEX('CFOG'!$L$23:$L$24,MATCH($F59,'CFOG'!$B$23:$B$24,0))),"N/A")</f>
        <v/>
      </c>
      <c r="P59" s="52">
        <f>IFERROR(IF(INDEX('ESG'!$L$10:$L$17,MATCH($F59,'ESG'!$B$10:$B$17,0))="","Cell will autofill based on response",INDEX('ESG'!$L$10:$L$17,MATCH($F59,'ESG'!$B$10:$B$17,0))),"N/A")</f>
        <v/>
      </c>
      <c r="Q59" s="52">
        <f>IFERROR(IF(INDEX('CIOG'!$L$10:$L$14,MATCH($F59,'CIOG'!$B$10:$B$14,0))="","Cell will autofill based on response",INDEX('CIOG'!$L$10:$L$14,MATCH($F59,'CIOG'!$B$10:$B$14,0))),"N/A")</f>
        <v/>
      </c>
      <c r="R59" s="52">
        <f>IFERROR(IF(INDEX('MRE'!$L$10:$L$18,MATCH($F59,'MRE'!$B$10:$B$18,0))="","Cell will autofill based on response",INDEX('MRE'!$L$10:$L$18,MATCH($F59,'MRE'!$B$10:$B$18,0))),"N/A")</f>
        <v/>
      </c>
      <c r="S59" s="52">
        <f>IFERROR(IF(INDEX('AC&amp;M'!$L$10:$L$14,MATCH($F59,'AC&amp;M'!$B$10:$B$14,0))="","Cell will autofill based on response",INDEX('AC&amp;M'!$L$10:$L$14,MATCH($F59,'AC&amp;M'!$B$10:$B$14,0))),"N/A")</f>
        <v/>
      </c>
      <c r="T59" s="52">
        <f>IFERROR(IF(INDEX('GCE'!$L$10:$L$12,MATCH($F59,'GCE'!$B$10:$B$12,0))="","Cell will autofill based on response",INDEX('GCE'!$L$10:$L$12,MATCH($F59,'GCE'!$B$10:$B$12,0))),"N/A")</f>
        <v/>
      </c>
      <c r="U59" s="52">
        <f>IFERROR(IF(INDEX('Education'!$L$10:$L$13,MATCH($F59,'Education'!$B$10:$B$13,0))="","Cell will autofill based on response",INDEX('Education'!$L$10:$L$13,MATCH($F59,'Education'!$B$10:$B$13,0))),"N/A")</f>
        <v/>
      </c>
      <c r="V59" s="52">
        <f>IFERROR(IF(INDEX('SaSS'!$L$10:$L$12,MATCH($F59,'SaSS'!$B$10:$B$12,0))="","Cell will autofill based on response",INDEX('SaSS'!$L$10:$L$12,MATCH($F59,'SaSS'!$B$10:$B$12,0))),"N/A")</f>
        <v/>
      </c>
      <c r="W59" s="52">
        <f>IFERROR(IF(INDEX('Indigenous'!$L$10:$L$11,MATCH($F59,'Indigenous'!$B$10:$B$11,0))="","Cell will autofill based on response",INDEX('Indigenous'!$L$10:$L$11,MATCH($F59,'Indigenous'!$B$10:$B$11,0))),"N/A")</f>
        <v/>
      </c>
      <c r="X59" s="52">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3">
        <f>IF(AF59&gt;0,AE59/AF59,"No valid responses to date")</f>
        <v/>
      </c>
      <c r="AH59" s="10">
        <f>IF(ISNUMBER(AG59),INDEX(Lists!$G$2:$G$5,MATCH(ROUND(AG59,0),Lists!$H$2:$H$5,0)),"")</f>
        <v/>
      </c>
      <c r="AI59" s="54">
        <f>IF(AF59&gt;0,AD59/AF59,"")</f>
        <v/>
      </c>
      <c r="AJ59" s="54">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2">
        <f>IFERROR(IF(INDEX('Faculties'!$M$10:$M$19,MATCH($F60,'Faculties'!$B$10:$B$19,0))="","Cell will autofill based on response",INDEX('Faculties'!$M$10:$M$19,MATCH($F60,'Faculties'!$B$10:$B$19,0))),"N/A")</f>
        <v/>
      </c>
      <c r="I60" s="52">
        <f>IFERROR(IF(INDEX('Faculties'!$M$26:$M$35,MATCH($F60,'Faculties'!$B$26:$B$35,0))="","Cell will autofill based on response",INDEX('Faculties'!$M$26:$M$35,MATCH($F60,'Faculties'!$B$26:$B$35,0))),"N/A")</f>
        <v/>
      </c>
      <c r="J60" s="52">
        <f>IFERROR(IF(INDEX('Faculties'!$M$42:$M$51,MATCH($F60,'Faculties'!$B$42:$B$51,0))="","Cell will autofill based on response",INDEX('Faculties'!$M$42:$M$51,MATCH($F60,'Faculties'!$B$42:$B$51,0))),"N/A")</f>
        <v/>
      </c>
      <c r="K60" s="52">
        <f>IFERROR(IF(INDEX('Faculties'!$M$58:$M$67,MATCH($F60,'Faculties'!$B$58:$B$67,0))="","Cell will autofill based on response",INDEX('Faculties'!$M$58:$M$67,MATCH($F60,'Faculties'!$B$58:$B$67,0))),"N/A")</f>
        <v/>
      </c>
      <c r="L60" s="52">
        <f>IFERROR(IF(INDEX('CI&amp;S'!$M$10:$M$15,MATCH($F60,'CI&amp;S'!$B$10:$B$15,0))="","Cell will autofill based on response",INDEX('CI&amp;S'!$M$10:$M$15,MATCH($F60,'CI&amp;S'!$B$10:$B$15,0))),"N/A")</f>
        <v/>
      </c>
      <c r="M60" s="52">
        <f>IFERROR(IF(INDEX('CI&amp;S'!$M$22:$M$36,MATCH($F60,'CI&amp;S'!$B$22:$B$36,0))="","Cell will autofill based on response",INDEX('CI&amp;S'!$M$22:$M$36,MATCH($F60,'CI&amp;S'!$B$22:$B$36,0))),"N/A")</f>
        <v/>
      </c>
      <c r="N60" s="52">
        <f>IFERROR(IF(INDEX('CFOG'!$M$10:$M$16,MATCH($F60,'CFOG'!$B$10:$B$16,0))="","Cell will autofill based on response",INDEX('CFOG'!$M$10:$M$16,MATCH($F60,'CFOG'!$B$10:$B$16,0))),"N/A")</f>
        <v/>
      </c>
      <c r="O60" s="52">
        <f>IFERROR(IF(INDEX('CFOG'!$M$23:$M$24,MATCH($F60,'CFOG'!$B$23:$B$24,0))="","Cell will autofill based on response",INDEX('CFOG'!$M$23:$M$24,MATCH($F60,'CFOG'!$B$23:$B$24,0))),"N/A")</f>
        <v/>
      </c>
      <c r="P60" s="52">
        <f>IFERROR(IF(INDEX('ESG'!$M$10:$M$17,MATCH($F60,'ESG'!$B$10:$B$17,0))="","Cell will autofill based on response",INDEX('ESG'!$M$10:$M$17,MATCH($F60,'ESG'!$B$10:$B$17,0))),"N/A")</f>
        <v/>
      </c>
      <c r="Q60" s="52">
        <f>IFERROR(IF(INDEX('CIOG'!$M$10:$M$14,MATCH($F60,'CIOG'!$B$10:$B$14,0))="","Cell will autofill based on response",INDEX('CIOG'!$M$10:$M$14,MATCH($F60,'CIOG'!$B$10:$B$14,0))),"N/A")</f>
        <v/>
      </c>
      <c r="R60" s="52">
        <f>IFERROR(IF(INDEX('MRE'!$M$10:$M$18,MATCH($F60,'MRE'!$B$10:$B$18,0))="","Cell will autofill based on response",INDEX('MRE'!$M$10:$M$18,MATCH($F60,'MRE'!$B$10:$B$18,0))),"N/A")</f>
        <v/>
      </c>
      <c r="S60" s="52">
        <f>IFERROR(IF(INDEX('AC&amp;M'!$M$10:$M$14,MATCH($F60,'AC&amp;M'!$B$10:$B$14,0))="","Cell will autofill based on response",INDEX('AC&amp;M'!$M$10:$M$14,MATCH($F60,'AC&amp;M'!$B$10:$B$14,0))),"N/A")</f>
        <v/>
      </c>
      <c r="T60" s="52">
        <f>IFERROR(IF(INDEX('GCE'!$M$10:$M$12,MATCH($F60,'GCE'!$B$10:$B$12,0))="","Cell will autofill based on response",INDEX('GCE'!$M$10:$M$12,MATCH($F60,'GCE'!$B$10:$B$12,0))),"N/A")</f>
        <v/>
      </c>
      <c r="U60" s="52">
        <f>IFERROR(IF(INDEX('Education'!$M$10:$M$13,MATCH($F60,'Education'!$B$10:$B$13,0))="","Cell will autofill based on response",INDEX('Education'!$M$10:$M$13,MATCH($F60,'Education'!$B$10:$B$13,0))),"N/A")</f>
        <v/>
      </c>
      <c r="V60" s="52">
        <f>IFERROR(IF(INDEX('SaSS'!$M$10:$M$12,MATCH($F60,'SaSS'!$B$10:$B$12,0))="","Cell will autofill based on response",INDEX('SaSS'!$M$10:$M$12,MATCH($F60,'SaSS'!$B$10:$B$12,0))),"N/A")</f>
        <v/>
      </c>
      <c r="W60" s="52">
        <f>IFERROR(IF(INDEX('Indigenous'!$M$10:$M$11,MATCH($F60,'Indigenous'!$B$10:$B$11,0))="","Cell will autofill based on response",INDEX('Indigenous'!$M$10:$M$11,MATCH($F60,'Indigenous'!$B$10:$B$11,0))),"N/A")</f>
        <v/>
      </c>
      <c r="X60" s="52">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2">
        <f>IFERROR(IF(INDEX('Faculties'!$N$10:$N$19,MATCH($F61,'Faculties'!$B$10:$B$19,0))="","Cell will autofill based on response",INDEX('Faculties'!$N$10:$N$19,MATCH($F61,'Faculties'!$B$10:$B$19,0))),"N/A")</f>
        <v/>
      </c>
      <c r="I61" s="52">
        <f>IFERROR(IF(INDEX('Faculties'!$N$26:$N$35,MATCH($F61,'Faculties'!$B$26:$B$35,0))="","Cell will autofill based on response",INDEX('Faculties'!$N$26:$N$35,MATCH($F61,'Faculties'!$B$26:$B$35,0))),"N/A")</f>
        <v/>
      </c>
      <c r="J61" s="52">
        <f>IFERROR(IF(INDEX('Faculties'!$N$42:$N$51,MATCH($F61,'Faculties'!$B$42:$B$51,0))="","Cell will autofill based on response",INDEX('Faculties'!$N$42:$N$51,MATCH($F61,'Faculties'!$B$42:$B$51,0))),"N/A")</f>
        <v/>
      </c>
      <c r="K61" s="52">
        <f>IFERROR(IF(INDEX('Faculties'!$N$58:$N$67,MATCH($F61,'Faculties'!$B$58:$B$67,0))="","Cell will autofill based on response",INDEX('Faculties'!$N$58:$N$67,MATCH($F61,'Faculties'!$B$58:$B$67,0))),"N/A")</f>
        <v/>
      </c>
      <c r="L61" s="52">
        <f>IFERROR(IF(INDEX('CI&amp;S'!$N$10:$N$15,MATCH($F61,'CI&amp;S'!$B$10:$B$15,0))="","Cell will autofill based on response",INDEX('CI&amp;S'!$N$10:$N$15,MATCH($F61,'CI&amp;S'!$B$10:$B$15,0))),"N/A")</f>
        <v/>
      </c>
      <c r="M61" s="52">
        <f>IFERROR(IF(INDEX('CI&amp;S'!$N$22:$N$36,MATCH($F61,'CI&amp;S'!$B$22:$B$36,0))="","Cell will autofill based on response",INDEX('CI&amp;S'!$N$22:$N$36,MATCH($F61,'CI&amp;S'!$B$22:$B$36,0))),"N/A")</f>
        <v/>
      </c>
      <c r="N61" s="52">
        <f>IFERROR(IF(INDEX('CFOG'!$N$10:$N$16,MATCH($F61,'CFOG'!$B$10:$B$16,0))="","Cell will autofill based on response",INDEX('CFOG'!$N$10:$N$16,MATCH($F61,'CFOG'!$B$10:$B$16,0))),"N/A")</f>
        <v/>
      </c>
      <c r="O61" s="52">
        <f>IFERROR(IF(INDEX('CFOG'!$N$23:$N$24,MATCH($F61,'CFOG'!$B$23:$B$24,0))="","Cell will autofill based on response",INDEX('CFOG'!$N$23:$N$24,MATCH($F61,'CFOG'!$B$23:$B$24,0))),"N/A")</f>
        <v/>
      </c>
      <c r="P61" s="52">
        <f>IFERROR(IF(INDEX('ESG'!$N$10:$N$17,MATCH($F61,'ESG'!$B$10:$B$17,0))="","Cell will autofill based on response",INDEX('ESG'!$N$10:$N$17,MATCH($F61,'ESG'!$B$10:$B$17,0))),"N/A")</f>
        <v/>
      </c>
      <c r="Q61" s="52">
        <f>IFERROR(IF(INDEX('CIOG'!$N$10:$N$14,MATCH($F61,'CIOG'!$B$10:$B$14,0))="","Cell will autofill based on response",INDEX('CIOG'!$N$10:$N$14,MATCH($F61,'CIOG'!$B$10:$B$14,0))),"N/A")</f>
        <v/>
      </c>
      <c r="R61" s="52">
        <f>IFERROR(IF(INDEX('MRE'!$N$10:$N$18,MATCH($F61,'MRE'!$B$10:$B$18,0))="","Cell will autofill based on response",INDEX('MRE'!$N$10:$N$18,MATCH($F61,'MRE'!$B$10:$B$18,0))),"N/A")</f>
        <v/>
      </c>
      <c r="S61" s="52">
        <f>IFERROR(IF(INDEX('AC&amp;M'!$N$10:$N$14,MATCH($F61,'AC&amp;M'!$B$10:$B$14,0))="","Cell will autofill based on response",INDEX('AC&amp;M'!$N$10:$N$14,MATCH($F61,'AC&amp;M'!$B$10:$B$14,0))),"N/A")</f>
        <v/>
      </c>
      <c r="T61" s="52">
        <f>IFERROR(IF(INDEX('GCE'!$N$10:$N$12,MATCH($F61,'GCE'!$B$10:$B$12,0))="","Cell will autofill based on response",INDEX('GCE'!$N$10:$N$12,MATCH($F61,'GCE'!$B$10:$B$12,0))),"N/A")</f>
        <v/>
      </c>
      <c r="U61" s="52">
        <f>IFERROR(IF(INDEX('Education'!$N$10:$N$13,MATCH($F61,'Education'!$B$10:$B$13,0))="","Cell will autofill based on response",INDEX('Education'!$N$10:$N$13,MATCH($F61,'Education'!$B$10:$B$13,0))),"N/A")</f>
        <v/>
      </c>
      <c r="V61" s="52">
        <f>IFERROR(IF(INDEX('SaSS'!$N$10:$N$12,MATCH($F61,'SaSS'!$B$10:$B$12,0))="","Cell will autofill based on response",INDEX('SaSS'!$N$10:$N$12,MATCH($F61,'SaSS'!$B$10:$B$12,0))),"N/A")</f>
        <v/>
      </c>
      <c r="W61" s="52">
        <f>IFERROR(IF(INDEX('Indigenous'!$N$10:$N$11,MATCH($F61,'Indigenous'!$B$10:$B$11,0))="","Cell will autofill based on response",INDEX('Indigenous'!$N$10:$N$11,MATCH($F61,'Indigenous'!$B$10:$B$11,0))),"N/A")</f>
        <v/>
      </c>
      <c r="X61" s="52">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2">
        <f>IFERROR(IF(INDEX('Faculties'!$O$10:$O$19,MATCH($F62,'Faculties'!$B$10:$B$19,0))="","Cell will autofill based on response",INDEX('Faculties'!$O$10:$O$19,MATCH($F62,'Faculties'!$B$10:$B$19,0))),"N/A")</f>
        <v/>
      </c>
      <c r="I62" s="52">
        <f>IFERROR(IF(INDEX('Faculties'!$O$26:$O$35,MATCH($F62,'Faculties'!$B$26:$B$35,0))="","Cell will autofill based on response",INDEX('Faculties'!$O$26:$O$35,MATCH($F62,'Faculties'!$B$26:$B$35,0))),"N/A")</f>
        <v/>
      </c>
      <c r="J62" s="52">
        <f>IFERROR(IF(INDEX('Faculties'!$O$42:$O$51,MATCH($F62,'Faculties'!$B$42:$B$51,0))="","Cell will autofill based on response",INDEX('Faculties'!$O$42:$O$51,MATCH($F62,'Faculties'!$B$42:$B$51,0))),"N/A")</f>
        <v/>
      </c>
      <c r="K62" s="52">
        <f>IFERROR(IF(INDEX('Faculties'!$O$58:$O$67,MATCH($F62,'Faculties'!$B$58:$B$67,0))="","Cell will autofill based on response",INDEX('Faculties'!$O$58:$O$67,MATCH($F62,'Faculties'!$B$58:$B$67,0))),"N/A")</f>
        <v/>
      </c>
      <c r="L62" s="52">
        <f>IFERROR(IF(INDEX('CI&amp;S'!$O$10:$O$15,MATCH($F62,'CI&amp;S'!$B$10:$B$15,0))="","Cell will autofill based on response",INDEX('CI&amp;S'!$O$10:$O$15,MATCH($F62,'CI&amp;S'!$B$10:$B$15,0))),"N/A")</f>
        <v/>
      </c>
      <c r="M62" s="52">
        <f>IFERROR(IF(INDEX('CI&amp;S'!$O$22:$O$36,MATCH($F62,'CI&amp;S'!$B$22:$B$36,0))="","Cell will autofill based on response",INDEX('CI&amp;S'!$O$22:$O$36,MATCH($F62,'CI&amp;S'!$B$22:$B$36,0))),"N/A")</f>
        <v/>
      </c>
      <c r="N62" s="52">
        <f>IFERROR(IF(INDEX('CFOG'!$O$10:$O$16,MATCH($F62,'CFOG'!$B$10:$B$16,0))="","Cell will autofill based on response",INDEX('CFOG'!$O$10:$O$16,MATCH($F62,'CFOG'!$B$10:$B$16,0))),"N/A")</f>
        <v/>
      </c>
      <c r="O62" s="52">
        <f>IFERROR(IF(INDEX('CFOG'!$O$23:$O$24,MATCH($F62,'CFOG'!$B$23:$B$24,0))="","Cell will autofill based on response",INDEX('CFOG'!$O$23:$O$24,MATCH($F62,'CFOG'!$B$23:$B$24,0))),"N/A")</f>
        <v/>
      </c>
      <c r="P62" s="52">
        <f>IFERROR(IF(INDEX('ESG'!$O$10:$O$17,MATCH($F62,'ESG'!$B$10:$B$17,0))="","Cell will autofill based on response",INDEX('ESG'!$O$10:$O$17,MATCH($F62,'ESG'!$B$10:$B$17,0))),"N/A")</f>
        <v/>
      </c>
      <c r="Q62" s="52">
        <f>IFERROR(IF(INDEX('CIOG'!$O$10:$O$14,MATCH($F62,'CIOG'!$B$10:$B$14,0))="","Cell will autofill based on response",INDEX('CIOG'!$O$10:$O$14,MATCH($F62,'CIOG'!$B$10:$B$14,0))),"N/A")</f>
        <v/>
      </c>
      <c r="R62" s="52">
        <f>IFERROR(IF(INDEX('MRE'!$O$10:$O$18,MATCH($F62,'MRE'!$B$10:$B$18,0))="","Cell will autofill based on response",INDEX('MRE'!$O$10:$O$18,MATCH($F62,'MRE'!$B$10:$B$18,0))),"N/A")</f>
        <v/>
      </c>
      <c r="S62" s="52">
        <f>IFERROR(IF(INDEX('AC&amp;M'!$O$10:$O$14,MATCH($F62,'AC&amp;M'!$B$10:$B$14,0))="","Cell will autofill based on response",INDEX('AC&amp;M'!$O$10:$O$14,MATCH($F62,'AC&amp;M'!$B$10:$B$14,0))),"N/A")</f>
        <v/>
      </c>
      <c r="T62" s="52">
        <f>IFERROR(IF(INDEX('GCE'!$O$10:$O$12,MATCH($F62,'GCE'!$B$10:$B$12,0))="","Cell will autofill based on response",INDEX('GCE'!$O$10:$O$12,MATCH($F62,'GCE'!$B$10:$B$12,0))),"N/A")</f>
        <v/>
      </c>
      <c r="U62" s="52">
        <f>IFERROR(IF(INDEX('Education'!$O$10:$O$13,MATCH($F62,'Education'!$B$10:$B$13,0))="","Cell will autofill based on response",INDEX('Education'!$O$10:$O$13,MATCH($F62,'Education'!$B$10:$B$13,0))),"N/A")</f>
        <v/>
      </c>
      <c r="V62" s="52">
        <f>IFERROR(IF(INDEX('SaSS'!$O$10:$O$12,MATCH($F62,'SaSS'!$B$10:$B$12,0))="","Cell will autofill based on response",INDEX('SaSS'!$O$10:$O$12,MATCH($F62,'SaSS'!$B$10:$B$12,0))),"N/A")</f>
        <v/>
      </c>
      <c r="W62" s="52">
        <f>IFERROR(IF(INDEX('Indigenous'!$O$10:$O$11,MATCH($F62,'Indigenous'!$B$10:$B$11,0))="","Cell will autofill based on response",INDEX('Indigenous'!$O$10:$O$11,MATCH($F62,'Indigenous'!$B$10:$B$11,0))),"N/A")</f>
        <v/>
      </c>
      <c r="X62" s="52">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2">
        <f>IFERROR(IF(INDEX('Faculties'!$P$10:$P$19,MATCH($F63,'Faculties'!$B$10:$B$19,0))="","Cell will autofill based on response",INDEX('Faculties'!$P$10:$P$19,MATCH($F63,'Faculties'!$B$10:$B$19,0))),"N/A")</f>
        <v/>
      </c>
      <c r="I63" s="52">
        <f>IFERROR(IF(INDEX('Faculties'!$P$26:$P$35,MATCH($F63,'Faculties'!$B$26:$B$35,0))="","Cell will autofill based on response",INDEX('Faculties'!$P$26:$P$35,MATCH($F63,'Faculties'!$B$26:$B$35,0))),"N/A")</f>
        <v/>
      </c>
      <c r="J63" s="52">
        <f>IFERROR(IF(INDEX('Faculties'!$P$42:$P$51,MATCH($F63,'Faculties'!$B$42:$B$51,0))="","Cell will autofill based on response",INDEX('Faculties'!$P$42:$P$51,MATCH($F63,'Faculties'!$B$42:$B$51,0))),"N/A")</f>
        <v/>
      </c>
      <c r="K63" s="52">
        <f>IFERROR(IF(INDEX('Faculties'!$P$58:$P$67,MATCH($F63,'Faculties'!$B$58:$B$67,0))="","Cell will autofill based on response",INDEX('Faculties'!$P$58:$P$67,MATCH($F63,'Faculties'!$B$58:$B$67,0))),"N/A")</f>
        <v/>
      </c>
      <c r="L63" s="52">
        <f>IFERROR(IF(INDEX('CI&amp;S'!$P$10:$P$15,MATCH($F63,'CI&amp;S'!$B$10:$B$15,0))="","Cell will autofill based on response",INDEX('CI&amp;S'!$P$10:$P$15,MATCH($F63,'CI&amp;S'!$B$10:$B$15,0))),"N/A")</f>
        <v/>
      </c>
      <c r="M63" s="52">
        <f>IFERROR(IF(INDEX('CI&amp;S'!$P$22:$P$36,MATCH($F63,'CI&amp;S'!$B$22:$B$36,0))="","Cell will autofill based on response",INDEX('CI&amp;S'!$P$22:$P$36,MATCH($F63,'CI&amp;S'!$B$22:$B$36,0))),"N/A")</f>
        <v/>
      </c>
      <c r="N63" s="52">
        <f>IFERROR(IF(INDEX('CFOG'!$P$10:$P$16,MATCH($F63,'CFOG'!$B$10:$B$16,0))="","Cell will autofill based on response",INDEX('CFOG'!$P$10:$P$16,MATCH($F63,'CFOG'!$B$10:$B$16,0))),"N/A")</f>
        <v/>
      </c>
      <c r="O63" s="52">
        <f>IFERROR(IF(INDEX('CFOG'!$P$23:$P$24,MATCH($F63,'CFOG'!$B$23:$B$24,0))="","Cell will autofill based on response",INDEX('CFOG'!$P$23:$P$24,MATCH($F63,'CFOG'!$B$23:$B$24,0))),"N/A")</f>
        <v/>
      </c>
      <c r="P63" s="52">
        <f>IFERROR(IF(INDEX('ESG'!$P$10:$P$17,MATCH($F63,'ESG'!$B$10:$B$17,0))="","Cell will autofill based on response",INDEX('ESG'!$P$10:$P$17,MATCH($F63,'ESG'!$B$10:$B$17,0))),"N/A")</f>
        <v/>
      </c>
      <c r="Q63" s="52">
        <f>IFERROR(IF(INDEX('CIOG'!$P$10:$P$14,MATCH($F63,'CIOG'!$B$10:$B$14,0))="","Cell will autofill based on response",INDEX('CIOG'!$P$10:$P$14,MATCH($F63,'CIOG'!$B$10:$B$14,0))),"N/A")</f>
        <v/>
      </c>
      <c r="R63" s="52">
        <f>IFERROR(IF(INDEX('MRE'!$P$10:$P$18,MATCH($F63,'MRE'!$B$10:$B$18,0))="","Cell will autofill based on response",INDEX('MRE'!$P$10:$P$18,MATCH($F63,'MRE'!$B$10:$B$18,0))),"N/A")</f>
        <v/>
      </c>
      <c r="S63" s="52">
        <f>IFERROR(IF(INDEX('AC&amp;M'!$P$10:$P$14,MATCH($F63,'AC&amp;M'!$B$10:$B$14,0))="","Cell will autofill based on response",INDEX('AC&amp;M'!$P$10:$P$14,MATCH($F63,'AC&amp;M'!$B$10:$B$14,0))),"N/A")</f>
        <v/>
      </c>
      <c r="T63" s="52">
        <f>IFERROR(IF(INDEX('GCE'!$P$10:$P$12,MATCH($F63,'GCE'!$B$10:$B$12,0))="","Cell will autofill based on response",INDEX('GCE'!$P$10:$P$12,MATCH($F63,'GCE'!$B$10:$B$12,0))),"N/A")</f>
        <v/>
      </c>
      <c r="U63" s="52">
        <f>IFERROR(IF(INDEX('Education'!$P$10:$P$13,MATCH($F63,'Education'!$B$10:$B$13,0))="","Cell will autofill based on response",INDEX('Education'!$P$10:$P$13,MATCH($F63,'Education'!$B$10:$B$13,0))),"N/A")</f>
        <v/>
      </c>
      <c r="V63" s="52">
        <f>IFERROR(IF(INDEX('SaSS'!$P$10:$P$12,MATCH($F63,'SaSS'!$B$10:$B$12,0))="","Cell will autofill based on response",INDEX('SaSS'!$P$10:$P$12,MATCH($F63,'SaSS'!$B$10:$B$12,0))),"N/A")</f>
        <v/>
      </c>
      <c r="W63" s="52">
        <f>IFERROR(IF(INDEX('Indigenous'!$P$10:$P$11,MATCH($F63,'Indigenous'!$B$10:$B$11,0))="","Cell will autofill based on response",INDEX('Indigenous'!$P$10:$P$11,MATCH($F63,'Indigenous'!$B$10:$B$11,0))),"N/A")</f>
        <v/>
      </c>
      <c r="X63" s="52">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2">
        <f>IFERROR(IF(INDEX('Faculties'!$Q$10:$Q$19,MATCH($F64,'Faculties'!$B$10:$B$19,0))="","Cell will autofill based on response",INDEX('Faculties'!$Q$10:$Q$19,MATCH($F64,'Faculties'!$B$10:$B$19,0))),"N/A")</f>
        <v/>
      </c>
      <c r="I64" s="52">
        <f>IFERROR(IF(INDEX('Faculties'!$Q$26:$Q$35,MATCH($F64,'Faculties'!$B$26:$B$35,0))="","Cell will autofill based on response",INDEX('Faculties'!$Q$26:$Q$35,MATCH($F64,'Faculties'!$B$26:$B$35,0))),"N/A")</f>
        <v/>
      </c>
      <c r="J64" s="52">
        <f>IFERROR(IF(INDEX('Faculties'!$Q$42:$Q$51,MATCH($F64,'Faculties'!$B$42:$B$51,0))="","Cell will autofill based on response",INDEX('Faculties'!$Q$42:$Q$51,MATCH($F64,'Faculties'!$B$42:$B$51,0))),"N/A")</f>
        <v/>
      </c>
      <c r="K64" s="52">
        <f>IFERROR(IF(INDEX('Faculties'!$Q$58:$Q$67,MATCH($F64,'Faculties'!$B$58:$B$67,0))="","Cell will autofill based on response",INDEX('Faculties'!$Q$58:$Q$67,MATCH($F64,'Faculties'!$B$58:$B$67,0))),"N/A")</f>
        <v/>
      </c>
      <c r="L64" s="52">
        <f>IFERROR(IF(INDEX('CI&amp;S'!$Q$10:$Q$15,MATCH($F64,'CI&amp;S'!$B$10:$B$15,0))="","Cell will autofill based on response",INDEX('CI&amp;S'!$Q$10:$Q$15,MATCH($F64,'CI&amp;S'!$B$10:$B$15,0))),"N/A")</f>
        <v/>
      </c>
      <c r="M64" s="52">
        <f>IFERROR(IF(INDEX('CI&amp;S'!$Q$22:$Q$36,MATCH($F64,'CI&amp;S'!$B$22:$B$36,0))="","Cell will autofill based on response",INDEX('CI&amp;S'!$Q$22:$Q$36,MATCH($F64,'CI&amp;S'!$B$22:$B$36,0))),"N/A")</f>
        <v/>
      </c>
      <c r="N64" s="52">
        <f>IFERROR(IF(INDEX('CFOG'!$Q$10:$Q$16,MATCH($F64,'CFOG'!$B$10:$B$16,0))="","Cell will autofill based on response",INDEX('CFOG'!$Q$10:$Q$16,MATCH($F64,'CFOG'!$B$10:$B$16,0))),"N/A")</f>
        <v/>
      </c>
      <c r="O64" s="52">
        <f>IFERROR(IF(INDEX('CFOG'!$Q$23:$Q$24,MATCH($F64,'CFOG'!$B$23:$B$24,0))="","Cell will autofill based on response",INDEX('CFOG'!$Q$23:$Q$24,MATCH($F64,'CFOG'!$B$23:$B$24,0))),"N/A")</f>
        <v/>
      </c>
      <c r="P64" s="52">
        <f>IFERROR(IF(INDEX('ESG'!$Q$10:$Q$17,MATCH($F64,'ESG'!$B$10:$B$17,0))="","Cell will autofill based on response",INDEX('ESG'!$Q$10:$Q$17,MATCH($F64,'ESG'!$B$10:$B$17,0))),"N/A")</f>
        <v/>
      </c>
      <c r="Q64" s="52">
        <f>IFERROR(IF(INDEX('CIOG'!$Q$10:$Q$14,MATCH($F64,'CIOG'!$B$10:$B$14,0))="","Cell will autofill based on response",INDEX('CIOG'!$Q$10:$Q$14,MATCH($F64,'CIOG'!$B$10:$B$14,0))),"N/A")</f>
        <v/>
      </c>
      <c r="R64" s="52">
        <f>IFERROR(IF(INDEX('MRE'!$Q$10:$Q$18,MATCH($F64,'MRE'!$B$10:$B$18,0))="","Cell will autofill based on response",INDEX('MRE'!$Q$10:$Q$18,MATCH($F64,'MRE'!$B$10:$B$18,0))),"N/A")</f>
        <v/>
      </c>
      <c r="S64" s="52">
        <f>IFERROR(IF(INDEX('AC&amp;M'!$Q$10:$Q$14,MATCH($F64,'AC&amp;M'!$B$10:$B$14,0))="","Cell will autofill based on response",INDEX('AC&amp;M'!$Q$10:$Q$14,MATCH($F64,'AC&amp;M'!$B$10:$B$14,0))),"N/A")</f>
        <v/>
      </c>
      <c r="T64" s="52">
        <f>IFERROR(IF(INDEX('GCE'!$Q$10:$Q$12,MATCH($F64,'GCE'!$B$10:$B$12,0))="","Cell will autofill based on response",INDEX('GCE'!$Q$10:$Q$12,MATCH($F64,'GCE'!$B$10:$B$12,0))),"N/A")</f>
        <v/>
      </c>
      <c r="U64" s="52">
        <f>IFERROR(IF(INDEX('Education'!$Q$10:$Q$13,MATCH($F64,'Education'!$B$10:$B$13,0))="","Cell will autofill based on response",INDEX('Education'!$Q$10:$Q$13,MATCH($F64,'Education'!$B$10:$B$13,0))),"N/A")</f>
        <v/>
      </c>
      <c r="V64" s="52">
        <f>IFERROR(IF(INDEX('SaSS'!$Q$10:$Q$12,MATCH($F64,'SaSS'!$B$10:$B$12,0))="","Cell will autofill based on response",INDEX('SaSS'!$Q$10:$Q$12,MATCH($F64,'SaSS'!$B$10:$B$12,0))),"N/A")</f>
        <v/>
      </c>
      <c r="W64" s="52">
        <f>IFERROR(IF(INDEX('Indigenous'!$Q$10:$Q$11,MATCH($F64,'Indigenous'!$B$10:$B$11,0))="","Cell will autofill based on response",INDEX('Indigenous'!$Q$10:$Q$11,MATCH($F64,'Indigenous'!$B$10:$B$11,0))),"N/A")</f>
        <v/>
      </c>
      <c r="X64" s="52">
        <f>IFERROR(IF(INDEX('L&amp;R'!$Q$10:$Q$11,MATCH($F64,'L&amp;R'!$B$10:$B$11,0))="","Cell will autofill based on response",INDEX('L&amp;R'!$Q$10:$Q$11,MATCH($F64,'L&amp;R'!$B$10:$B$11,0))),"N/A")</f>
        <v/>
      </c>
    </row>
    <row r="65">
      <c r="A65">
        <f>F65&amp;"|"&amp;G65</f>
        <v/>
      </c>
      <c r="B65" s="7" t="inlineStr">
        <is>
          <t>TR2(c)</t>
        </is>
      </c>
      <c r="C65" s="50" t="inlineStr">
        <is>
          <t>Transformational research</t>
        </is>
      </c>
      <c r="D65" s="50" t="inlineStr">
        <is>
          <t>Expert-reviewed summary of sustainability-related research outputs, outcomes and influence using available institutional evidence sources</t>
        </is>
      </c>
      <c r="E65" s="50" t="inlineStr">
        <is>
          <t>currently mapped to the SDGs using SciVal</t>
        </is>
      </c>
      <c r="F65" s="50" t="inlineStr">
        <is>
          <t>TR2(c)</t>
        </is>
      </c>
      <c r="G65" s="50" t="inlineStr">
        <is>
          <t>Confirm end-2026 target status</t>
        </is>
      </c>
      <c r="H65" s="52">
        <f>IFERROR(IF(INDEX('Faculties'!$L$10:$L$19,MATCH($F65,'Faculties'!$B$10:$B$19,0))="","Cell will autofill based on response",INDEX('Faculties'!$L$10:$L$19,MATCH($F65,'Faculties'!$B$10:$B$19,0))),"N/A")</f>
        <v/>
      </c>
      <c r="I65" s="52">
        <f>IFERROR(IF(INDEX('Faculties'!$L$26:$L$35,MATCH($F65,'Faculties'!$B$26:$B$35,0))="","Cell will autofill based on response",INDEX('Faculties'!$L$26:$L$35,MATCH($F65,'Faculties'!$B$26:$B$35,0))),"N/A")</f>
        <v/>
      </c>
      <c r="J65" s="52">
        <f>IFERROR(IF(INDEX('Faculties'!$L$42:$L$51,MATCH($F65,'Faculties'!$B$42:$B$51,0))="","Cell will autofill based on response",INDEX('Faculties'!$L$42:$L$51,MATCH($F65,'Faculties'!$B$42:$B$51,0))),"N/A")</f>
        <v/>
      </c>
      <c r="K65" s="52">
        <f>IFERROR(IF(INDEX('Faculties'!$L$58:$L$67,MATCH($F65,'Faculties'!$B$58:$B$67,0))="","Cell will autofill based on response",INDEX('Faculties'!$L$58:$L$67,MATCH($F65,'Faculties'!$B$58:$B$67,0))),"N/A")</f>
        <v/>
      </c>
      <c r="L65" s="52">
        <f>IFERROR(IF(INDEX('CI&amp;S'!$L$10:$L$15,MATCH($F65,'CI&amp;S'!$B$10:$B$15,0))="","Cell will autofill based on response",INDEX('CI&amp;S'!$L$10:$L$15,MATCH($F65,'CI&amp;S'!$B$10:$B$15,0))),"N/A")</f>
        <v/>
      </c>
      <c r="M65" s="52">
        <f>IFERROR(IF(INDEX('CI&amp;S'!$L$22:$L$36,MATCH($F65,'CI&amp;S'!$B$22:$B$36,0))="","Cell will autofill based on response",INDEX('CI&amp;S'!$L$22:$L$36,MATCH($F65,'CI&amp;S'!$B$22:$B$36,0))),"N/A")</f>
        <v/>
      </c>
      <c r="N65" s="52">
        <f>IFERROR(IF(INDEX('CFOG'!$L$10:$L$16,MATCH($F65,'CFOG'!$B$10:$B$16,0))="","Cell will autofill based on response",INDEX('CFOG'!$L$10:$L$16,MATCH($F65,'CFOG'!$B$10:$B$16,0))),"N/A")</f>
        <v/>
      </c>
      <c r="O65" s="52">
        <f>IFERROR(IF(INDEX('CFOG'!$L$23:$L$24,MATCH($F65,'CFOG'!$B$23:$B$24,0))="","Cell will autofill based on response",INDEX('CFOG'!$L$23:$L$24,MATCH($F65,'CFOG'!$B$23:$B$24,0))),"N/A")</f>
        <v/>
      </c>
      <c r="P65" s="52">
        <f>IFERROR(IF(INDEX('ESG'!$L$10:$L$17,MATCH($F65,'ESG'!$B$10:$B$17,0))="","Cell will autofill based on response",INDEX('ESG'!$L$10:$L$17,MATCH($F65,'ESG'!$B$10:$B$17,0))),"N/A")</f>
        <v/>
      </c>
      <c r="Q65" s="52">
        <f>IFERROR(IF(INDEX('CIOG'!$L$10:$L$14,MATCH($F65,'CIOG'!$B$10:$B$14,0))="","Cell will autofill based on response",INDEX('CIOG'!$L$10:$L$14,MATCH($F65,'CIOG'!$B$10:$B$14,0))),"N/A")</f>
        <v/>
      </c>
      <c r="R65" s="52">
        <f>IFERROR(IF(INDEX('MRE'!$L$10:$L$18,MATCH($F65,'MRE'!$B$10:$B$18,0))="","Cell will autofill based on response",INDEX('MRE'!$L$10:$L$18,MATCH($F65,'MRE'!$B$10:$B$18,0))),"N/A")</f>
        <v/>
      </c>
      <c r="S65" s="52">
        <f>IFERROR(IF(INDEX('AC&amp;M'!$L$10:$L$14,MATCH($F65,'AC&amp;M'!$B$10:$B$14,0))="","Cell will autofill based on response",INDEX('AC&amp;M'!$L$10:$L$14,MATCH($F65,'AC&amp;M'!$B$10:$B$14,0))),"N/A")</f>
        <v/>
      </c>
      <c r="T65" s="52">
        <f>IFERROR(IF(INDEX('GCE'!$L$10:$L$12,MATCH($F65,'GCE'!$B$10:$B$12,0))="","Cell will autofill based on response",INDEX('GCE'!$L$10:$L$12,MATCH($F65,'GCE'!$B$10:$B$12,0))),"N/A")</f>
        <v/>
      </c>
      <c r="U65" s="52">
        <f>IFERROR(IF(INDEX('Education'!$L$10:$L$13,MATCH($F65,'Education'!$B$10:$B$13,0))="","Cell will autofill based on response",INDEX('Education'!$L$10:$L$13,MATCH($F65,'Education'!$B$10:$B$13,0))),"N/A")</f>
        <v/>
      </c>
      <c r="V65" s="52">
        <f>IFERROR(IF(INDEX('SaSS'!$L$10:$L$12,MATCH($F65,'SaSS'!$B$10:$B$12,0))="","Cell will autofill based on response",INDEX('SaSS'!$L$10:$L$12,MATCH($F65,'SaSS'!$B$10:$B$12,0))),"N/A")</f>
        <v/>
      </c>
      <c r="W65" s="52">
        <f>IFERROR(IF(INDEX('Indigenous'!$L$10:$L$11,MATCH($F65,'Indigenous'!$B$10:$B$11,0))="","Cell will autofill based on response",INDEX('Indigenous'!$L$10:$L$11,MATCH($F65,'Indigenous'!$B$10:$B$11,0))),"N/A")</f>
        <v/>
      </c>
      <c r="X65" s="52">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3">
        <f>IF(AF65&gt;0,AE65/AF65,"No valid responses to date")</f>
        <v/>
      </c>
      <c r="AH65" s="10">
        <f>IF(ISNUMBER(AG65),INDEX(Lists!$G$2:$G$5,MATCH(ROUND(AG65,0),Lists!$H$2:$H$5,0)),"")</f>
        <v/>
      </c>
      <c r="AI65" s="54">
        <f>IF(AF65&gt;0,AD65/AF65,"")</f>
        <v/>
      </c>
      <c r="AJ65" s="54">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2">
        <f>IFERROR(IF(INDEX('Faculties'!$M$10:$M$19,MATCH($F66,'Faculties'!$B$10:$B$19,0))="","Cell will autofill based on response",INDEX('Faculties'!$M$10:$M$19,MATCH($F66,'Faculties'!$B$10:$B$19,0))),"N/A")</f>
        <v/>
      </c>
      <c r="I66" s="52">
        <f>IFERROR(IF(INDEX('Faculties'!$M$26:$M$35,MATCH($F66,'Faculties'!$B$26:$B$35,0))="","Cell will autofill based on response",INDEX('Faculties'!$M$26:$M$35,MATCH($F66,'Faculties'!$B$26:$B$35,0))),"N/A")</f>
        <v/>
      </c>
      <c r="J66" s="52">
        <f>IFERROR(IF(INDEX('Faculties'!$M$42:$M$51,MATCH($F66,'Faculties'!$B$42:$B$51,0))="","Cell will autofill based on response",INDEX('Faculties'!$M$42:$M$51,MATCH($F66,'Faculties'!$B$42:$B$51,0))),"N/A")</f>
        <v/>
      </c>
      <c r="K66" s="52">
        <f>IFERROR(IF(INDEX('Faculties'!$M$58:$M$67,MATCH($F66,'Faculties'!$B$58:$B$67,0))="","Cell will autofill based on response",INDEX('Faculties'!$M$58:$M$67,MATCH($F66,'Faculties'!$B$58:$B$67,0))),"N/A")</f>
        <v/>
      </c>
      <c r="L66" s="52">
        <f>IFERROR(IF(INDEX('CI&amp;S'!$M$10:$M$15,MATCH($F66,'CI&amp;S'!$B$10:$B$15,0))="","Cell will autofill based on response",INDEX('CI&amp;S'!$M$10:$M$15,MATCH($F66,'CI&amp;S'!$B$10:$B$15,0))),"N/A")</f>
        <v/>
      </c>
      <c r="M66" s="52">
        <f>IFERROR(IF(INDEX('CI&amp;S'!$M$22:$M$36,MATCH($F66,'CI&amp;S'!$B$22:$B$36,0))="","Cell will autofill based on response",INDEX('CI&amp;S'!$M$22:$M$36,MATCH($F66,'CI&amp;S'!$B$22:$B$36,0))),"N/A")</f>
        <v/>
      </c>
      <c r="N66" s="52">
        <f>IFERROR(IF(INDEX('CFOG'!$M$10:$M$16,MATCH($F66,'CFOG'!$B$10:$B$16,0))="","Cell will autofill based on response",INDEX('CFOG'!$M$10:$M$16,MATCH($F66,'CFOG'!$B$10:$B$16,0))),"N/A")</f>
        <v/>
      </c>
      <c r="O66" s="52">
        <f>IFERROR(IF(INDEX('CFOG'!$M$23:$M$24,MATCH($F66,'CFOG'!$B$23:$B$24,0))="","Cell will autofill based on response",INDEX('CFOG'!$M$23:$M$24,MATCH($F66,'CFOG'!$B$23:$B$24,0))),"N/A")</f>
        <v/>
      </c>
      <c r="P66" s="52">
        <f>IFERROR(IF(INDEX('ESG'!$M$10:$M$17,MATCH($F66,'ESG'!$B$10:$B$17,0))="","Cell will autofill based on response",INDEX('ESG'!$M$10:$M$17,MATCH($F66,'ESG'!$B$10:$B$17,0))),"N/A")</f>
        <v/>
      </c>
      <c r="Q66" s="52">
        <f>IFERROR(IF(INDEX('CIOG'!$M$10:$M$14,MATCH($F66,'CIOG'!$B$10:$B$14,0))="","Cell will autofill based on response",INDEX('CIOG'!$M$10:$M$14,MATCH($F66,'CIOG'!$B$10:$B$14,0))),"N/A")</f>
        <v/>
      </c>
      <c r="R66" s="52">
        <f>IFERROR(IF(INDEX('MRE'!$M$10:$M$18,MATCH($F66,'MRE'!$B$10:$B$18,0))="","Cell will autofill based on response",INDEX('MRE'!$M$10:$M$18,MATCH($F66,'MRE'!$B$10:$B$18,0))),"N/A")</f>
        <v/>
      </c>
      <c r="S66" s="52">
        <f>IFERROR(IF(INDEX('AC&amp;M'!$M$10:$M$14,MATCH($F66,'AC&amp;M'!$B$10:$B$14,0))="","Cell will autofill based on response",INDEX('AC&amp;M'!$M$10:$M$14,MATCH($F66,'AC&amp;M'!$B$10:$B$14,0))),"N/A")</f>
        <v/>
      </c>
      <c r="T66" s="52">
        <f>IFERROR(IF(INDEX('GCE'!$M$10:$M$12,MATCH($F66,'GCE'!$B$10:$B$12,0))="","Cell will autofill based on response",INDEX('GCE'!$M$10:$M$12,MATCH($F66,'GCE'!$B$10:$B$12,0))),"N/A")</f>
        <v/>
      </c>
      <c r="U66" s="52">
        <f>IFERROR(IF(INDEX('Education'!$M$10:$M$13,MATCH($F66,'Education'!$B$10:$B$13,0))="","Cell will autofill based on response",INDEX('Education'!$M$10:$M$13,MATCH($F66,'Education'!$B$10:$B$13,0))),"N/A")</f>
        <v/>
      </c>
      <c r="V66" s="52">
        <f>IFERROR(IF(INDEX('SaSS'!$M$10:$M$12,MATCH($F66,'SaSS'!$B$10:$B$12,0))="","Cell will autofill based on response",INDEX('SaSS'!$M$10:$M$12,MATCH($F66,'SaSS'!$B$10:$B$12,0))),"N/A")</f>
        <v/>
      </c>
      <c r="W66" s="52">
        <f>IFERROR(IF(INDEX('Indigenous'!$M$10:$M$11,MATCH($F66,'Indigenous'!$B$10:$B$11,0))="","Cell will autofill based on response",INDEX('Indigenous'!$M$10:$M$11,MATCH($F66,'Indigenous'!$B$10:$B$11,0))),"N/A")</f>
        <v/>
      </c>
      <c r="X66" s="52">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2">
        <f>IFERROR(IF(INDEX('Faculties'!$N$10:$N$19,MATCH($F67,'Faculties'!$B$10:$B$19,0))="","Cell will autofill based on response",INDEX('Faculties'!$N$10:$N$19,MATCH($F67,'Faculties'!$B$10:$B$19,0))),"N/A")</f>
        <v/>
      </c>
      <c r="I67" s="52">
        <f>IFERROR(IF(INDEX('Faculties'!$N$26:$N$35,MATCH($F67,'Faculties'!$B$26:$B$35,0))="","Cell will autofill based on response",INDEX('Faculties'!$N$26:$N$35,MATCH($F67,'Faculties'!$B$26:$B$35,0))),"N/A")</f>
        <v/>
      </c>
      <c r="J67" s="52">
        <f>IFERROR(IF(INDEX('Faculties'!$N$42:$N$51,MATCH($F67,'Faculties'!$B$42:$B$51,0))="","Cell will autofill based on response",INDEX('Faculties'!$N$42:$N$51,MATCH($F67,'Faculties'!$B$42:$B$51,0))),"N/A")</f>
        <v/>
      </c>
      <c r="K67" s="52">
        <f>IFERROR(IF(INDEX('Faculties'!$N$58:$N$67,MATCH($F67,'Faculties'!$B$58:$B$67,0))="","Cell will autofill based on response",INDEX('Faculties'!$N$58:$N$67,MATCH($F67,'Faculties'!$B$58:$B$67,0))),"N/A")</f>
        <v/>
      </c>
      <c r="L67" s="52">
        <f>IFERROR(IF(INDEX('CI&amp;S'!$N$10:$N$15,MATCH($F67,'CI&amp;S'!$B$10:$B$15,0))="","Cell will autofill based on response",INDEX('CI&amp;S'!$N$10:$N$15,MATCH($F67,'CI&amp;S'!$B$10:$B$15,0))),"N/A")</f>
        <v/>
      </c>
      <c r="M67" s="52">
        <f>IFERROR(IF(INDEX('CI&amp;S'!$N$22:$N$36,MATCH($F67,'CI&amp;S'!$B$22:$B$36,0))="","Cell will autofill based on response",INDEX('CI&amp;S'!$N$22:$N$36,MATCH($F67,'CI&amp;S'!$B$22:$B$36,0))),"N/A")</f>
        <v/>
      </c>
      <c r="N67" s="52">
        <f>IFERROR(IF(INDEX('CFOG'!$N$10:$N$16,MATCH($F67,'CFOG'!$B$10:$B$16,0))="","Cell will autofill based on response",INDEX('CFOG'!$N$10:$N$16,MATCH($F67,'CFOG'!$B$10:$B$16,0))),"N/A")</f>
        <v/>
      </c>
      <c r="O67" s="52">
        <f>IFERROR(IF(INDEX('CFOG'!$N$23:$N$24,MATCH($F67,'CFOG'!$B$23:$B$24,0))="","Cell will autofill based on response",INDEX('CFOG'!$N$23:$N$24,MATCH($F67,'CFOG'!$B$23:$B$24,0))),"N/A")</f>
        <v/>
      </c>
      <c r="P67" s="52">
        <f>IFERROR(IF(INDEX('ESG'!$N$10:$N$17,MATCH($F67,'ESG'!$B$10:$B$17,0))="","Cell will autofill based on response",INDEX('ESG'!$N$10:$N$17,MATCH($F67,'ESG'!$B$10:$B$17,0))),"N/A")</f>
        <v/>
      </c>
      <c r="Q67" s="52">
        <f>IFERROR(IF(INDEX('CIOG'!$N$10:$N$14,MATCH($F67,'CIOG'!$B$10:$B$14,0))="","Cell will autofill based on response",INDEX('CIOG'!$N$10:$N$14,MATCH($F67,'CIOG'!$B$10:$B$14,0))),"N/A")</f>
        <v/>
      </c>
      <c r="R67" s="52">
        <f>IFERROR(IF(INDEX('MRE'!$N$10:$N$18,MATCH($F67,'MRE'!$B$10:$B$18,0))="","Cell will autofill based on response",INDEX('MRE'!$N$10:$N$18,MATCH($F67,'MRE'!$B$10:$B$18,0))),"N/A")</f>
        <v/>
      </c>
      <c r="S67" s="52">
        <f>IFERROR(IF(INDEX('AC&amp;M'!$N$10:$N$14,MATCH($F67,'AC&amp;M'!$B$10:$B$14,0))="","Cell will autofill based on response",INDEX('AC&amp;M'!$N$10:$N$14,MATCH($F67,'AC&amp;M'!$B$10:$B$14,0))),"N/A")</f>
        <v/>
      </c>
      <c r="T67" s="52">
        <f>IFERROR(IF(INDEX('GCE'!$N$10:$N$12,MATCH($F67,'GCE'!$B$10:$B$12,0))="","Cell will autofill based on response",INDEX('GCE'!$N$10:$N$12,MATCH($F67,'GCE'!$B$10:$B$12,0))),"N/A")</f>
        <v/>
      </c>
      <c r="U67" s="52">
        <f>IFERROR(IF(INDEX('Education'!$N$10:$N$13,MATCH($F67,'Education'!$B$10:$B$13,0))="","Cell will autofill based on response",INDEX('Education'!$N$10:$N$13,MATCH($F67,'Education'!$B$10:$B$13,0))),"N/A")</f>
        <v/>
      </c>
      <c r="V67" s="52">
        <f>IFERROR(IF(INDEX('SaSS'!$N$10:$N$12,MATCH($F67,'SaSS'!$B$10:$B$12,0))="","Cell will autofill based on response",INDEX('SaSS'!$N$10:$N$12,MATCH($F67,'SaSS'!$B$10:$B$12,0))),"N/A")</f>
        <v/>
      </c>
      <c r="W67" s="52">
        <f>IFERROR(IF(INDEX('Indigenous'!$N$10:$N$11,MATCH($F67,'Indigenous'!$B$10:$B$11,0))="","Cell will autofill based on response",INDEX('Indigenous'!$N$10:$N$11,MATCH($F67,'Indigenous'!$B$10:$B$11,0))),"N/A")</f>
        <v/>
      </c>
      <c r="X67" s="52">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2">
        <f>IFERROR(IF(INDEX('Faculties'!$O$10:$O$19,MATCH($F68,'Faculties'!$B$10:$B$19,0))="","Cell will autofill based on response",INDEX('Faculties'!$O$10:$O$19,MATCH($F68,'Faculties'!$B$10:$B$19,0))),"N/A")</f>
        <v/>
      </c>
      <c r="I68" s="52">
        <f>IFERROR(IF(INDEX('Faculties'!$O$26:$O$35,MATCH($F68,'Faculties'!$B$26:$B$35,0))="","Cell will autofill based on response",INDEX('Faculties'!$O$26:$O$35,MATCH($F68,'Faculties'!$B$26:$B$35,0))),"N/A")</f>
        <v/>
      </c>
      <c r="J68" s="52">
        <f>IFERROR(IF(INDEX('Faculties'!$O$42:$O$51,MATCH($F68,'Faculties'!$B$42:$B$51,0))="","Cell will autofill based on response",INDEX('Faculties'!$O$42:$O$51,MATCH($F68,'Faculties'!$B$42:$B$51,0))),"N/A")</f>
        <v/>
      </c>
      <c r="K68" s="52">
        <f>IFERROR(IF(INDEX('Faculties'!$O$58:$O$67,MATCH($F68,'Faculties'!$B$58:$B$67,0))="","Cell will autofill based on response",INDEX('Faculties'!$O$58:$O$67,MATCH($F68,'Faculties'!$B$58:$B$67,0))),"N/A")</f>
        <v/>
      </c>
      <c r="L68" s="52">
        <f>IFERROR(IF(INDEX('CI&amp;S'!$O$10:$O$15,MATCH($F68,'CI&amp;S'!$B$10:$B$15,0))="","Cell will autofill based on response",INDEX('CI&amp;S'!$O$10:$O$15,MATCH($F68,'CI&amp;S'!$B$10:$B$15,0))),"N/A")</f>
        <v/>
      </c>
      <c r="M68" s="52">
        <f>IFERROR(IF(INDEX('CI&amp;S'!$O$22:$O$36,MATCH($F68,'CI&amp;S'!$B$22:$B$36,0))="","Cell will autofill based on response",INDEX('CI&amp;S'!$O$22:$O$36,MATCH($F68,'CI&amp;S'!$B$22:$B$36,0))),"N/A")</f>
        <v/>
      </c>
      <c r="N68" s="52">
        <f>IFERROR(IF(INDEX('CFOG'!$O$10:$O$16,MATCH($F68,'CFOG'!$B$10:$B$16,0))="","Cell will autofill based on response",INDEX('CFOG'!$O$10:$O$16,MATCH($F68,'CFOG'!$B$10:$B$16,0))),"N/A")</f>
        <v/>
      </c>
      <c r="O68" s="52">
        <f>IFERROR(IF(INDEX('CFOG'!$O$23:$O$24,MATCH($F68,'CFOG'!$B$23:$B$24,0))="","Cell will autofill based on response",INDEX('CFOG'!$O$23:$O$24,MATCH($F68,'CFOG'!$B$23:$B$24,0))),"N/A")</f>
        <v/>
      </c>
      <c r="P68" s="52">
        <f>IFERROR(IF(INDEX('ESG'!$O$10:$O$17,MATCH($F68,'ESG'!$B$10:$B$17,0))="","Cell will autofill based on response",INDEX('ESG'!$O$10:$O$17,MATCH($F68,'ESG'!$B$10:$B$17,0))),"N/A")</f>
        <v/>
      </c>
      <c r="Q68" s="52">
        <f>IFERROR(IF(INDEX('CIOG'!$O$10:$O$14,MATCH($F68,'CIOG'!$B$10:$B$14,0))="","Cell will autofill based on response",INDEX('CIOG'!$O$10:$O$14,MATCH($F68,'CIOG'!$B$10:$B$14,0))),"N/A")</f>
        <v/>
      </c>
      <c r="R68" s="52">
        <f>IFERROR(IF(INDEX('MRE'!$O$10:$O$18,MATCH($F68,'MRE'!$B$10:$B$18,0))="","Cell will autofill based on response",INDEX('MRE'!$O$10:$O$18,MATCH($F68,'MRE'!$B$10:$B$18,0))),"N/A")</f>
        <v/>
      </c>
      <c r="S68" s="52">
        <f>IFERROR(IF(INDEX('AC&amp;M'!$O$10:$O$14,MATCH($F68,'AC&amp;M'!$B$10:$B$14,0))="","Cell will autofill based on response",INDEX('AC&amp;M'!$O$10:$O$14,MATCH($F68,'AC&amp;M'!$B$10:$B$14,0))),"N/A")</f>
        <v/>
      </c>
      <c r="T68" s="52">
        <f>IFERROR(IF(INDEX('GCE'!$O$10:$O$12,MATCH($F68,'GCE'!$B$10:$B$12,0))="","Cell will autofill based on response",INDEX('GCE'!$O$10:$O$12,MATCH($F68,'GCE'!$B$10:$B$12,0))),"N/A")</f>
        <v/>
      </c>
      <c r="U68" s="52">
        <f>IFERROR(IF(INDEX('Education'!$O$10:$O$13,MATCH($F68,'Education'!$B$10:$B$13,0))="","Cell will autofill based on response",INDEX('Education'!$O$10:$O$13,MATCH($F68,'Education'!$B$10:$B$13,0))),"N/A")</f>
        <v/>
      </c>
      <c r="V68" s="52">
        <f>IFERROR(IF(INDEX('SaSS'!$O$10:$O$12,MATCH($F68,'SaSS'!$B$10:$B$12,0))="","Cell will autofill based on response",INDEX('SaSS'!$O$10:$O$12,MATCH($F68,'SaSS'!$B$10:$B$12,0))),"N/A")</f>
        <v/>
      </c>
      <c r="W68" s="52">
        <f>IFERROR(IF(INDEX('Indigenous'!$O$10:$O$11,MATCH($F68,'Indigenous'!$B$10:$B$11,0))="","Cell will autofill based on response",INDEX('Indigenous'!$O$10:$O$11,MATCH($F68,'Indigenous'!$B$10:$B$11,0))),"N/A")</f>
        <v/>
      </c>
      <c r="X68" s="52">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2">
        <f>IFERROR(IF(INDEX('Faculties'!$P$10:$P$19,MATCH($F69,'Faculties'!$B$10:$B$19,0))="","Cell will autofill based on response",INDEX('Faculties'!$P$10:$P$19,MATCH($F69,'Faculties'!$B$10:$B$19,0))),"N/A")</f>
        <v/>
      </c>
      <c r="I69" s="52">
        <f>IFERROR(IF(INDEX('Faculties'!$P$26:$P$35,MATCH($F69,'Faculties'!$B$26:$B$35,0))="","Cell will autofill based on response",INDEX('Faculties'!$P$26:$P$35,MATCH($F69,'Faculties'!$B$26:$B$35,0))),"N/A")</f>
        <v/>
      </c>
      <c r="J69" s="52">
        <f>IFERROR(IF(INDEX('Faculties'!$P$42:$P$51,MATCH($F69,'Faculties'!$B$42:$B$51,0))="","Cell will autofill based on response",INDEX('Faculties'!$P$42:$P$51,MATCH($F69,'Faculties'!$B$42:$B$51,0))),"N/A")</f>
        <v/>
      </c>
      <c r="K69" s="52">
        <f>IFERROR(IF(INDEX('Faculties'!$P$58:$P$67,MATCH($F69,'Faculties'!$B$58:$B$67,0))="","Cell will autofill based on response",INDEX('Faculties'!$P$58:$P$67,MATCH($F69,'Faculties'!$B$58:$B$67,0))),"N/A")</f>
        <v/>
      </c>
      <c r="L69" s="52">
        <f>IFERROR(IF(INDEX('CI&amp;S'!$P$10:$P$15,MATCH($F69,'CI&amp;S'!$B$10:$B$15,0))="","Cell will autofill based on response",INDEX('CI&amp;S'!$P$10:$P$15,MATCH($F69,'CI&amp;S'!$B$10:$B$15,0))),"N/A")</f>
        <v/>
      </c>
      <c r="M69" s="52">
        <f>IFERROR(IF(INDEX('CI&amp;S'!$P$22:$P$36,MATCH($F69,'CI&amp;S'!$B$22:$B$36,0))="","Cell will autofill based on response",INDEX('CI&amp;S'!$P$22:$P$36,MATCH($F69,'CI&amp;S'!$B$22:$B$36,0))),"N/A")</f>
        <v/>
      </c>
      <c r="N69" s="52">
        <f>IFERROR(IF(INDEX('CFOG'!$P$10:$P$16,MATCH($F69,'CFOG'!$B$10:$B$16,0))="","Cell will autofill based on response",INDEX('CFOG'!$P$10:$P$16,MATCH($F69,'CFOG'!$B$10:$B$16,0))),"N/A")</f>
        <v/>
      </c>
      <c r="O69" s="52">
        <f>IFERROR(IF(INDEX('CFOG'!$P$23:$P$24,MATCH($F69,'CFOG'!$B$23:$B$24,0))="","Cell will autofill based on response",INDEX('CFOG'!$P$23:$P$24,MATCH($F69,'CFOG'!$B$23:$B$24,0))),"N/A")</f>
        <v/>
      </c>
      <c r="P69" s="52">
        <f>IFERROR(IF(INDEX('ESG'!$P$10:$P$17,MATCH($F69,'ESG'!$B$10:$B$17,0))="","Cell will autofill based on response",INDEX('ESG'!$P$10:$P$17,MATCH($F69,'ESG'!$B$10:$B$17,0))),"N/A")</f>
        <v/>
      </c>
      <c r="Q69" s="52">
        <f>IFERROR(IF(INDEX('CIOG'!$P$10:$P$14,MATCH($F69,'CIOG'!$B$10:$B$14,0))="","Cell will autofill based on response",INDEX('CIOG'!$P$10:$P$14,MATCH($F69,'CIOG'!$B$10:$B$14,0))),"N/A")</f>
        <v/>
      </c>
      <c r="R69" s="52">
        <f>IFERROR(IF(INDEX('MRE'!$P$10:$P$18,MATCH($F69,'MRE'!$B$10:$B$18,0))="","Cell will autofill based on response",INDEX('MRE'!$P$10:$P$18,MATCH($F69,'MRE'!$B$10:$B$18,0))),"N/A")</f>
        <v/>
      </c>
      <c r="S69" s="52">
        <f>IFERROR(IF(INDEX('AC&amp;M'!$P$10:$P$14,MATCH($F69,'AC&amp;M'!$B$10:$B$14,0))="","Cell will autofill based on response",INDEX('AC&amp;M'!$P$10:$P$14,MATCH($F69,'AC&amp;M'!$B$10:$B$14,0))),"N/A")</f>
        <v/>
      </c>
      <c r="T69" s="52">
        <f>IFERROR(IF(INDEX('GCE'!$P$10:$P$12,MATCH($F69,'GCE'!$B$10:$B$12,0))="","Cell will autofill based on response",INDEX('GCE'!$P$10:$P$12,MATCH($F69,'GCE'!$B$10:$B$12,0))),"N/A")</f>
        <v/>
      </c>
      <c r="U69" s="52">
        <f>IFERROR(IF(INDEX('Education'!$P$10:$P$13,MATCH($F69,'Education'!$B$10:$B$13,0))="","Cell will autofill based on response",INDEX('Education'!$P$10:$P$13,MATCH($F69,'Education'!$B$10:$B$13,0))),"N/A")</f>
        <v/>
      </c>
      <c r="V69" s="52">
        <f>IFERROR(IF(INDEX('SaSS'!$P$10:$P$12,MATCH($F69,'SaSS'!$B$10:$B$12,0))="","Cell will autofill based on response",INDEX('SaSS'!$P$10:$P$12,MATCH($F69,'SaSS'!$B$10:$B$12,0))),"N/A")</f>
        <v/>
      </c>
      <c r="W69" s="52">
        <f>IFERROR(IF(INDEX('Indigenous'!$P$10:$P$11,MATCH($F69,'Indigenous'!$B$10:$B$11,0))="","Cell will autofill based on response",INDEX('Indigenous'!$P$10:$P$11,MATCH($F69,'Indigenous'!$B$10:$B$11,0))),"N/A")</f>
        <v/>
      </c>
      <c r="X69" s="52">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2">
        <f>IFERROR(IF(INDEX('Faculties'!$Q$10:$Q$19,MATCH($F70,'Faculties'!$B$10:$B$19,0))="","Cell will autofill based on response",INDEX('Faculties'!$Q$10:$Q$19,MATCH($F70,'Faculties'!$B$10:$B$19,0))),"N/A")</f>
        <v/>
      </c>
      <c r="I70" s="52">
        <f>IFERROR(IF(INDEX('Faculties'!$Q$26:$Q$35,MATCH($F70,'Faculties'!$B$26:$B$35,0))="","Cell will autofill based on response",INDEX('Faculties'!$Q$26:$Q$35,MATCH($F70,'Faculties'!$B$26:$B$35,0))),"N/A")</f>
        <v/>
      </c>
      <c r="J70" s="52">
        <f>IFERROR(IF(INDEX('Faculties'!$Q$42:$Q$51,MATCH($F70,'Faculties'!$B$42:$B$51,0))="","Cell will autofill based on response",INDEX('Faculties'!$Q$42:$Q$51,MATCH($F70,'Faculties'!$B$42:$B$51,0))),"N/A")</f>
        <v/>
      </c>
      <c r="K70" s="52">
        <f>IFERROR(IF(INDEX('Faculties'!$Q$58:$Q$67,MATCH($F70,'Faculties'!$B$58:$B$67,0))="","Cell will autofill based on response",INDEX('Faculties'!$Q$58:$Q$67,MATCH($F70,'Faculties'!$B$58:$B$67,0))),"N/A")</f>
        <v/>
      </c>
      <c r="L70" s="52">
        <f>IFERROR(IF(INDEX('CI&amp;S'!$Q$10:$Q$15,MATCH($F70,'CI&amp;S'!$B$10:$B$15,0))="","Cell will autofill based on response",INDEX('CI&amp;S'!$Q$10:$Q$15,MATCH($F70,'CI&amp;S'!$B$10:$B$15,0))),"N/A")</f>
        <v/>
      </c>
      <c r="M70" s="52">
        <f>IFERROR(IF(INDEX('CI&amp;S'!$Q$22:$Q$36,MATCH($F70,'CI&amp;S'!$B$22:$B$36,0))="","Cell will autofill based on response",INDEX('CI&amp;S'!$Q$22:$Q$36,MATCH($F70,'CI&amp;S'!$B$22:$B$36,0))),"N/A")</f>
        <v/>
      </c>
      <c r="N70" s="52">
        <f>IFERROR(IF(INDEX('CFOG'!$Q$10:$Q$16,MATCH($F70,'CFOG'!$B$10:$B$16,0))="","Cell will autofill based on response",INDEX('CFOG'!$Q$10:$Q$16,MATCH($F70,'CFOG'!$B$10:$B$16,0))),"N/A")</f>
        <v/>
      </c>
      <c r="O70" s="52">
        <f>IFERROR(IF(INDEX('CFOG'!$Q$23:$Q$24,MATCH($F70,'CFOG'!$B$23:$B$24,0))="","Cell will autofill based on response",INDEX('CFOG'!$Q$23:$Q$24,MATCH($F70,'CFOG'!$B$23:$B$24,0))),"N/A")</f>
        <v/>
      </c>
      <c r="P70" s="52">
        <f>IFERROR(IF(INDEX('ESG'!$Q$10:$Q$17,MATCH($F70,'ESG'!$B$10:$B$17,0))="","Cell will autofill based on response",INDEX('ESG'!$Q$10:$Q$17,MATCH($F70,'ESG'!$B$10:$B$17,0))),"N/A")</f>
        <v/>
      </c>
      <c r="Q70" s="52">
        <f>IFERROR(IF(INDEX('CIOG'!$Q$10:$Q$14,MATCH($F70,'CIOG'!$B$10:$B$14,0))="","Cell will autofill based on response",INDEX('CIOG'!$Q$10:$Q$14,MATCH($F70,'CIOG'!$B$10:$B$14,0))),"N/A")</f>
        <v/>
      </c>
      <c r="R70" s="52">
        <f>IFERROR(IF(INDEX('MRE'!$Q$10:$Q$18,MATCH($F70,'MRE'!$B$10:$B$18,0))="","Cell will autofill based on response",INDEX('MRE'!$Q$10:$Q$18,MATCH($F70,'MRE'!$B$10:$B$18,0))),"N/A")</f>
        <v/>
      </c>
      <c r="S70" s="52">
        <f>IFERROR(IF(INDEX('AC&amp;M'!$Q$10:$Q$14,MATCH($F70,'AC&amp;M'!$B$10:$B$14,0))="","Cell will autofill based on response",INDEX('AC&amp;M'!$Q$10:$Q$14,MATCH($F70,'AC&amp;M'!$B$10:$B$14,0))),"N/A")</f>
        <v/>
      </c>
      <c r="T70" s="52">
        <f>IFERROR(IF(INDEX('GCE'!$Q$10:$Q$12,MATCH($F70,'GCE'!$B$10:$B$12,0))="","Cell will autofill based on response",INDEX('GCE'!$Q$10:$Q$12,MATCH($F70,'GCE'!$B$10:$B$12,0))),"N/A")</f>
        <v/>
      </c>
      <c r="U70" s="52">
        <f>IFERROR(IF(INDEX('Education'!$Q$10:$Q$13,MATCH($F70,'Education'!$B$10:$B$13,0))="","Cell will autofill based on response",INDEX('Education'!$Q$10:$Q$13,MATCH($F70,'Education'!$B$10:$B$13,0))),"N/A")</f>
        <v/>
      </c>
      <c r="V70" s="52">
        <f>IFERROR(IF(INDEX('SaSS'!$Q$10:$Q$12,MATCH($F70,'SaSS'!$B$10:$B$12,0))="","Cell will autofill based on response",INDEX('SaSS'!$Q$10:$Q$12,MATCH($F70,'SaSS'!$B$10:$B$12,0))),"N/A")</f>
        <v/>
      </c>
      <c r="W70" s="52">
        <f>IFERROR(IF(INDEX('Indigenous'!$Q$10:$Q$11,MATCH($F70,'Indigenous'!$B$10:$B$11,0))="","Cell will autofill based on response",INDEX('Indigenous'!$Q$10:$Q$11,MATCH($F70,'Indigenous'!$B$10:$B$11,0))),"N/A")</f>
        <v/>
      </c>
      <c r="X70" s="52">
        <f>IFERROR(IF(INDEX('L&amp;R'!$Q$10:$Q$11,MATCH($F70,'L&amp;R'!$B$10:$B$11,0))="","Cell will autofill based on response",INDEX('L&amp;R'!$Q$10:$Q$11,MATCH($F70,'L&amp;R'!$B$10:$B$11,0))),"N/A")</f>
        <v/>
      </c>
    </row>
    <row r="71">
      <c r="A71">
        <f>F71&amp;"|"&amp;G71</f>
        <v/>
      </c>
      <c r="B71" s="7" t="inlineStr">
        <is>
          <t>TR2(d)</t>
        </is>
      </c>
      <c r="C71" s="50" t="inlineStr">
        <is>
          <t>Transformational research</t>
        </is>
      </c>
      <c r="D71" s="50" t="inlineStr">
        <is>
          <t>Case-based evidence demonstrating how research has contributed to meaningful sustainability outcomes.</t>
        </is>
      </c>
      <c r="E7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0" t="inlineStr">
        <is>
          <t>TR2(d)</t>
        </is>
      </c>
      <c r="G71" s="50" t="inlineStr">
        <is>
          <t>Confirm end-2026 target status</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3">
        <f>IF(AF71&gt;0,AE71/AF71,"No valid responses to date")</f>
        <v/>
      </c>
      <c r="AH71" s="10">
        <f>IF(ISNUMBER(AG71),INDEX(Lists!$G$2:$G$5,MATCH(ROUND(AG71,0),Lists!$H$2:$H$5,0)),"")</f>
        <v/>
      </c>
      <c r="AI71" s="54">
        <f>IF(AF71&gt;0,AD71/AF71,"")</f>
        <v/>
      </c>
      <c r="AJ71" s="54">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2">
        <f>IFERROR(IF(INDEX('Faculties'!$Q$10:$Q$19,MATCH($F76,'Faculties'!$B$10:$B$19,0))="","Cell will autofill based on response",INDEX('Faculties'!$Q$10:$Q$19,MATCH($F76,'Faculties'!$B$10:$B$19,0))),"N/A")</f>
        <v/>
      </c>
      <c r="I76" s="52">
        <f>IFERROR(IF(INDEX('Faculties'!$Q$26:$Q$35,MATCH($F76,'Faculties'!$B$26:$B$35,0))="","Cell will autofill based on response",INDEX('Faculties'!$Q$26:$Q$35,MATCH($F76,'Faculties'!$B$26:$B$35,0))),"N/A")</f>
        <v/>
      </c>
      <c r="J76" s="52">
        <f>IFERROR(IF(INDEX('Faculties'!$Q$42:$Q$51,MATCH($F76,'Faculties'!$B$42:$B$51,0))="","Cell will autofill based on response",INDEX('Faculties'!$Q$42:$Q$51,MATCH($F76,'Faculties'!$B$42:$B$51,0))),"N/A")</f>
        <v/>
      </c>
      <c r="K76" s="52">
        <f>IFERROR(IF(INDEX('Faculties'!$Q$58:$Q$67,MATCH($F76,'Faculties'!$B$58:$B$67,0))="","Cell will autofill based on response",INDEX('Faculties'!$Q$58:$Q$67,MATCH($F76,'Faculties'!$B$58:$B$67,0))),"N/A")</f>
        <v/>
      </c>
      <c r="L76" s="52">
        <f>IFERROR(IF(INDEX('CI&amp;S'!$Q$10:$Q$15,MATCH($F76,'CI&amp;S'!$B$10:$B$15,0))="","Cell will autofill based on response",INDEX('CI&amp;S'!$Q$10:$Q$15,MATCH($F76,'CI&amp;S'!$B$10:$B$15,0))),"N/A")</f>
        <v/>
      </c>
      <c r="M76" s="52">
        <f>IFERROR(IF(INDEX('CI&amp;S'!$Q$22:$Q$36,MATCH($F76,'CI&amp;S'!$B$22:$B$36,0))="","Cell will autofill based on response",INDEX('CI&amp;S'!$Q$22:$Q$36,MATCH($F76,'CI&amp;S'!$B$22:$B$36,0))),"N/A")</f>
        <v/>
      </c>
      <c r="N76" s="52">
        <f>IFERROR(IF(INDEX('CFOG'!$Q$10:$Q$16,MATCH($F76,'CFOG'!$B$10:$B$16,0))="","Cell will autofill based on response",INDEX('CFOG'!$Q$10:$Q$16,MATCH($F76,'CFOG'!$B$10:$B$16,0))),"N/A")</f>
        <v/>
      </c>
      <c r="O76" s="52">
        <f>IFERROR(IF(INDEX('CFOG'!$Q$23:$Q$24,MATCH($F76,'CFOG'!$B$23:$B$24,0))="","Cell will autofill based on response",INDEX('CFOG'!$Q$23:$Q$24,MATCH($F76,'CFOG'!$B$23:$B$24,0))),"N/A")</f>
        <v/>
      </c>
      <c r="P76" s="52">
        <f>IFERROR(IF(INDEX('ESG'!$Q$10:$Q$17,MATCH($F76,'ESG'!$B$10:$B$17,0))="","Cell will autofill based on response",INDEX('ESG'!$Q$10:$Q$17,MATCH($F76,'ESG'!$B$10:$B$17,0))),"N/A")</f>
        <v/>
      </c>
      <c r="Q76" s="52">
        <f>IFERROR(IF(INDEX('CIOG'!$Q$10:$Q$14,MATCH($F76,'CIOG'!$B$10:$B$14,0))="","Cell will autofill based on response",INDEX('CIOG'!$Q$10:$Q$14,MATCH($F76,'CIOG'!$B$10:$B$14,0))),"N/A")</f>
        <v/>
      </c>
      <c r="R76" s="52">
        <f>IFERROR(IF(INDEX('MRE'!$Q$10:$Q$18,MATCH($F76,'MRE'!$B$10:$B$18,0))="","Cell will autofill based on response",INDEX('MRE'!$Q$10:$Q$18,MATCH($F76,'MRE'!$B$10:$B$18,0))),"N/A")</f>
        <v/>
      </c>
      <c r="S76" s="52">
        <f>IFERROR(IF(INDEX('AC&amp;M'!$Q$10:$Q$14,MATCH($F76,'AC&amp;M'!$B$10:$B$14,0))="","Cell will autofill based on response",INDEX('AC&amp;M'!$Q$10:$Q$14,MATCH($F76,'AC&amp;M'!$B$10:$B$14,0))),"N/A")</f>
        <v/>
      </c>
      <c r="T76" s="52">
        <f>IFERROR(IF(INDEX('GCE'!$Q$10:$Q$12,MATCH($F76,'GCE'!$B$10:$B$12,0))="","Cell will autofill based on response",INDEX('GCE'!$Q$10:$Q$12,MATCH($F76,'GCE'!$B$10:$B$12,0))),"N/A")</f>
        <v/>
      </c>
      <c r="U76" s="52">
        <f>IFERROR(IF(INDEX('Education'!$Q$10:$Q$13,MATCH($F76,'Education'!$B$10:$B$13,0))="","Cell will autofill based on response",INDEX('Education'!$Q$10:$Q$13,MATCH($F76,'Education'!$B$10:$B$13,0))),"N/A")</f>
        <v/>
      </c>
      <c r="V76" s="52">
        <f>IFERROR(IF(INDEX('SaSS'!$Q$10:$Q$12,MATCH($F76,'SaSS'!$B$10:$B$12,0))="","Cell will autofill based on response",INDEX('SaSS'!$Q$10:$Q$12,MATCH($F76,'SaSS'!$B$10:$B$12,0))),"N/A")</f>
        <v/>
      </c>
      <c r="W76" s="52">
        <f>IFERROR(IF(INDEX('Indigenous'!$Q$10:$Q$11,MATCH($F76,'Indigenous'!$B$10:$B$11,0))="","Cell will autofill based on response",INDEX('Indigenous'!$Q$10:$Q$11,MATCH($F76,'Indigenous'!$B$10:$B$11,0))),"N/A")</f>
        <v/>
      </c>
      <c r="X76" s="52">
        <f>IFERROR(IF(INDEX('L&amp;R'!$Q$10:$Q$11,MATCH($F76,'L&amp;R'!$B$10:$B$11,0))="","Cell will autofill based on response",INDEX('L&amp;R'!$Q$10:$Q$11,MATCH($F76,'L&amp;R'!$B$10:$B$11,0))),"N/A")</f>
        <v/>
      </c>
    </row>
    <row r="77">
      <c r="A77">
        <f>F77&amp;"|"&amp;G77</f>
        <v/>
      </c>
      <c r="B77" s="7" t="inlineStr">
        <is>
          <t>TR3(a)</t>
        </is>
      </c>
      <c r="C77" s="50" t="inlineStr">
        <is>
          <t>Transformational research</t>
        </is>
      </c>
      <c r="D77" s="50" t="inlineStr">
        <is>
          <t>Evidence that sustainability considerations are integrated into relevant research systems, planning processes, guidance, training, induction or support services</t>
        </is>
      </c>
      <c r="E77" s="50" t="inlineStr">
        <is>
          <t>Please describe how sustainability considerations are integrated into research systems, planning processes, guidance, training, induction or support services within your Faculty/Portfolio, could include examples of any new or improved processes.</t>
        </is>
      </c>
      <c r="F77" s="50" t="inlineStr">
        <is>
          <t>TR3(a)</t>
        </is>
      </c>
      <c r="G77" s="50" t="inlineStr">
        <is>
          <t>Confirm end-2026 target status</t>
        </is>
      </c>
      <c r="H77" s="52">
        <f>IFERROR(IF(INDEX('Faculties'!$L$10:$L$19,MATCH($F77,'Faculties'!$B$10:$B$19,0))="","Cell will autofill based on response",INDEX('Faculties'!$L$10:$L$19,MATCH($F77,'Faculties'!$B$10:$B$19,0))),"N/A")</f>
        <v/>
      </c>
      <c r="I77" s="52">
        <f>IFERROR(IF(INDEX('Faculties'!$L$26:$L$35,MATCH($F77,'Faculties'!$B$26:$B$35,0))="","Cell will autofill based on response",INDEX('Faculties'!$L$26:$L$35,MATCH($F77,'Faculties'!$B$26:$B$35,0))),"N/A")</f>
        <v/>
      </c>
      <c r="J77" s="52">
        <f>IFERROR(IF(INDEX('Faculties'!$L$42:$L$51,MATCH($F77,'Faculties'!$B$42:$B$51,0))="","Cell will autofill based on response",INDEX('Faculties'!$L$42:$L$51,MATCH($F77,'Faculties'!$B$42:$B$51,0))),"N/A")</f>
        <v/>
      </c>
      <c r="K77" s="52">
        <f>IFERROR(IF(INDEX('Faculties'!$L$58:$L$67,MATCH($F77,'Faculties'!$B$58:$B$67,0))="","Cell will autofill based on response",INDEX('Faculties'!$L$58:$L$67,MATCH($F77,'Faculties'!$B$58:$B$67,0))),"N/A")</f>
        <v/>
      </c>
      <c r="L77" s="52">
        <f>IFERROR(IF(INDEX('CI&amp;S'!$L$10:$L$15,MATCH($F77,'CI&amp;S'!$B$10:$B$15,0))="","Cell will autofill based on response",INDEX('CI&amp;S'!$L$10:$L$15,MATCH($F77,'CI&amp;S'!$B$10:$B$15,0))),"N/A")</f>
        <v/>
      </c>
      <c r="M77" s="52">
        <f>IFERROR(IF(INDEX('CI&amp;S'!$L$22:$L$36,MATCH($F77,'CI&amp;S'!$B$22:$B$36,0))="","Cell will autofill based on response",INDEX('CI&amp;S'!$L$22:$L$36,MATCH($F77,'CI&amp;S'!$B$22:$B$36,0))),"N/A")</f>
        <v/>
      </c>
      <c r="N77" s="52">
        <f>IFERROR(IF(INDEX('CFOG'!$L$10:$L$16,MATCH($F77,'CFOG'!$B$10:$B$16,0))="","Cell will autofill based on response",INDEX('CFOG'!$L$10:$L$16,MATCH($F77,'CFOG'!$B$10:$B$16,0))),"N/A")</f>
        <v/>
      </c>
      <c r="O77" s="52">
        <f>IFERROR(IF(INDEX('CFOG'!$L$23:$L$24,MATCH($F77,'CFOG'!$B$23:$B$24,0))="","Cell will autofill based on response",INDEX('CFOG'!$L$23:$L$24,MATCH($F77,'CFOG'!$B$23:$B$24,0))),"N/A")</f>
        <v/>
      </c>
      <c r="P77" s="52">
        <f>IFERROR(IF(INDEX('ESG'!$L$10:$L$17,MATCH($F77,'ESG'!$B$10:$B$17,0))="","Cell will autofill based on response",INDEX('ESG'!$L$10:$L$17,MATCH($F77,'ESG'!$B$10:$B$17,0))),"N/A")</f>
        <v/>
      </c>
      <c r="Q77" s="52">
        <f>IFERROR(IF(INDEX('CIOG'!$L$10:$L$14,MATCH($F77,'CIOG'!$B$10:$B$14,0))="","Cell will autofill based on response",INDEX('CIOG'!$L$10:$L$14,MATCH($F77,'CIOG'!$B$10:$B$14,0))),"N/A")</f>
        <v/>
      </c>
      <c r="R77" s="52">
        <f>IFERROR(IF(INDEX('MRE'!$L$10:$L$18,MATCH($F77,'MRE'!$B$10:$B$18,0))="","Cell will autofill based on response",INDEX('MRE'!$L$10:$L$18,MATCH($F77,'MRE'!$B$10:$B$18,0))),"N/A")</f>
        <v/>
      </c>
      <c r="S77" s="52">
        <f>IFERROR(IF(INDEX('AC&amp;M'!$L$10:$L$14,MATCH($F77,'AC&amp;M'!$B$10:$B$14,0))="","Cell will autofill based on response",INDEX('AC&amp;M'!$L$10:$L$14,MATCH($F77,'AC&amp;M'!$B$10:$B$14,0))),"N/A")</f>
        <v/>
      </c>
      <c r="T77" s="52">
        <f>IFERROR(IF(INDEX('GCE'!$L$10:$L$12,MATCH($F77,'GCE'!$B$10:$B$12,0))="","Cell will autofill based on response",INDEX('GCE'!$L$10:$L$12,MATCH($F77,'GCE'!$B$10:$B$12,0))),"N/A")</f>
        <v/>
      </c>
      <c r="U77" s="52">
        <f>IFERROR(IF(INDEX('Education'!$L$10:$L$13,MATCH($F77,'Education'!$B$10:$B$13,0))="","Cell will autofill based on response",INDEX('Education'!$L$10:$L$13,MATCH($F77,'Education'!$B$10:$B$13,0))),"N/A")</f>
        <v/>
      </c>
      <c r="V77" s="52">
        <f>IFERROR(IF(INDEX('SaSS'!$L$10:$L$12,MATCH($F77,'SaSS'!$B$10:$B$12,0))="","Cell will autofill based on response",INDEX('SaSS'!$L$10:$L$12,MATCH($F77,'SaSS'!$B$10:$B$12,0))),"N/A")</f>
        <v/>
      </c>
      <c r="W77" s="52">
        <f>IFERROR(IF(INDEX('Indigenous'!$L$10:$L$11,MATCH($F77,'Indigenous'!$B$10:$B$11,0))="","Cell will autofill based on response",INDEX('Indigenous'!$L$10:$L$11,MATCH($F77,'Indigenous'!$B$10:$B$11,0))),"N/A")</f>
        <v/>
      </c>
      <c r="X77" s="52">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3">
        <f>IF(AF77&gt;0,AE77/AF77,"No valid responses to date")</f>
        <v/>
      </c>
      <c r="AH77" s="10">
        <f>IF(ISNUMBER(AG77),INDEX(Lists!$G$2:$G$5,MATCH(ROUND(AG77,0),Lists!$H$2:$H$5,0)),"")</f>
        <v/>
      </c>
      <c r="AI77" s="54">
        <f>IF(AF77&gt;0,AD77/AF77,"")</f>
        <v/>
      </c>
      <c r="AJ77" s="54">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2">
        <f>IFERROR(IF(INDEX('Faculties'!$M$10:$M$19,MATCH($F78,'Faculties'!$B$10:$B$19,0))="","Cell will autofill based on response",INDEX('Faculties'!$M$10:$M$19,MATCH($F78,'Faculties'!$B$10:$B$19,0))),"N/A")</f>
        <v/>
      </c>
      <c r="I78" s="52">
        <f>IFERROR(IF(INDEX('Faculties'!$M$26:$M$35,MATCH($F78,'Faculties'!$B$26:$B$35,0))="","Cell will autofill based on response",INDEX('Faculties'!$M$26:$M$35,MATCH($F78,'Faculties'!$B$26:$B$35,0))),"N/A")</f>
        <v/>
      </c>
      <c r="J78" s="52">
        <f>IFERROR(IF(INDEX('Faculties'!$M$42:$M$51,MATCH($F78,'Faculties'!$B$42:$B$51,0))="","Cell will autofill based on response",INDEX('Faculties'!$M$42:$M$51,MATCH($F78,'Faculties'!$B$42:$B$51,0))),"N/A")</f>
        <v/>
      </c>
      <c r="K78" s="52">
        <f>IFERROR(IF(INDEX('Faculties'!$M$58:$M$67,MATCH($F78,'Faculties'!$B$58:$B$67,0))="","Cell will autofill based on response",INDEX('Faculties'!$M$58:$M$67,MATCH($F78,'Faculties'!$B$58:$B$67,0))),"N/A")</f>
        <v/>
      </c>
      <c r="L78" s="52">
        <f>IFERROR(IF(INDEX('CI&amp;S'!$M$10:$M$15,MATCH($F78,'CI&amp;S'!$B$10:$B$15,0))="","Cell will autofill based on response",INDEX('CI&amp;S'!$M$10:$M$15,MATCH($F78,'CI&amp;S'!$B$10:$B$15,0))),"N/A")</f>
        <v/>
      </c>
      <c r="M78" s="52">
        <f>IFERROR(IF(INDEX('CI&amp;S'!$M$22:$M$36,MATCH($F78,'CI&amp;S'!$B$22:$B$36,0))="","Cell will autofill based on response",INDEX('CI&amp;S'!$M$22:$M$36,MATCH($F78,'CI&amp;S'!$B$22:$B$36,0))),"N/A")</f>
        <v/>
      </c>
      <c r="N78" s="52">
        <f>IFERROR(IF(INDEX('CFOG'!$M$10:$M$16,MATCH($F78,'CFOG'!$B$10:$B$16,0))="","Cell will autofill based on response",INDEX('CFOG'!$M$10:$M$16,MATCH($F78,'CFOG'!$B$10:$B$16,0))),"N/A")</f>
        <v/>
      </c>
      <c r="O78" s="52">
        <f>IFERROR(IF(INDEX('CFOG'!$M$23:$M$24,MATCH($F78,'CFOG'!$B$23:$B$24,0))="","Cell will autofill based on response",INDEX('CFOG'!$M$23:$M$24,MATCH($F78,'CFOG'!$B$23:$B$24,0))),"N/A")</f>
        <v/>
      </c>
      <c r="P78" s="52">
        <f>IFERROR(IF(INDEX('ESG'!$M$10:$M$17,MATCH($F78,'ESG'!$B$10:$B$17,0))="","Cell will autofill based on response",INDEX('ESG'!$M$10:$M$17,MATCH($F78,'ESG'!$B$10:$B$17,0))),"N/A")</f>
        <v/>
      </c>
      <c r="Q78" s="52">
        <f>IFERROR(IF(INDEX('CIOG'!$M$10:$M$14,MATCH($F78,'CIOG'!$B$10:$B$14,0))="","Cell will autofill based on response",INDEX('CIOG'!$M$10:$M$14,MATCH($F78,'CIOG'!$B$10:$B$14,0))),"N/A")</f>
        <v/>
      </c>
      <c r="R78" s="52">
        <f>IFERROR(IF(INDEX('MRE'!$M$10:$M$18,MATCH($F78,'MRE'!$B$10:$B$18,0))="","Cell will autofill based on response",INDEX('MRE'!$M$10:$M$18,MATCH($F78,'MRE'!$B$10:$B$18,0))),"N/A")</f>
        <v/>
      </c>
      <c r="S78" s="52">
        <f>IFERROR(IF(INDEX('AC&amp;M'!$M$10:$M$14,MATCH($F78,'AC&amp;M'!$B$10:$B$14,0))="","Cell will autofill based on response",INDEX('AC&amp;M'!$M$10:$M$14,MATCH($F78,'AC&amp;M'!$B$10:$B$14,0))),"N/A")</f>
        <v/>
      </c>
      <c r="T78" s="52">
        <f>IFERROR(IF(INDEX('GCE'!$M$10:$M$12,MATCH($F78,'GCE'!$B$10:$B$12,0))="","Cell will autofill based on response",INDEX('GCE'!$M$10:$M$12,MATCH($F78,'GCE'!$B$10:$B$12,0))),"N/A")</f>
        <v/>
      </c>
      <c r="U78" s="52">
        <f>IFERROR(IF(INDEX('Education'!$M$10:$M$13,MATCH($F78,'Education'!$B$10:$B$13,0))="","Cell will autofill based on response",INDEX('Education'!$M$10:$M$13,MATCH($F78,'Education'!$B$10:$B$13,0))),"N/A")</f>
        <v/>
      </c>
      <c r="V78" s="52">
        <f>IFERROR(IF(INDEX('SaSS'!$M$10:$M$12,MATCH($F78,'SaSS'!$B$10:$B$12,0))="","Cell will autofill based on response",INDEX('SaSS'!$M$10:$M$12,MATCH($F78,'SaSS'!$B$10:$B$12,0))),"N/A")</f>
        <v/>
      </c>
      <c r="W78" s="52">
        <f>IFERROR(IF(INDEX('Indigenous'!$M$10:$M$11,MATCH($F78,'Indigenous'!$B$10:$B$11,0))="","Cell will autofill based on response",INDEX('Indigenous'!$M$10:$M$11,MATCH($F78,'Indigenous'!$B$10:$B$11,0))),"N/A")</f>
        <v/>
      </c>
      <c r="X78" s="52">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2">
        <f>IFERROR(IF(INDEX('Faculties'!$N$10:$N$19,MATCH($F79,'Faculties'!$B$10:$B$19,0))="","Cell will autofill based on response",INDEX('Faculties'!$N$10:$N$19,MATCH($F79,'Faculties'!$B$10:$B$19,0))),"N/A")</f>
        <v/>
      </c>
      <c r="I79" s="52">
        <f>IFERROR(IF(INDEX('Faculties'!$N$26:$N$35,MATCH($F79,'Faculties'!$B$26:$B$35,0))="","Cell will autofill based on response",INDEX('Faculties'!$N$26:$N$35,MATCH($F79,'Faculties'!$B$26:$B$35,0))),"N/A")</f>
        <v/>
      </c>
      <c r="J79" s="52">
        <f>IFERROR(IF(INDEX('Faculties'!$N$42:$N$51,MATCH($F79,'Faculties'!$B$42:$B$51,0))="","Cell will autofill based on response",INDEX('Faculties'!$N$42:$N$51,MATCH($F79,'Faculties'!$B$42:$B$51,0))),"N/A")</f>
        <v/>
      </c>
      <c r="K79" s="52">
        <f>IFERROR(IF(INDEX('Faculties'!$N$58:$N$67,MATCH($F79,'Faculties'!$B$58:$B$67,0))="","Cell will autofill based on response",INDEX('Faculties'!$N$58:$N$67,MATCH($F79,'Faculties'!$B$58:$B$67,0))),"N/A")</f>
        <v/>
      </c>
      <c r="L79" s="52">
        <f>IFERROR(IF(INDEX('CI&amp;S'!$N$10:$N$15,MATCH($F79,'CI&amp;S'!$B$10:$B$15,0))="","Cell will autofill based on response",INDEX('CI&amp;S'!$N$10:$N$15,MATCH($F79,'CI&amp;S'!$B$10:$B$15,0))),"N/A")</f>
        <v/>
      </c>
      <c r="M79" s="52">
        <f>IFERROR(IF(INDEX('CI&amp;S'!$N$22:$N$36,MATCH($F79,'CI&amp;S'!$B$22:$B$36,0))="","Cell will autofill based on response",INDEX('CI&amp;S'!$N$22:$N$36,MATCH($F79,'CI&amp;S'!$B$22:$B$36,0))),"N/A")</f>
        <v/>
      </c>
      <c r="N79" s="52">
        <f>IFERROR(IF(INDEX('CFOG'!$N$10:$N$16,MATCH($F79,'CFOG'!$B$10:$B$16,0))="","Cell will autofill based on response",INDEX('CFOG'!$N$10:$N$16,MATCH($F79,'CFOG'!$B$10:$B$16,0))),"N/A")</f>
        <v/>
      </c>
      <c r="O79" s="52">
        <f>IFERROR(IF(INDEX('CFOG'!$N$23:$N$24,MATCH($F79,'CFOG'!$B$23:$B$24,0))="","Cell will autofill based on response",INDEX('CFOG'!$N$23:$N$24,MATCH($F79,'CFOG'!$B$23:$B$24,0))),"N/A")</f>
        <v/>
      </c>
      <c r="P79" s="52">
        <f>IFERROR(IF(INDEX('ESG'!$N$10:$N$17,MATCH($F79,'ESG'!$B$10:$B$17,0))="","Cell will autofill based on response",INDEX('ESG'!$N$10:$N$17,MATCH($F79,'ESG'!$B$10:$B$17,0))),"N/A")</f>
        <v/>
      </c>
      <c r="Q79" s="52">
        <f>IFERROR(IF(INDEX('CIOG'!$N$10:$N$14,MATCH($F79,'CIOG'!$B$10:$B$14,0))="","Cell will autofill based on response",INDEX('CIOG'!$N$10:$N$14,MATCH($F79,'CIOG'!$B$10:$B$14,0))),"N/A")</f>
        <v/>
      </c>
      <c r="R79" s="52">
        <f>IFERROR(IF(INDEX('MRE'!$N$10:$N$18,MATCH($F79,'MRE'!$B$10:$B$18,0))="","Cell will autofill based on response",INDEX('MRE'!$N$10:$N$18,MATCH($F79,'MRE'!$B$10:$B$18,0))),"N/A")</f>
        <v/>
      </c>
      <c r="S79" s="52">
        <f>IFERROR(IF(INDEX('AC&amp;M'!$N$10:$N$14,MATCH($F79,'AC&amp;M'!$B$10:$B$14,0))="","Cell will autofill based on response",INDEX('AC&amp;M'!$N$10:$N$14,MATCH($F79,'AC&amp;M'!$B$10:$B$14,0))),"N/A")</f>
        <v/>
      </c>
      <c r="T79" s="52">
        <f>IFERROR(IF(INDEX('GCE'!$N$10:$N$12,MATCH($F79,'GCE'!$B$10:$B$12,0))="","Cell will autofill based on response",INDEX('GCE'!$N$10:$N$12,MATCH($F79,'GCE'!$B$10:$B$12,0))),"N/A")</f>
        <v/>
      </c>
      <c r="U79" s="52">
        <f>IFERROR(IF(INDEX('Education'!$N$10:$N$13,MATCH($F79,'Education'!$B$10:$B$13,0))="","Cell will autofill based on response",INDEX('Education'!$N$10:$N$13,MATCH($F79,'Education'!$B$10:$B$13,0))),"N/A")</f>
        <v/>
      </c>
      <c r="V79" s="52">
        <f>IFERROR(IF(INDEX('SaSS'!$N$10:$N$12,MATCH($F79,'SaSS'!$B$10:$B$12,0))="","Cell will autofill based on response",INDEX('SaSS'!$N$10:$N$12,MATCH($F79,'SaSS'!$B$10:$B$12,0))),"N/A")</f>
        <v/>
      </c>
      <c r="W79" s="52">
        <f>IFERROR(IF(INDEX('Indigenous'!$N$10:$N$11,MATCH($F79,'Indigenous'!$B$10:$B$11,0))="","Cell will autofill based on response",INDEX('Indigenous'!$N$10:$N$11,MATCH($F79,'Indigenous'!$B$10:$B$11,0))),"N/A")</f>
        <v/>
      </c>
      <c r="X79" s="52">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2">
        <f>IFERROR(IF(INDEX('Faculties'!$O$10:$O$19,MATCH($F80,'Faculties'!$B$10:$B$19,0))="","Cell will autofill based on response",INDEX('Faculties'!$O$10:$O$19,MATCH($F80,'Faculties'!$B$10:$B$19,0))),"N/A")</f>
        <v/>
      </c>
      <c r="I80" s="52">
        <f>IFERROR(IF(INDEX('Faculties'!$O$26:$O$35,MATCH($F80,'Faculties'!$B$26:$B$35,0))="","Cell will autofill based on response",INDEX('Faculties'!$O$26:$O$35,MATCH($F80,'Faculties'!$B$26:$B$35,0))),"N/A")</f>
        <v/>
      </c>
      <c r="J80" s="52">
        <f>IFERROR(IF(INDEX('Faculties'!$O$42:$O$51,MATCH($F80,'Faculties'!$B$42:$B$51,0))="","Cell will autofill based on response",INDEX('Faculties'!$O$42:$O$51,MATCH($F80,'Faculties'!$B$42:$B$51,0))),"N/A")</f>
        <v/>
      </c>
      <c r="K80" s="52">
        <f>IFERROR(IF(INDEX('Faculties'!$O$58:$O$67,MATCH($F80,'Faculties'!$B$58:$B$67,0))="","Cell will autofill based on response",INDEX('Faculties'!$O$58:$O$67,MATCH($F80,'Faculties'!$B$58:$B$67,0))),"N/A")</f>
        <v/>
      </c>
      <c r="L80" s="52">
        <f>IFERROR(IF(INDEX('CI&amp;S'!$O$10:$O$15,MATCH($F80,'CI&amp;S'!$B$10:$B$15,0))="","Cell will autofill based on response",INDEX('CI&amp;S'!$O$10:$O$15,MATCH($F80,'CI&amp;S'!$B$10:$B$15,0))),"N/A")</f>
        <v/>
      </c>
      <c r="M80" s="52">
        <f>IFERROR(IF(INDEX('CI&amp;S'!$O$22:$O$36,MATCH($F80,'CI&amp;S'!$B$22:$B$36,0))="","Cell will autofill based on response",INDEX('CI&amp;S'!$O$22:$O$36,MATCH($F80,'CI&amp;S'!$B$22:$B$36,0))),"N/A")</f>
        <v/>
      </c>
      <c r="N80" s="52">
        <f>IFERROR(IF(INDEX('CFOG'!$O$10:$O$16,MATCH($F80,'CFOG'!$B$10:$B$16,0))="","Cell will autofill based on response",INDEX('CFOG'!$O$10:$O$16,MATCH($F80,'CFOG'!$B$10:$B$16,0))),"N/A")</f>
        <v/>
      </c>
      <c r="O80" s="52">
        <f>IFERROR(IF(INDEX('CFOG'!$O$23:$O$24,MATCH($F80,'CFOG'!$B$23:$B$24,0))="","Cell will autofill based on response",INDEX('CFOG'!$O$23:$O$24,MATCH($F80,'CFOG'!$B$23:$B$24,0))),"N/A")</f>
        <v/>
      </c>
      <c r="P80" s="52">
        <f>IFERROR(IF(INDEX('ESG'!$O$10:$O$17,MATCH($F80,'ESG'!$B$10:$B$17,0))="","Cell will autofill based on response",INDEX('ESG'!$O$10:$O$17,MATCH($F80,'ESG'!$B$10:$B$17,0))),"N/A")</f>
        <v/>
      </c>
      <c r="Q80" s="52">
        <f>IFERROR(IF(INDEX('CIOG'!$O$10:$O$14,MATCH($F80,'CIOG'!$B$10:$B$14,0))="","Cell will autofill based on response",INDEX('CIOG'!$O$10:$O$14,MATCH($F80,'CIOG'!$B$10:$B$14,0))),"N/A")</f>
        <v/>
      </c>
      <c r="R80" s="52">
        <f>IFERROR(IF(INDEX('MRE'!$O$10:$O$18,MATCH($F80,'MRE'!$B$10:$B$18,0))="","Cell will autofill based on response",INDEX('MRE'!$O$10:$O$18,MATCH($F80,'MRE'!$B$10:$B$18,0))),"N/A")</f>
        <v/>
      </c>
      <c r="S80" s="52">
        <f>IFERROR(IF(INDEX('AC&amp;M'!$O$10:$O$14,MATCH($F80,'AC&amp;M'!$B$10:$B$14,0))="","Cell will autofill based on response",INDEX('AC&amp;M'!$O$10:$O$14,MATCH($F80,'AC&amp;M'!$B$10:$B$14,0))),"N/A")</f>
        <v/>
      </c>
      <c r="T80" s="52">
        <f>IFERROR(IF(INDEX('GCE'!$O$10:$O$12,MATCH($F80,'GCE'!$B$10:$B$12,0))="","Cell will autofill based on response",INDEX('GCE'!$O$10:$O$12,MATCH($F80,'GCE'!$B$10:$B$12,0))),"N/A")</f>
        <v/>
      </c>
      <c r="U80" s="52">
        <f>IFERROR(IF(INDEX('Education'!$O$10:$O$13,MATCH($F80,'Education'!$B$10:$B$13,0))="","Cell will autofill based on response",INDEX('Education'!$O$10:$O$13,MATCH($F80,'Education'!$B$10:$B$13,0))),"N/A")</f>
        <v/>
      </c>
      <c r="V80" s="52">
        <f>IFERROR(IF(INDEX('SaSS'!$O$10:$O$12,MATCH($F80,'SaSS'!$B$10:$B$12,0))="","Cell will autofill based on response",INDEX('SaSS'!$O$10:$O$12,MATCH($F80,'SaSS'!$B$10:$B$12,0))),"N/A")</f>
        <v/>
      </c>
      <c r="W80" s="52">
        <f>IFERROR(IF(INDEX('Indigenous'!$O$10:$O$11,MATCH($F80,'Indigenous'!$B$10:$B$11,0))="","Cell will autofill based on response",INDEX('Indigenous'!$O$10:$O$11,MATCH($F80,'Indigenous'!$B$10:$B$11,0))),"N/A")</f>
        <v/>
      </c>
      <c r="X80" s="52">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2">
        <f>IFERROR(IF(INDEX('Faculties'!$P$10:$P$19,MATCH($F81,'Faculties'!$B$10:$B$19,0))="","Cell will autofill based on response",INDEX('Faculties'!$P$10:$P$19,MATCH($F81,'Faculties'!$B$10:$B$19,0))),"N/A")</f>
        <v/>
      </c>
      <c r="I81" s="52">
        <f>IFERROR(IF(INDEX('Faculties'!$P$26:$P$35,MATCH($F81,'Faculties'!$B$26:$B$35,0))="","Cell will autofill based on response",INDEX('Faculties'!$P$26:$P$35,MATCH($F81,'Faculties'!$B$26:$B$35,0))),"N/A")</f>
        <v/>
      </c>
      <c r="J81" s="52">
        <f>IFERROR(IF(INDEX('Faculties'!$P$42:$P$51,MATCH($F81,'Faculties'!$B$42:$B$51,0))="","Cell will autofill based on response",INDEX('Faculties'!$P$42:$P$51,MATCH($F81,'Faculties'!$B$42:$B$51,0))),"N/A")</f>
        <v/>
      </c>
      <c r="K81" s="52">
        <f>IFERROR(IF(INDEX('Faculties'!$P$58:$P$67,MATCH($F81,'Faculties'!$B$58:$B$67,0))="","Cell will autofill based on response",INDEX('Faculties'!$P$58:$P$67,MATCH($F81,'Faculties'!$B$58:$B$67,0))),"N/A")</f>
        <v/>
      </c>
      <c r="L81" s="52">
        <f>IFERROR(IF(INDEX('CI&amp;S'!$P$10:$P$15,MATCH($F81,'CI&amp;S'!$B$10:$B$15,0))="","Cell will autofill based on response",INDEX('CI&amp;S'!$P$10:$P$15,MATCH($F81,'CI&amp;S'!$B$10:$B$15,0))),"N/A")</f>
        <v/>
      </c>
      <c r="M81" s="52">
        <f>IFERROR(IF(INDEX('CI&amp;S'!$P$22:$P$36,MATCH($F81,'CI&amp;S'!$B$22:$B$36,0))="","Cell will autofill based on response",INDEX('CI&amp;S'!$P$22:$P$36,MATCH($F81,'CI&amp;S'!$B$22:$B$36,0))),"N/A")</f>
        <v/>
      </c>
      <c r="N81" s="52">
        <f>IFERROR(IF(INDEX('CFOG'!$P$10:$P$16,MATCH($F81,'CFOG'!$B$10:$B$16,0))="","Cell will autofill based on response",INDEX('CFOG'!$P$10:$P$16,MATCH($F81,'CFOG'!$B$10:$B$16,0))),"N/A")</f>
        <v/>
      </c>
      <c r="O81" s="52">
        <f>IFERROR(IF(INDEX('CFOG'!$P$23:$P$24,MATCH($F81,'CFOG'!$B$23:$B$24,0))="","Cell will autofill based on response",INDEX('CFOG'!$P$23:$P$24,MATCH($F81,'CFOG'!$B$23:$B$24,0))),"N/A")</f>
        <v/>
      </c>
      <c r="P81" s="52">
        <f>IFERROR(IF(INDEX('ESG'!$P$10:$P$17,MATCH($F81,'ESG'!$B$10:$B$17,0))="","Cell will autofill based on response",INDEX('ESG'!$P$10:$P$17,MATCH($F81,'ESG'!$B$10:$B$17,0))),"N/A")</f>
        <v/>
      </c>
      <c r="Q81" s="52">
        <f>IFERROR(IF(INDEX('CIOG'!$P$10:$P$14,MATCH($F81,'CIOG'!$B$10:$B$14,0))="","Cell will autofill based on response",INDEX('CIOG'!$P$10:$P$14,MATCH($F81,'CIOG'!$B$10:$B$14,0))),"N/A")</f>
        <v/>
      </c>
      <c r="R81" s="52">
        <f>IFERROR(IF(INDEX('MRE'!$P$10:$P$18,MATCH($F81,'MRE'!$B$10:$B$18,0))="","Cell will autofill based on response",INDEX('MRE'!$P$10:$P$18,MATCH($F81,'MRE'!$B$10:$B$18,0))),"N/A")</f>
        <v/>
      </c>
      <c r="S81" s="52">
        <f>IFERROR(IF(INDEX('AC&amp;M'!$P$10:$P$14,MATCH($F81,'AC&amp;M'!$B$10:$B$14,0))="","Cell will autofill based on response",INDEX('AC&amp;M'!$P$10:$P$14,MATCH($F81,'AC&amp;M'!$B$10:$B$14,0))),"N/A")</f>
        <v/>
      </c>
      <c r="T81" s="52">
        <f>IFERROR(IF(INDEX('GCE'!$P$10:$P$12,MATCH($F81,'GCE'!$B$10:$B$12,0))="","Cell will autofill based on response",INDEX('GCE'!$P$10:$P$12,MATCH($F81,'GCE'!$B$10:$B$12,0))),"N/A")</f>
        <v/>
      </c>
      <c r="U81" s="52">
        <f>IFERROR(IF(INDEX('Education'!$P$10:$P$13,MATCH($F81,'Education'!$B$10:$B$13,0))="","Cell will autofill based on response",INDEX('Education'!$P$10:$P$13,MATCH($F81,'Education'!$B$10:$B$13,0))),"N/A")</f>
        <v/>
      </c>
      <c r="V81" s="52">
        <f>IFERROR(IF(INDEX('SaSS'!$P$10:$P$12,MATCH($F81,'SaSS'!$B$10:$B$12,0))="","Cell will autofill based on response",INDEX('SaSS'!$P$10:$P$12,MATCH($F81,'SaSS'!$B$10:$B$12,0))),"N/A")</f>
        <v/>
      </c>
      <c r="W81" s="52">
        <f>IFERROR(IF(INDEX('Indigenous'!$P$10:$P$11,MATCH($F81,'Indigenous'!$B$10:$B$11,0))="","Cell will autofill based on response",INDEX('Indigenous'!$P$10:$P$11,MATCH($F81,'Indigenous'!$B$10:$B$11,0))),"N/A")</f>
        <v/>
      </c>
      <c r="X81" s="52">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2">
        <f>IFERROR(IF(INDEX('Faculties'!$Q$10:$Q$19,MATCH($F82,'Faculties'!$B$10:$B$19,0))="","Cell will autofill based on response",INDEX('Faculties'!$Q$10:$Q$19,MATCH($F82,'Faculties'!$B$10:$B$19,0))),"N/A")</f>
        <v/>
      </c>
      <c r="I82" s="52">
        <f>IFERROR(IF(INDEX('Faculties'!$Q$26:$Q$35,MATCH($F82,'Faculties'!$B$26:$B$35,0))="","Cell will autofill based on response",INDEX('Faculties'!$Q$26:$Q$35,MATCH($F82,'Faculties'!$B$26:$B$35,0))),"N/A")</f>
        <v/>
      </c>
      <c r="J82" s="52">
        <f>IFERROR(IF(INDEX('Faculties'!$Q$42:$Q$51,MATCH($F82,'Faculties'!$B$42:$B$51,0))="","Cell will autofill based on response",INDEX('Faculties'!$Q$42:$Q$51,MATCH($F82,'Faculties'!$B$42:$B$51,0))),"N/A")</f>
        <v/>
      </c>
      <c r="K82" s="52">
        <f>IFERROR(IF(INDEX('Faculties'!$Q$58:$Q$67,MATCH($F82,'Faculties'!$B$58:$B$67,0))="","Cell will autofill based on response",INDEX('Faculties'!$Q$58:$Q$67,MATCH($F82,'Faculties'!$B$58:$B$67,0))),"N/A")</f>
        <v/>
      </c>
      <c r="L82" s="52">
        <f>IFERROR(IF(INDEX('CI&amp;S'!$Q$10:$Q$15,MATCH($F82,'CI&amp;S'!$B$10:$B$15,0))="","Cell will autofill based on response",INDEX('CI&amp;S'!$Q$10:$Q$15,MATCH($F82,'CI&amp;S'!$B$10:$B$15,0))),"N/A")</f>
        <v/>
      </c>
      <c r="M82" s="52">
        <f>IFERROR(IF(INDEX('CI&amp;S'!$Q$22:$Q$36,MATCH($F82,'CI&amp;S'!$B$22:$B$36,0))="","Cell will autofill based on response",INDEX('CI&amp;S'!$Q$22:$Q$36,MATCH($F82,'CI&amp;S'!$B$22:$B$36,0))),"N/A")</f>
        <v/>
      </c>
      <c r="N82" s="52">
        <f>IFERROR(IF(INDEX('CFOG'!$Q$10:$Q$16,MATCH($F82,'CFOG'!$B$10:$B$16,0))="","Cell will autofill based on response",INDEX('CFOG'!$Q$10:$Q$16,MATCH($F82,'CFOG'!$B$10:$B$16,0))),"N/A")</f>
        <v/>
      </c>
      <c r="O82" s="52">
        <f>IFERROR(IF(INDEX('CFOG'!$Q$23:$Q$24,MATCH($F82,'CFOG'!$B$23:$B$24,0))="","Cell will autofill based on response",INDEX('CFOG'!$Q$23:$Q$24,MATCH($F82,'CFOG'!$B$23:$B$24,0))),"N/A")</f>
        <v/>
      </c>
      <c r="P82" s="52">
        <f>IFERROR(IF(INDEX('ESG'!$Q$10:$Q$17,MATCH($F82,'ESG'!$B$10:$B$17,0))="","Cell will autofill based on response",INDEX('ESG'!$Q$10:$Q$17,MATCH($F82,'ESG'!$B$10:$B$17,0))),"N/A")</f>
        <v/>
      </c>
      <c r="Q82" s="52">
        <f>IFERROR(IF(INDEX('CIOG'!$Q$10:$Q$14,MATCH($F82,'CIOG'!$B$10:$B$14,0))="","Cell will autofill based on response",INDEX('CIOG'!$Q$10:$Q$14,MATCH($F82,'CIOG'!$B$10:$B$14,0))),"N/A")</f>
        <v/>
      </c>
      <c r="R82" s="52">
        <f>IFERROR(IF(INDEX('MRE'!$Q$10:$Q$18,MATCH($F82,'MRE'!$B$10:$B$18,0))="","Cell will autofill based on response",INDEX('MRE'!$Q$10:$Q$18,MATCH($F82,'MRE'!$B$10:$B$18,0))),"N/A")</f>
        <v/>
      </c>
      <c r="S82" s="52">
        <f>IFERROR(IF(INDEX('AC&amp;M'!$Q$10:$Q$14,MATCH($F82,'AC&amp;M'!$B$10:$B$14,0))="","Cell will autofill based on response",INDEX('AC&amp;M'!$Q$10:$Q$14,MATCH($F82,'AC&amp;M'!$B$10:$B$14,0))),"N/A")</f>
        <v/>
      </c>
      <c r="T82" s="52">
        <f>IFERROR(IF(INDEX('GCE'!$Q$10:$Q$12,MATCH($F82,'GCE'!$B$10:$B$12,0))="","Cell will autofill based on response",INDEX('GCE'!$Q$10:$Q$12,MATCH($F82,'GCE'!$B$10:$B$12,0))),"N/A")</f>
        <v/>
      </c>
      <c r="U82" s="52">
        <f>IFERROR(IF(INDEX('Education'!$Q$10:$Q$13,MATCH($F82,'Education'!$B$10:$B$13,0))="","Cell will autofill based on response",INDEX('Education'!$Q$10:$Q$13,MATCH($F82,'Education'!$B$10:$B$13,0))),"N/A")</f>
        <v/>
      </c>
      <c r="V82" s="52">
        <f>IFERROR(IF(INDEX('SaSS'!$Q$10:$Q$12,MATCH($F82,'SaSS'!$B$10:$B$12,0))="","Cell will autofill based on response",INDEX('SaSS'!$Q$10:$Q$12,MATCH($F82,'SaSS'!$B$10:$B$12,0))),"N/A")</f>
        <v/>
      </c>
      <c r="W82" s="52">
        <f>IFERROR(IF(INDEX('Indigenous'!$Q$10:$Q$11,MATCH($F82,'Indigenous'!$B$10:$B$11,0))="","Cell will autofill based on response",INDEX('Indigenous'!$Q$10:$Q$11,MATCH($F82,'Indigenous'!$B$10:$B$11,0))),"N/A")</f>
        <v/>
      </c>
      <c r="X82" s="52">
        <f>IFERROR(IF(INDEX('L&amp;R'!$Q$10:$Q$11,MATCH($F82,'L&amp;R'!$B$10:$B$11,0))="","Cell will autofill based on response",INDEX('L&amp;R'!$Q$10:$Q$11,MATCH($F82,'L&amp;R'!$B$10:$B$11,0))),"N/A")</f>
        <v/>
      </c>
    </row>
    <row r="83">
      <c r="A83">
        <f>F83&amp;"|"&amp;G83</f>
        <v/>
      </c>
      <c r="B83" s="7" t="inlineStr">
        <is>
          <t>TR3(b)</t>
        </is>
      </c>
      <c r="C83" s="50" t="inlineStr">
        <is>
          <t>Transformational research</t>
        </is>
      </c>
      <c r="D83" s="50" t="inlineStr">
        <is>
          <t>Demonstrated examples of more sustainable research practices in laboratories, fieldwork, procurement, travel or infrastructure use</t>
        </is>
      </c>
      <c r="E83"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0" t="inlineStr">
        <is>
          <t>TR3(b)</t>
        </is>
      </c>
      <c r="G83" s="50" t="inlineStr">
        <is>
          <t>Confirm end-2026 target status</t>
        </is>
      </c>
      <c r="H83" s="52">
        <f>IFERROR(IF(INDEX('Faculties'!$L$10:$L$19,MATCH($F83,'Faculties'!$B$10:$B$19,0))="","Cell will autofill based on response",INDEX('Faculties'!$L$10:$L$19,MATCH($F83,'Faculties'!$B$10:$B$19,0))),"N/A")</f>
        <v/>
      </c>
      <c r="I83" s="52">
        <f>IFERROR(IF(INDEX('Faculties'!$L$26:$L$35,MATCH($F83,'Faculties'!$B$26:$B$35,0))="","Cell will autofill based on response",INDEX('Faculties'!$L$26:$L$35,MATCH($F83,'Faculties'!$B$26:$B$35,0))),"N/A")</f>
        <v/>
      </c>
      <c r="J83" s="52">
        <f>IFERROR(IF(INDEX('Faculties'!$L$42:$L$51,MATCH($F83,'Faculties'!$B$42:$B$51,0))="","Cell will autofill based on response",INDEX('Faculties'!$L$42:$L$51,MATCH($F83,'Faculties'!$B$42:$B$51,0))),"N/A")</f>
        <v/>
      </c>
      <c r="K83" s="52">
        <f>IFERROR(IF(INDEX('Faculties'!$L$58:$L$67,MATCH($F83,'Faculties'!$B$58:$B$67,0))="","Cell will autofill based on response",INDEX('Faculties'!$L$58:$L$67,MATCH($F83,'Faculties'!$B$58:$B$67,0))),"N/A")</f>
        <v/>
      </c>
      <c r="L83" s="52">
        <f>IFERROR(IF(INDEX('CI&amp;S'!$L$10:$L$15,MATCH($F83,'CI&amp;S'!$B$10:$B$15,0))="","Cell will autofill based on response",INDEX('CI&amp;S'!$L$10:$L$15,MATCH($F83,'CI&amp;S'!$B$10:$B$15,0))),"N/A")</f>
        <v/>
      </c>
      <c r="M83" s="52">
        <f>IFERROR(IF(INDEX('CI&amp;S'!$L$22:$L$36,MATCH($F83,'CI&amp;S'!$B$22:$B$36,0))="","Cell will autofill based on response",INDEX('CI&amp;S'!$L$22:$L$36,MATCH($F83,'CI&amp;S'!$B$22:$B$36,0))),"N/A")</f>
        <v/>
      </c>
      <c r="N83" s="52">
        <f>IFERROR(IF(INDEX('CFOG'!$L$10:$L$16,MATCH($F83,'CFOG'!$B$10:$B$16,0))="","Cell will autofill based on response",INDEX('CFOG'!$L$10:$L$16,MATCH($F83,'CFOG'!$B$10:$B$16,0))),"N/A")</f>
        <v/>
      </c>
      <c r="O83" s="52">
        <f>IFERROR(IF(INDEX('CFOG'!$L$23:$L$24,MATCH($F83,'CFOG'!$B$23:$B$24,0))="","Cell will autofill based on response",INDEX('CFOG'!$L$23:$L$24,MATCH($F83,'CFOG'!$B$23:$B$24,0))),"N/A")</f>
        <v/>
      </c>
      <c r="P83" s="52">
        <f>IFERROR(IF(INDEX('ESG'!$L$10:$L$17,MATCH($F83,'ESG'!$B$10:$B$17,0))="","Cell will autofill based on response",INDEX('ESG'!$L$10:$L$17,MATCH($F83,'ESG'!$B$10:$B$17,0))),"N/A")</f>
        <v/>
      </c>
      <c r="Q83" s="52">
        <f>IFERROR(IF(INDEX('CIOG'!$L$10:$L$14,MATCH($F83,'CIOG'!$B$10:$B$14,0))="","Cell will autofill based on response",INDEX('CIOG'!$L$10:$L$14,MATCH($F83,'CIOG'!$B$10:$B$14,0))),"N/A")</f>
        <v/>
      </c>
      <c r="R83" s="52">
        <f>IFERROR(IF(INDEX('MRE'!$L$10:$L$18,MATCH($F83,'MRE'!$B$10:$B$18,0))="","Cell will autofill based on response",INDEX('MRE'!$L$10:$L$18,MATCH($F83,'MRE'!$B$10:$B$18,0))),"N/A")</f>
        <v/>
      </c>
      <c r="S83" s="52">
        <f>IFERROR(IF(INDEX('AC&amp;M'!$L$10:$L$14,MATCH($F83,'AC&amp;M'!$B$10:$B$14,0))="","Cell will autofill based on response",INDEX('AC&amp;M'!$L$10:$L$14,MATCH($F83,'AC&amp;M'!$B$10:$B$14,0))),"N/A")</f>
        <v/>
      </c>
      <c r="T83" s="52">
        <f>IFERROR(IF(INDEX('GCE'!$L$10:$L$12,MATCH($F83,'GCE'!$B$10:$B$12,0))="","Cell will autofill based on response",INDEX('GCE'!$L$10:$L$12,MATCH($F83,'GCE'!$B$10:$B$12,0))),"N/A")</f>
        <v/>
      </c>
      <c r="U83" s="52">
        <f>IFERROR(IF(INDEX('Education'!$L$10:$L$13,MATCH($F83,'Education'!$B$10:$B$13,0))="","Cell will autofill based on response",INDEX('Education'!$L$10:$L$13,MATCH($F83,'Education'!$B$10:$B$13,0))),"N/A")</f>
        <v/>
      </c>
      <c r="V83" s="52">
        <f>IFERROR(IF(INDEX('SaSS'!$L$10:$L$12,MATCH($F83,'SaSS'!$B$10:$B$12,0))="","Cell will autofill based on response",INDEX('SaSS'!$L$10:$L$12,MATCH($F83,'SaSS'!$B$10:$B$12,0))),"N/A")</f>
        <v/>
      </c>
      <c r="W83" s="52">
        <f>IFERROR(IF(INDEX('Indigenous'!$L$10:$L$11,MATCH($F83,'Indigenous'!$B$10:$B$11,0))="","Cell will autofill based on response",INDEX('Indigenous'!$L$10:$L$11,MATCH($F83,'Indigenous'!$B$10:$B$11,0))),"N/A")</f>
        <v/>
      </c>
      <c r="X83" s="52">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3">
        <f>IF(AF83&gt;0,AE83/AF83,"No valid responses to date")</f>
        <v/>
      </c>
      <c r="AH83" s="10">
        <f>IF(ISNUMBER(AG83),INDEX(Lists!$G$2:$G$5,MATCH(ROUND(AG83,0),Lists!$H$2:$H$5,0)),"")</f>
        <v/>
      </c>
      <c r="AI83" s="54">
        <f>IF(AF83&gt;0,AD83/AF83,"")</f>
        <v/>
      </c>
      <c r="AJ83" s="54">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2">
        <f>IFERROR(IF(INDEX('Faculties'!$M$10:$M$19,MATCH($F84,'Faculties'!$B$10:$B$19,0))="","Cell will autofill based on response",INDEX('Faculties'!$M$10:$M$19,MATCH($F84,'Faculties'!$B$10:$B$19,0))),"N/A")</f>
        <v/>
      </c>
      <c r="I84" s="52">
        <f>IFERROR(IF(INDEX('Faculties'!$M$26:$M$35,MATCH($F84,'Faculties'!$B$26:$B$35,0))="","Cell will autofill based on response",INDEX('Faculties'!$M$26:$M$35,MATCH($F84,'Faculties'!$B$26:$B$35,0))),"N/A")</f>
        <v/>
      </c>
      <c r="J84" s="52">
        <f>IFERROR(IF(INDEX('Faculties'!$M$42:$M$51,MATCH($F84,'Faculties'!$B$42:$B$51,0))="","Cell will autofill based on response",INDEX('Faculties'!$M$42:$M$51,MATCH($F84,'Faculties'!$B$42:$B$51,0))),"N/A")</f>
        <v/>
      </c>
      <c r="K84" s="52">
        <f>IFERROR(IF(INDEX('Faculties'!$M$58:$M$67,MATCH($F84,'Faculties'!$B$58:$B$67,0))="","Cell will autofill based on response",INDEX('Faculties'!$M$58:$M$67,MATCH($F84,'Faculties'!$B$58:$B$67,0))),"N/A")</f>
        <v/>
      </c>
      <c r="L84" s="52">
        <f>IFERROR(IF(INDEX('CI&amp;S'!$M$10:$M$15,MATCH($F84,'CI&amp;S'!$B$10:$B$15,0))="","Cell will autofill based on response",INDEX('CI&amp;S'!$M$10:$M$15,MATCH($F84,'CI&amp;S'!$B$10:$B$15,0))),"N/A")</f>
        <v/>
      </c>
      <c r="M84" s="52">
        <f>IFERROR(IF(INDEX('CI&amp;S'!$M$22:$M$36,MATCH($F84,'CI&amp;S'!$B$22:$B$36,0))="","Cell will autofill based on response",INDEX('CI&amp;S'!$M$22:$M$36,MATCH($F84,'CI&amp;S'!$B$22:$B$36,0))),"N/A")</f>
        <v/>
      </c>
      <c r="N84" s="52">
        <f>IFERROR(IF(INDEX('CFOG'!$M$10:$M$16,MATCH($F84,'CFOG'!$B$10:$B$16,0))="","Cell will autofill based on response",INDEX('CFOG'!$M$10:$M$16,MATCH($F84,'CFOG'!$B$10:$B$16,0))),"N/A")</f>
        <v/>
      </c>
      <c r="O84" s="52">
        <f>IFERROR(IF(INDEX('CFOG'!$M$23:$M$24,MATCH($F84,'CFOG'!$B$23:$B$24,0))="","Cell will autofill based on response",INDEX('CFOG'!$M$23:$M$24,MATCH($F84,'CFOG'!$B$23:$B$24,0))),"N/A")</f>
        <v/>
      </c>
      <c r="P84" s="52">
        <f>IFERROR(IF(INDEX('ESG'!$M$10:$M$17,MATCH($F84,'ESG'!$B$10:$B$17,0))="","Cell will autofill based on response",INDEX('ESG'!$M$10:$M$17,MATCH($F84,'ESG'!$B$10:$B$17,0))),"N/A")</f>
        <v/>
      </c>
      <c r="Q84" s="52">
        <f>IFERROR(IF(INDEX('CIOG'!$M$10:$M$14,MATCH($F84,'CIOG'!$B$10:$B$14,0))="","Cell will autofill based on response",INDEX('CIOG'!$M$10:$M$14,MATCH($F84,'CIOG'!$B$10:$B$14,0))),"N/A")</f>
        <v/>
      </c>
      <c r="R84" s="52">
        <f>IFERROR(IF(INDEX('MRE'!$M$10:$M$18,MATCH($F84,'MRE'!$B$10:$B$18,0))="","Cell will autofill based on response",INDEX('MRE'!$M$10:$M$18,MATCH($F84,'MRE'!$B$10:$B$18,0))),"N/A")</f>
        <v/>
      </c>
      <c r="S84" s="52">
        <f>IFERROR(IF(INDEX('AC&amp;M'!$M$10:$M$14,MATCH($F84,'AC&amp;M'!$B$10:$B$14,0))="","Cell will autofill based on response",INDEX('AC&amp;M'!$M$10:$M$14,MATCH($F84,'AC&amp;M'!$B$10:$B$14,0))),"N/A")</f>
        <v/>
      </c>
      <c r="T84" s="52">
        <f>IFERROR(IF(INDEX('GCE'!$M$10:$M$12,MATCH($F84,'GCE'!$B$10:$B$12,0))="","Cell will autofill based on response",INDEX('GCE'!$M$10:$M$12,MATCH($F84,'GCE'!$B$10:$B$12,0))),"N/A")</f>
        <v/>
      </c>
      <c r="U84" s="52">
        <f>IFERROR(IF(INDEX('Education'!$M$10:$M$13,MATCH($F84,'Education'!$B$10:$B$13,0))="","Cell will autofill based on response",INDEX('Education'!$M$10:$M$13,MATCH($F84,'Education'!$B$10:$B$13,0))),"N/A")</f>
        <v/>
      </c>
      <c r="V84" s="52">
        <f>IFERROR(IF(INDEX('SaSS'!$M$10:$M$12,MATCH($F84,'SaSS'!$B$10:$B$12,0))="","Cell will autofill based on response",INDEX('SaSS'!$M$10:$M$12,MATCH($F84,'SaSS'!$B$10:$B$12,0))),"N/A")</f>
        <v/>
      </c>
      <c r="W84" s="52">
        <f>IFERROR(IF(INDEX('Indigenous'!$M$10:$M$11,MATCH($F84,'Indigenous'!$B$10:$B$11,0))="","Cell will autofill based on response",INDEX('Indigenous'!$M$10:$M$11,MATCH($F84,'Indigenous'!$B$10:$B$11,0))),"N/A")</f>
        <v/>
      </c>
      <c r="X84" s="52">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2">
        <f>IFERROR(IF(INDEX('Faculties'!$N$10:$N$19,MATCH($F85,'Faculties'!$B$10:$B$19,0))="","Cell will autofill based on response",INDEX('Faculties'!$N$10:$N$19,MATCH($F85,'Faculties'!$B$10:$B$19,0))),"N/A")</f>
        <v/>
      </c>
      <c r="I85" s="52">
        <f>IFERROR(IF(INDEX('Faculties'!$N$26:$N$35,MATCH($F85,'Faculties'!$B$26:$B$35,0))="","Cell will autofill based on response",INDEX('Faculties'!$N$26:$N$35,MATCH($F85,'Faculties'!$B$26:$B$35,0))),"N/A")</f>
        <v/>
      </c>
      <c r="J85" s="52">
        <f>IFERROR(IF(INDEX('Faculties'!$N$42:$N$51,MATCH($F85,'Faculties'!$B$42:$B$51,0))="","Cell will autofill based on response",INDEX('Faculties'!$N$42:$N$51,MATCH($F85,'Faculties'!$B$42:$B$51,0))),"N/A")</f>
        <v/>
      </c>
      <c r="K85" s="52">
        <f>IFERROR(IF(INDEX('Faculties'!$N$58:$N$67,MATCH($F85,'Faculties'!$B$58:$B$67,0))="","Cell will autofill based on response",INDEX('Faculties'!$N$58:$N$67,MATCH($F85,'Faculties'!$B$58:$B$67,0))),"N/A")</f>
        <v/>
      </c>
      <c r="L85" s="52">
        <f>IFERROR(IF(INDEX('CI&amp;S'!$N$10:$N$15,MATCH($F85,'CI&amp;S'!$B$10:$B$15,0))="","Cell will autofill based on response",INDEX('CI&amp;S'!$N$10:$N$15,MATCH($F85,'CI&amp;S'!$B$10:$B$15,0))),"N/A")</f>
        <v/>
      </c>
      <c r="M85" s="52">
        <f>IFERROR(IF(INDEX('CI&amp;S'!$N$22:$N$36,MATCH($F85,'CI&amp;S'!$B$22:$B$36,0))="","Cell will autofill based on response",INDEX('CI&amp;S'!$N$22:$N$36,MATCH($F85,'CI&amp;S'!$B$22:$B$36,0))),"N/A")</f>
        <v/>
      </c>
      <c r="N85" s="52">
        <f>IFERROR(IF(INDEX('CFOG'!$N$10:$N$16,MATCH($F85,'CFOG'!$B$10:$B$16,0))="","Cell will autofill based on response",INDEX('CFOG'!$N$10:$N$16,MATCH($F85,'CFOG'!$B$10:$B$16,0))),"N/A")</f>
        <v/>
      </c>
      <c r="O85" s="52">
        <f>IFERROR(IF(INDEX('CFOG'!$N$23:$N$24,MATCH($F85,'CFOG'!$B$23:$B$24,0))="","Cell will autofill based on response",INDEX('CFOG'!$N$23:$N$24,MATCH($F85,'CFOG'!$B$23:$B$24,0))),"N/A")</f>
        <v/>
      </c>
      <c r="P85" s="52">
        <f>IFERROR(IF(INDEX('ESG'!$N$10:$N$17,MATCH($F85,'ESG'!$B$10:$B$17,0))="","Cell will autofill based on response",INDEX('ESG'!$N$10:$N$17,MATCH($F85,'ESG'!$B$10:$B$17,0))),"N/A")</f>
        <v/>
      </c>
      <c r="Q85" s="52">
        <f>IFERROR(IF(INDEX('CIOG'!$N$10:$N$14,MATCH($F85,'CIOG'!$B$10:$B$14,0))="","Cell will autofill based on response",INDEX('CIOG'!$N$10:$N$14,MATCH($F85,'CIOG'!$B$10:$B$14,0))),"N/A")</f>
        <v/>
      </c>
      <c r="R85" s="52">
        <f>IFERROR(IF(INDEX('MRE'!$N$10:$N$18,MATCH($F85,'MRE'!$B$10:$B$18,0))="","Cell will autofill based on response",INDEX('MRE'!$N$10:$N$18,MATCH($F85,'MRE'!$B$10:$B$18,0))),"N/A")</f>
        <v/>
      </c>
      <c r="S85" s="52">
        <f>IFERROR(IF(INDEX('AC&amp;M'!$N$10:$N$14,MATCH($F85,'AC&amp;M'!$B$10:$B$14,0))="","Cell will autofill based on response",INDEX('AC&amp;M'!$N$10:$N$14,MATCH($F85,'AC&amp;M'!$B$10:$B$14,0))),"N/A")</f>
        <v/>
      </c>
      <c r="T85" s="52">
        <f>IFERROR(IF(INDEX('GCE'!$N$10:$N$12,MATCH($F85,'GCE'!$B$10:$B$12,0))="","Cell will autofill based on response",INDEX('GCE'!$N$10:$N$12,MATCH($F85,'GCE'!$B$10:$B$12,0))),"N/A")</f>
        <v/>
      </c>
      <c r="U85" s="52">
        <f>IFERROR(IF(INDEX('Education'!$N$10:$N$13,MATCH($F85,'Education'!$B$10:$B$13,0))="","Cell will autofill based on response",INDEX('Education'!$N$10:$N$13,MATCH($F85,'Education'!$B$10:$B$13,0))),"N/A")</f>
        <v/>
      </c>
      <c r="V85" s="52">
        <f>IFERROR(IF(INDEX('SaSS'!$N$10:$N$12,MATCH($F85,'SaSS'!$B$10:$B$12,0))="","Cell will autofill based on response",INDEX('SaSS'!$N$10:$N$12,MATCH($F85,'SaSS'!$B$10:$B$12,0))),"N/A")</f>
        <v/>
      </c>
      <c r="W85" s="52">
        <f>IFERROR(IF(INDEX('Indigenous'!$N$10:$N$11,MATCH($F85,'Indigenous'!$B$10:$B$11,0))="","Cell will autofill based on response",INDEX('Indigenous'!$N$10:$N$11,MATCH($F85,'Indigenous'!$B$10:$B$11,0))),"N/A")</f>
        <v/>
      </c>
      <c r="X85" s="52">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2">
        <f>IFERROR(IF(INDEX('Faculties'!$O$10:$O$19,MATCH($F86,'Faculties'!$B$10:$B$19,0))="","Cell will autofill based on response",INDEX('Faculties'!$O$10:$O$19,MATCH($F86,'Faculties'!$B$10:$B$19,0))),"N/A")</f>
        <v/>
      </c>
      <c r="I86" s="52">
        <f>IFERROR(IF(INDEX('Faculties'!$O$26:$O$35,MATCH($F86,'Faculties'!$B$26:$B$35,0))="","Cell will autofill based on response",INDEX('Faculties'!$O$26:$O$35,MATCH($F86,'Faculties'!$B$26:$B$35,0))),"N/A")</f>
        <v/>
      </c>
      <c r="J86" s="52">
        <f>IFERROR(IF(INDEX('Faculties'!$O$42:$O$51,MATCH($F86,'Faculties'!$B$42:$B$51,0))="","Cell will autofill based on response",INDEX('Faculties'!$O$42:$O$51,MATCH($F86,'Faculties'!$B$42:$B$51,0))),"N/A")</f>
        <v/>
      </c>
      <c r="K86" s="52">
        <f>IFERROR(IF(INDEX('Faculties'!$O$58:$O$67,MATCH($F86,'Faculties'!$B$58:$B$67,0))="","Cell will autofill based on response",INDEX('Faculties'!$O$58:$O$67,MATCH($F86,'Faculties'!$B$58:$B$67,0))),"N/A")</f>
        <v/>
      </c>
      <c r="L86" s="52">
        <f>IFERROR(IF(INDEX('CI&amp;S'!$O$10:$O$15,MATCH($F86,'CI&amp;S'!$B$10:$B$15,0))="","Cell will autofill based on response",INDEX('CI&amp;S'!$O$10:$O$15,MATCH($F86,'CI&amp;S'!$B$10:$B$15,0))),"N/A")</f>
        <v/>
      </c>
      <c r="M86" s="52">
        <f>IFERROR(IF(INDEX('CI&amp;S'!$O$22:$O$36,MATCH($F86,'CI&amp;S'!$B$22:$B$36,0))="","Cell will autofill based on response",INDEX('CI&amp;S'!$O$22:$O$36,MATCH($F86,'CI&amp;S'!$B$22:$B$36,0))),"N/A")</f>
        <v/>
      </c>
      <c r="N86" s="52">
        <f>IFERROR(IF(INDEX('CFOG'!$O$10:$O$16,MATCH($F86,'CFOG'!$B$10:$B$16,0))="","Cell will autofill based on response",INDEX('CFOG'!$O$10:$O$16,MATCH($F86,'CFOG'!$B$10:$B$16,0))),"N/A")</f>
        <v/>
      </c>
      <c r="O86" s="52">
        <f>IFERROR(IF(INDEX('CFOG'!$O$23:$O$24,MATCH($F86,'CFOG'!$B$23:$B$24,0))="","Cell will autofill based on response",INDEX('CFOG'!$O$23:$O$24,MATCH($F86,'CFOG'!$B$23:$B$24,0))),"N/A")</f>
        <v/>
      </c>
      <c r="P86" s="52">
        <f>IFERROR(IF(INDEX('ESG'!$O$10:$O$17,MATCH($F86,'ESG'!$B$10:$B$17,0))="","Cell will autofill based on response",INDEX('ESG'!$O$10:$O$17,MATCH($F86,'ESG'!$B$10:$B$17,0))),"N/A")</f>
        <v/>
      </c>
      <c r="Q86" s="52">
        <f>IFERROR(IF(INDEX('CIOG'!$O$10:$O$14,MATCH($F86,'CIOG'!$B$10:$B$14,0))="","Cell will autofill based on response",INDEX('CIOG'!$O$10:$O$14,MATCH($F86,'CIOG'!$B$10:$B$14,0))),"N/A")</f>
        <v/>
      </c>
      <c r="R86" s="52">
        <f>IFERROR(IF(INDEX('MRE'!$O$10:$O$18,MATCH($F86,'MRE'!$B$10:$B$18,0))="","Cell will autofill based on response",INDEX('MRE'!$O$10:$O$18,MATCH($F86,'MRE'!$B$10:$B$18,0))),"N/A")</f>
        <v/>
      </c>
      <c r="S86" s="52">
        <f>IFERROR(IF(INDEX('AC&amp;M'!$O$10:$O$14,MATCH($F86,'AC&amp;M'!$B$10:$B$14,0))="","Cell will autofill based on response",INDEX('AC&amp;M'!$O$10:$O$14,MATCH($F86,'AC&amp;M'!$B$10:$B$14,0))),"N/A")</f>
        <v/>
      </c>
      <c r="T86" s="52">
        <f>IFERROR(IF(INDEX('GCE'!$O$10:$O$12,MATCH($F86,'GCE'!$B$10:$B$12,0))="","Cell will autofill based on response",INDEX('GCE'!$O$10:$O$12,MATCH($F86,'GCE'!$B$10:$B$12,0))),"N/A")</f>
        <v/>
      </c>
      <c r="U86" s="52">
        <f>IFERROR(IF(INDEX('Education'!$O$10:$O$13,MATCH($F86,'Education'!$B$10:$B$13,0))="","Cell will autofill based on response",INDEX('Education'!$O$10:$O$13,MATCH($F86,'Education'!$B$10:$B$13,0))),"N/A")</f>
        <v/>
      </c>
      <c r="V86" s="52">
        <f>IFERROR(IF(INDEX('SaSS'!$O$10:$O$12,MATCH($F86,'SaSS'!$B$10:$B$12,0))="","Cell will autofill based on response",INDEX('SaSS'!$O$10:$O$12,MATCH($F86,'SaSS'!$B$10:$B$12,0))),"N/A")</f>
        <v/>
      </c>
      <c r="W86" s="52">
        <f>IFERROR(IF(INDEX('Indigenous'!$O$10:$O$11,MATCH($F86,'Indigenous'!$B$10:$B$11,0))="","Cell will autofill based on response",INDEX('Indigenous'!$O$10:$O$11,MATCH($F86,'Indigenous'!$B$10:$B$11,0))),"N/A")</f>
        <v/>
      </c>
      <c r="X86" s="52">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2">
        <f>IFERROR(IF(INDEX('Faculties'!$P$10:$P$19,MATCH($F87,'Faculties'!$B$10:$B$19,0))="","Cell will autofill based on response",INDEX('Faculties'!$P$10:$P$19,MATCH($F87,'Faculties'!$B$10:$B$19,0))),"N/A")</f>
        <v/>
      </c>
      <c r="I87" s="52">
        <f>IFERROR(IF(INDEX('Faculties'!$P$26:$P$35,MATCH($F87,'Faculties'!$B$26:$B$35,0))="","Cell will autofill based on response",INDEX('Faculties'!$P$26:$P$35,MATCH($F87,'Faculties'!$B$26:$B$35,0))),"N/A")</f>
        <v/>
      </c>
      <c r="J87" s="52">
        <f>IFERROR(IF(INDEX('Faculties'!$P$42:$P$51,MATCH($F87,'Faculties'!$B$42:$B$51,0))="","Cell will autofill based on response",INDEX('Faculties'!$P$42:$P$51,MATCH($F87,'Faculties'!$B$42:$B$51,0))),"N/A")</f>
        <v/>
      </c>
      <c r="K87" s="52">
        <f>IFERROR(IF(INDEX('Faculties'!$P$58:$P$67,MATCH($F87,'Faculties'!$B$58:$B$67,0))="","Cell will autofill based on response",INDEX('Faculties'!$P$58:$P$67,MATCH($F87,'Faculties'!$B$58:$B$67,0))),"N/A")</f>
        <v/>
      </c>
      <c r="L87" s="52">
        <f>IFERROR(IF(INDEX('CI&amp;S'!$P$10:$P$15,MATCH($F87,'CI&amp;S'!$B$10:$B$15,0))="","Cell will autofill based on response",INDEX('CI&amp;S'!$P$10:$P$15,MATCH($F87,'CI&amp;S'!$B$10:$B$15,0))),"N/A")</f>
        <v/>
      </c>
      <c r="M87" s="52">
        <f>IFERROR(IF(INDEX('CI&amp;S'!$P$22:$P$36,MATCH($F87,'CI&amp;S'!$B$22:$B$36,0))="","Cell will autofill based on response",INDEX('CI&amp;S'!$P$22:$P$36,MATCH($F87,'CI&amp;S'!$B$22:$B$36,0))),"N/A")</f>
        <v/>
      </c>
      <c r="N87" s="52">
        <f>IFERROR(IF(INDEX('CFOG'!$P$10:$P$16,MATCH($F87,'CFOG'!$B$10:$B$16,0))="","Cell will autofill based on response",INDEX('CFOG'!$P$10:$P$16,MATCH($F87,'CFOG'!$B$10:$B$16,0))),"N/A")</f>
        <v/>
      </c>
      <c r="O87" s="52">
        <f>IFERROR(IF(INDEX('CFOG'!$P$23:$P$24,MATCH($F87,'CFOG'!$B$23:$B$24,0))="","Cell will autofill based on response",INDEX('CFOG'!$P$23:$P$24,MATCH($F87,'CFOG'!$B$23:$B$24,0))),"N/A")</f>
        <v/>
      </c>
      <c r="P87" s="52">
        <f>IFERROR(IF(INDEX('ESG'!$P$10:$P$17,MATCH($F87,'ESG'!$B$10:$B$17,0))="","Cell will autofill based on response",INDEX('ESG'!$P$10:$P$17,MATCH($F87,'ESG'!$B$10:$B$17,0))),"N/A")</f>
        <v/>
      </c>
      <c r="Q87" s="52">
        <f>IFERROR(IF(INDEX('CIOG'!$P$10:$P$14,MATCH($F87,'CIOG'!$B$10:$B$14,0))="","Cell will autofill based on response",INDEX('CIOG'!$P$10:$P$14,MATCH($F87,'CIOG'!$B$10:$B$14,0))),"N/A")</f>
        <v/>
      </c>
      <c r="R87" s="52">
        <f>IFERROR(IF(INDEX('MRE'!$P$10:$P$18,MATCH($F87,'MRE'!$B$10:$B$18,0))="","Cell will autofill based on response",INDEX('MRE'!$P$10:$P$18,MATCH($F87,'MRE'!$B$10:$B$18,0))),"N/A")</f>
        <v/>
      </c>
      <c r="S87" s="52">
        <f>IFERROR(IF(INDEX('AC&amp;M'!$P$10:$P$14,MATCH($F87,'AC&amp;M'!$B$10:$B$14,0))="","Cell will autofill based on response",INDEX('AC&amp;M'!$P$10:$P$14,MATCH($F87,'AC&amp;M'!$B$10:$B$14,0))),"N/A")</f>
        <v/>
      </c>
      <c r="T87" s="52">
        <f>IFERROR(IF(INDEX('GCE'!$P$10:$P$12,MATCH($F87,'GCE'!$B$10:$B$12,0))="","Cell will autofill based on response",INDEX('GCE'!$P$10:$P$12,MATCH($F87,'GCE'!$B$10:$B$12,0))),"N/A")</f>
        <v/>
      </c>
      <c r="U87" s="52">
        <f>IFERROR(IF(INDEX('Education'!$P$10:$P$13,MATCH($F87,'Education'!$B$10:$B$13,0))="","Cell will autofill based on response",INDEX('Education'!$P$10:$P$13,MATCH($F87,'Education'!$B$10:$B$13,0))),"N/A")</f>
        <v/>
      </c>
      <c r="V87" s="52">
        <f>IFERROR(IF(INDEX('SaSS'!$P$10:$P$12,MATCH($F87,'SaSS'!$B$10:$B$12,0))="","Cell will autofill based on response",INDEX('SaSS'!$P$10:$P$12,MATCH($F87,'SaSS'!$B$10:$B$12,0))),"N/A")</f>
        <v/>
      </c>
      <c r="W87" s="52">
        <f>IFERROR(IF(INDEX('Indigenous'!$P$10:$P$11,MATCH($F87,'Indigenous'!$B$10:$B$11,0))="","Cell will autofill based on response",INDEX('Indigenous'!$P$10:$P$11,MATCH($F87,'Indigenous'!$B$10:$B$11,0))),"N/A")</f>
        <v/>
      </c>
      <c r="X87" s="52">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2">
        <f>IFERROR(IF(INDEX('Faculties'!$Q$10:$Q$19,MATCH($F88,'Faculties'!$B$10:$B$19,0))="","Cell will autofill based on response",INDEX('Faculties'!$Q$10:$Q$19,MATCH($F88,'Faculties'!$B$10:$B$19,0))),"N/A")</f>
        <v/>
      </c>
      <c r="I88" s="52">
        <f>IFERROR(IF(INDEX('Faculties'!$Q$26:$Q$35,MATCH($F88,'Faculties'!$B$26:$B$35,0))="","Cell will autofill based on response",INDEX('Faculties'!$Q$26:$Q$35,MATCH($F88,'Faculties'!$B$26:$B$35,0))),"N/A")</f>
        <v/>
      </c>
      <c r="J88" s="52">
        <f>IFERROR(IF(INDEX('Faculties'!$Q$42:$Q$51,MATCH($F88,'Faculties'!$B$42:$B$51,0))="","Cell will autofill based on response",INDEX('Faculties'!$Q$42:$Q$51,MATCH($F88,'Faculties'!$B$42:$B$51,0))),"N/A")</f>
        <v/>
      </c>
      <c r="K88" s="52">
        <f>IFERROR(IF(INDEX('Faculties'!$Q$58:$Q$67,MATCH($F88,'Faculties'!$B$58:$B$67,0))="","Cell will autofill based on response",INDEX('Faculties'!$Q$58:$Q$67,MATCH($F88,'Faculties'!$B$58:$B$67,0))),"N/A")</f>
        <v/>
      </c>
      <c r="L88" s="52">
        <f>IFERROR(IF(INDEX('CI&amp;S'!$Q$10:$Q$15,MATCH($F88,'CI&amp;S'!$B$10:$B$15,0))="","Cell will autofill based on response",INDEX('CI&amp;S'!$Q$10:$Q$15,MATCH($F88,'CI&amp;S'!$B$10:$B$15,0))),"N/A")</f>
        <v/>
      </c>
      <c r="M88" s="52">
        <f>IFERROR(IF(INDEX('CI&amp;S'!$Q$22:$Q$36,MATCH($F88,'CI&amp;S'!$B$22:$B$36,0))="","Cell will autofill based on response",INDEX('CI&amp;S'!$Q$22:$Q$36,MATCH($F88,'CI&amp;S'!$B$22:$B$36,0))),"N/A")</f>
        <v/>
      </c>
      <c r="N88" s="52">
        <f>IFERROR(IF(INDEX('CFOG'!$Q$10:$Q$16,MATCH($F88,'CFOG'!$B$10:$B$16,0))="","Cell will autofill based on response",INDEX('CFOG'!$Q$10:$Q$16,MATCH($F88,'CFOG'!$B$10:$B$16,0))),"N/A")</f>
        <v/>
      </c>
      <c r="O88" s="52">
        <f>IFERROR(IF(INDEX('CFOG'!$Q$23:$Q$24,MATCH($F88,'CFOG'!$B$23:$B$24,0))="","Cell will autofill based on response",INDEX('CFOG'!$Q$23:$Q$24,MATCH($F88,'CFOG'!$B$23:$B$24,0))),"N/A")</f>
        <v/>
      </c>
      <c r="P88" s="52">
        <f>IFERROR(IF(INDEX('ESG'!$Q$10:$Q$17,MATCH($F88,'ESG'!$B$10:$B$17,0))="","Cell will autofill based on response",INDEX('ESG'!$Q$10:$Q$17,MATCH($F88,'ESG'!$B$10:$B$17,0))),"N/A")</f>
        <v/>
      </c>
      <c r="Q88" s="52">
        <f>IFERROR(IF(INDEX('CIOG'!$Q$10:$Q$14,MATCH($F88,'CIOG'!$B$10:$B$14,0))="","Cell will autofill based on response",INDEX('CIOG'!$Q$10:$Q$14,MATCH($F88,'CIOG'!$B$10:$B$14,0))),"N/A")</f>
        <v/>
      </c>
      <c r="R88" s="52">
        <f>IFERROR(IF(INDEX('MRE'!$Q$10:$Q$18,MATCH($F88,'MRE'!$B$10:$B$18,0))="","Cell will autofill based on response",INDEX('MRE'!$Q$10:$Q$18,MATCH($F88,'MRE'!$B$10:$B$18,0))),"N/A")</f>
        <v/>
      </c>
      <c r="S88" s="52">
        <f>IFERROR(IF(INDEX('AC&amp;M'!$Q$10:$Q$14,MATCH($F88,'AC&amp;M'!$B$10:$B$14,0))="","Cell will autofill based on response",INDEX('AC&amp;M'!$Q$10:$Q$14,MATCH($F88,'AC&amp;M'!$B$10:$B$14,0))),"N/A")</f>
        <v/>
      </c>
      <c r="T88" s="52">
        <f>IFERROR(IF(INDEX('GCE'!$Q$10:$Q$12,MATCH($F88,'GCE'!$B$10:$B$12,0))="","Cell will autofill based on response",INDEX('GCE'!$Q$10:$Q$12,MATCH($F88,'GCE'!$B$10:$B$12,0))),"N/A")</f>
        <v/>
      </c>
      <c r="U88" s="52">
        <f>IFERROR(IF(INDEX('Education'!$Q$10:$Q$13,MATCH($F88,'Education'!$B$10:$B$13,0))="","Cell will autofill based on response",INDEX('Education'!$Q$10:$Q$13,MATCH($F88,'Education'!$B$10:$B$13,0))),"N/A")</f>
        <v/>
      </c>
      <c r="V88" s="52">
        <f>IFERROR(IF(INDEX('SaSS'!$Q$10:$Q$12,MATCH($F88,'SaSS'!$B$10:$B$12,0))="","Cell will autofill based on response",INDEX('SaSS'!$Q$10:$Q$12,MATCH($F88,'SaSS'!$B$10:$B$12,0))),"N/A")</f>
        <v/>
      </c>
      <c r="W88" s="52">
        <f>IFERROR(IF(INDEX('Indigenous'!$Q$10:$Q$11,MATCH($F88,'Indigenous'!$B$10:$B$11,0))="","Cell will autofill based on response",INDEX('Indigenous'!$Q$10:$Q$11,MATCH($F88,'Indigenous'!$B$10:$B$11,0))),"N/A")</f>
        <v/>
      </c>
      <c r="X88" s="52">
        <f>IFERROR(IF(INDEX('L&amp;R'!$Q$10:$Q$11,MATCH($F88,'L&amp;R'!$B$10:$B$11,0))="","Cell will autofill based on response",INDEX('L&amp;R'!$Q$10:$Q$11,MATCH($F88,'L&amp;R'!$B$10:$B$11,0))),"N/A")</f>
        <v/>
      </c>
    </row>
    <row r="89">
      <c r="A89">
        <f>F89&amp;"|"&amp;G89</f>
        <v/>
      </c>
      <c r="B89" s="7" t="inlineStr">
        <is>
          <t>TR3(c)</t>
        </is>
      </c>
      <c r="C89" s="50" t="inlineStr">
        <is>
          <t>Transformational research</t>
        </is>
      </c>
      <c r="D89" s="50" t="inlineStr">
        <is>
          <t>Evidence of progress in sustainability-related research culture, capability and awareness, informed by periodic staff and graduate researcher surveys</t>
        </is>
      </c>
      <c r="E89"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0" t="inlineStr">
        <is>
          <t>TR3(c)</t>
        </is>
      </c>
      <c r="G89" s="50" t="inlineStr">
        <is>
          <t>Confirm end-2026 target status</t>
        </is>
      </c>
      <c r="H89" s="52">
        <f>IFERROR(IF(INDEX('Faculties'!$L$10:$L$19,MATCH($F89,'Faculties'!$B$10:$B$19,0))="","Cell will autofill based on response",INDEX('Faculties'!$L$10:$L$19,MATCH($F89,'Faculties'!$B$10:$B$19,0))),"N/A")</f>
        <v/>
      </c>
      <c r="I89" s="52">
        <f>IFERROR(IF(INDEX('Faculties'!$L$26:$L$35,MATCH($F89,'Faculties'!$B$26:$B$35,0))="","Cell will autofill based on response",INDEX('Faculties'!$L$26:$L$35,MATCH($F89,'Faculties'!$B$26:$B$35,0))),"N/A")</f>
        <v/>
      </c>
      <c r="J89" s="52">
        <f>IFERROR(IF(INDEX('Faculties'!$L$42:$L$51,MATCH($F89,'Faculties'!$B$42:$B$51,0))="","Cell will autofill based on response",INDEX('Faculties'!$L$42:$L$51,MATCH($F89,'Faculties'!$B$42:$B$51,0))),"N/A")</f>
        <v/>
      </c>
      <c r="K89" s="52">
        <f>IFERROR(IF(INDEX('Faculties'!$L$58:$L$67,MATCH($F89,'Faculties'!$B$58:$B$67,0))="","Cell will autofill based on response",INDEX('Faculties'!$L$58:$L$67,MATCH($F89,'Faculties'!$B$58:$B$67,0))),"N/A")</f>
        <v/>
      </c>
      <c r="L89" s="52">
        <f>IFERROR(IF(INDEX('CI&amp;S'!$L$10:$L$15,MATCH($F89,'CI&amp;S'!$B$10:$B$15,0))="","Cell will autofill based on response",INDEX('CI&amp;S'!$L$10:$L$15,MATCH($F89,'CI&amp;S'!$B$10:$B$15,0))),"N/A")</f>
        <v/>
      </c>
      <c r="M89" s="52">
        <f>IFERROR(IF(INDEX('CI&amp;S'!$L$22:$L$36,MATCH($F89,'CI&amp;S'!$B$22:$B$36,0))="","Cell will autofill based on response",INDEX('CI&amp;S'!$L$22:$L$36,MATCH($F89,'CI&amp;S'!$B$22:$B$36,0))),"N/A")</f>
        <v/>
      </c>
      <c r="N89" s="52">
        <f>IFERROR(IF(INDEX('CFOG'!$L$10:$L$16,MATCH($F89,'CFOG'!$B$10:$B$16,0))="","Cell will autofill based on response",INDEX('CFOG'!$L$10:$L$16,MATCH($F89,'CFOG'!$B$10:$B$16,0))),"N/A")</f>
        <v/>
      </c>
      <c r="O89" s="52">
        <f>IFERROR(IF(INDEX('CFOG'!$L$23:$L$24,MATCH($F89,'CFOG'!$B$23:$B$24,0))="","Cell will autofill based on response",INDEX('CFOG'!$L$23:$L$24,MATCH($F89,'CFOG'!$B$23:$B$24,0))),"N/A")</f>
        <v/>
      </c>
      <c r="P89" s="52">
        <f>IFERROR(IF(INDEX('ESG'!$L$10:$L$17,MATCH($F89,'ESG'!$B$10:$B$17,0))="","Cell will autofill based on response",INDEX('ESG'!$L$10:$L$17,MATCH($F89,'ESG'!$B$10:$B$17,0))),"N/A")</f>
        <v/>
      </c>
      <c r="Q89" s="52">
        <f>IFERROR(IF(INDEX('CIOG'!$L$10:$L$14,MATCH($F89,'CIOG'!$B$10:$B$14,0))="","Cell will autofill based on response",INDEX('CIOG'!$L$10:$L$14,MATCH($F89,'CIOG'!$B$10:$B$14,0))),"N/A")</f>
        <v/>
      </c>
      <c r="R89" s="52">
        <f>IFERROR(IF(INDEX('MRE'!$L$10:$L$18,MATCH($F89,'MRE'!$B$10:$B$18,0))="","Cell will autofill based on response",INDEX('MRE'!$L$10:$L$18,MATCH($F89,'MRE'!$B$10:$B$18,0))),"N/A")</f>
        <v/>
      </c>
      <c r="S89" s="52">
        <f>IFERROR(IF(INDEX('AC&amp;M'!$L$10:$L$14,MATCH($F89,'AC&amp;M'!$B$10:$B$14,0))="","Cell will autofill based on response",INDEX('AC&amp;M'!$L$10:$L$14,MATCH($F89,'AC&amp;M'!$B$10:$B$14,0))),"N/A")</f>
        <v/>
      </c>
      <c r="T89" s="52">
        <f>IFERROR(IF(INDEX('GCE'!$L$10:$L$12,MATCH($F89,'GCE'!$B$10:$B$12,0))="","Cell will autofill based on response",INDEX('GCE'!$L$10:$L$12,MATCH($F89,'GCE'!$B$10:$B$12,0))),"N/A")</f>
        <v/>
      </c>
      <c r="U89" s="52">
        <f>IFERROR(IF(INDEX('Education'!$L$10:$L$13,MATCH($F89,'Education'!$B$10:$B$13,0))="","Cell will autofill based on response",INDEX('Education'!$L$10:$L$13,MATCH($F89,'Education'!$B$10:$B$13,0))),"N/A")</f>
        <v/>
      </c>
      <c r="V89" s="52">
        <f>IFERROR(IF(INDEX('SaSS'!$L$10:$L$12,MATCH($F89,'SaSS'!$B$10:$B$12,0))="","Cell will autofill based on response",INDEX('SaSS'!$L$10:$L$12,MATCH($F89,'SaSS'!$B$10:$B$12,0))),"N/A")</f>
        <v/>
      </c>
      <c r="W89" s="52">
        <f>IFERROR(IF(INDEX('Indigenous'!$L$10:$L$11,MATCH($F89,'Indigenous'!$B$10:$B$11,0))="","Cell will autofill based on response",INDEX('Indigenous'!$L$10:$L$11,MATCH($F89,'Indigenous'!$B$10:$B$11,0))),"N/A")</f>
        <v/>
      </c>
      <c r="X89" s="52">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3">
        <f>IF(AF89&gt;0,AE89/AF89,"No valid responses to date")</f>
        <v/>
      </c>
      <c r="AH89" s="10">
        <f>IF(ISNUMBER(AG89),INDEX(Lists!$G$2:$G$5,MATCH(ROUND(AG89,0),Lists!$H$2:$H$5,0)),"")</f>
        <v/>
      </c>
      <c r="AI89" s="54">
        <f>IF(AF89&gt;0,AD89/AF89,"")</f>
        <v/>
      </c>
      <c r="AJ89" s="54">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2">
        <f>IFERROR(IF(INDEX('Faculties'!$M$10:$M$19,MATCH($F90,'Faculties'!$B$10:$B$19,0))="","Cell will autofill based on response",INDEX('Faculties'!$M$10:$M$19,MATCH($F90,'Faculties'!$B$10:$B$19,0))),"N/A")</f>
        <v/>
      </c>
      <c r="I90" s="52">
        <f>IFERROR(IF(INDEX('Faculties'!$M$26:$M$35,MATCH($F90,'Faculties'!$B$26:$B$35,0))="","Cell will autofill based on response",INDEX('Faculties'!$M$26:$M$35,MATCH($F90,'Faculties'!$B$26:$B$35,0))),"N/A")</f>
        <v/>
      </c>
      <c r="J90" s="52">
        <f>IFERROR(IF(INDEX('Faculties'!$M$42:$M$51,MATCH($F90,'Faculties'!$B$42:$B$51,0))="","Cell will autofill based on response",INDEX('Faculties'!$M$42:$M$51,MATCH($F90,'Faculties'!$B$42:$B$51,0))),"N/A")</f>
        <v/>
      </c>
      <c r="K90" s="52">
        <f>IFERROR(IF(INDEX('Faculties'!$M$58:$M$67,MATCH($F90,'Faculties'!$B$58:$B$67,0))="","Cell will autofill based on response",INDEX('Faculties'!$M$58:$M$67,MATCH($F90,'Faculties'!$B$58:$B$67,0))),"N/A")</f>
        <v/>
      </c>
      <c r="L90" s="52">
        <f>IFERROR(IF(INDEX('CI&amp;S'!$M$10:$M$15,MATCH($F90,'CI&amp;S'!$B$10:$B$15,0))="","Cell will autofill based on response",INDEX('CI&amp;S'!$M$10:$M$15,MATCH($F90,'CI&amp;S'!$B$10:$B$15,0))),"N/A")</f>
        <v/>
      </c>
      <c r="M90" s="52">
        <f>IFERROR(IF(INDEX('CI&amp;S'!$M$22:$M$36,MATCH($F90,'CI&amp;S'!$B$22:$B$36,0))="","Cell will autofill based on response",INDEX('CI&amp;S'!$M$22:$M$36,MATCH($F90,'CI&amp;S'!$B$22:$B$36,0))),"N/A")</f>
        <v/>
      </c>
      <c r="N90" s="52">
        <f>IFERROR(IF(INDEX('CFOG'!$M$10:$M$16,MATCH($F90,'CFOG'!$B$10:$B$16,0))="","Cell will autofill based on response",INDEX('CFOG'!$M$10:$M$16,MATCH($F90,'CFOG'!$B$10:$B$16,0))),"N/A")</f>
        <v/>
      </c>
      <c r="O90" s="52">
        <f>IFERROR(IF(INDEX('CFOG'!$M$23:$M$24,MATCH($F90,'CFOG'!$B$23:$B$24,0))="","Cell will autofill based on response",INDEX('CFOG'!$M$23:$M$24,MATCH($F90,'CFOG'!$B$23:$B$24,0))),"N/A")</f>
        <v/>
      </c>
      <c r="P90" s="52">
        <f>IFERROR(IF(INDEX('ESG'!$M$10:$M$17,MATCH($F90,'ESG'!$B$10:$B$17,0))="","Cell will autofill based on response",INDEX('ESG'!$M$10:$M$17,MATCH($F90,'ESG'!$B$10:$B$17,0))),"N/A")</f>
        <v/>
      </c>
      <c r="Q90" s="52">
        <f>IFERROR(IF(INDEX('CIOG'!$M$10:$M$14,MATCH($F90,'CIOG'!$B$10:$B$14,0))="","Cell will autofill based on response",INDEX('CIOG'!$M$10:$M$14,MATCH($F90,'CIOG'!$B$10:$B$14,0))),"N/A")</f>
        <v/>
      </c>
      <c r="R90" s="52">
        <f>IFERROR(IF(INDEX('MRE'!$M$10:$M$18,MATCH($F90,'MRE'!$B$10:$B$18,0))="","Cell will autofill based on response",INDEX('MRE'!$M$10:$M$18,MATCH($F90,'MRE'!$B$10:$B$18,0))),"N/A")</f>
        <v/>
      </c>
      <c r="S90" s="52">
        <f>IFERROR(IF(INDEX('AC&amp;M'!$M$10:$M$14,MATCH($F90,'AC&amp;M'!$B$10:$B$14,0))="","Cell will autofill based on response",INDEX('AC&amp;M'!$M$10:$M$14,MATCH($F90,'AC&amp;M'!$B$10:$B$14,0))),"N/A")</f>
        <v/>
      </c>
      <c r="T90" s="52">
        <f>IFERROR(IF(INDEX('GCE'!$M$10:$M$12,MATCH($F90,'GCE'!$B$10:$B$12,0))="","Cell will autofill based on response",INDEX('GCE'!$M$10:$M$12,MATCH($F90,'GCE'!$B$10:$B$12,0))),"N/A")</f>
        <v/>
      </c>
      <c r="U90" s="52">
        <f>IFERROR(IF(INDEX('Education'!$M$10:$M$13,MATCH($F90,'Education'!$B$10:$B$13,0))="","Cell will autofill based on response",INDEX('Education'!$M$10:$M$13,MATCH($F90,'Education'!$B$10:$B$13,0))),"N/A")</f>
        <v/>
      </c>
      <c r="V90" s="52">
        <f>IFERROR(IF(INDEX('SaSS'!$M$10:$M$12,MATCH($F90,'SaSS'!$B$10:$B$12,0))="","Cell will autofill based on response",INDEX('SaSS'!$M$10:$M$12,MATCH($F90,'SaSS'!$B$10:$B$12,0))),"N/A")</f>
        <v/>
      </c>
      <c r="W90" s="52">
        <f>IFERROR(IF(INDEX('Indigenous'!$M$10:$M$11,MATCH($F90,'Indigenous'!$B$10:$B$11,0))="","Cell will autofill based on response",INDEX('Indigenous'!$M$10:$M$11,MATCH($F90,'Indigenous'!$B$10:$B$11,0))),"N/A")</f>
        <v/>
      </c>
      <c r="X90" s="52">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2">
        <f>IFERROR(IF(INDEX('Faculties'!$N$10:$N$19,MATCH($F91,'Faculties'!$B$10:$B$19,0))="","Cell will autofill based on response",INDEX('Faculties'!$N$10:$N$19,MATCH($F91,'Faculties'!$B$10:$B$19,0))),"N/A")</f>
        <v/>
      </c>
      <c r="I91" s="52">
        <f>IFERROR(IF(INDEX('Faculties'!$N$26:$N$35,MATCH($F91,'Faculties'!$B$26:$B$35,0))="","Cell will autofill based on response",INDEX('Faculties'!$N$26:$N$35,MATCH($F91,'Faculties'!$B$26:$B$35,0))),"N/A")</f>
        <v/>
      </c>
      <c r="J91" s="52">
        <f>IFERROR(IF(INDEX('Faculties'!$N$42:$N$51,MATCH($F91,'Faculties'!$B$42:$B$51,0))="","Cell will autofill based on response",INDEX('Faculties'!$N$42:$N$51,MATCH($F91,'Faculties'!$B$42:$B$51,0))),"N/A")</f>
        <v/>
      </c>
      <c r="K91" s="52">
        <f>IFERROR(IF(INDEX('Faculties'!$N$58:$N$67,MATCH($F91,'Faculties'!$B$58:$B$67,0))="","Cell will autofill based on response",INDEX('Faculties'!$N$58:$N$67,MATCH($F91,'Faculties'!$B$58:$B$67,0))),"N/A")</f>
        <v/>
      </c>
      <c r="L91" s="52">
        <f>IFERROR(IF(INDEX('CI&amp;S'!$N$10:$N$15,MATCH($F91,'CI&amp;S'!$B$10:$B$15,0))="","Cell will autofill based on response",INDEX('CI&amp;S'!$N$10:$N$15,MATCH($F91,'CI&amp;S'!$B$10:$B$15,0))),"N/A")</f>
        <v/>
      </c>
      <c r="M91" s="52">
        <f>IFERROR(IF(INDEX('CI&amp;S'!$N$22:$N$36,MATCH($F91,'CI&amp;S'!$B$22:$B$36,0))="","Cell will autofill based on response",INDEX('CI&amp;S'!$N$22:$N$36,MATCH($F91,'CI&amp;S'!$B$22:$B$36,0))),"N/A")</f>
        <v/>
      </c>
      <c r="N91" s="52">
        <f>IFERROR(IF(INDEX('CFOG'!$N$10:$N$16,MATCH($F91,'CFOG'!$B$10:$B$16,0))="","Cell will autofill based on response",INDEX('CFOG'!$N$10:$N$16,MATCH($F91,'CFOG'!$B$10:$B$16,0))),"N/A")</f>
        <v/>
      </c>
      <c r="O91" s="52">
        <f>IFERROR(IF(INDEX('CFOG'!$N$23:$N$24,MATCH($F91,'CFOG'!$B$23:$B$24,0))="","Cell will autofill based on response",INDEX('CFOG'!$N$23:$N$24,MATCH($F91,'CFOG'!$B$23:$B$24,0))),"N/A")</f>
        <v/>
      </c>
      <c r="P91" s="52">
        <f>IFERROR(IF(INDEX('ESG'!$N$10:$N$17,MATCH($F91,'ESG'!$B$10:$B$17,0))="","Cell will autofill based on response",INDEX('ESG'!$N$10:$N$17,MATCH($F91,'ESG'!$B$10:$B$17,0))),"N/A")</f>
        <v/>
      </c>
      <c r="Q91" s="52">
        <f>IFERROR(IF(INDEX('CIOG'!$N$10:$N$14,MATCH($F91,'CIOG'!$B$10:$B$14,0))="","Cell will autofill based on response",INDEX('CIOG'!$N$10:$N$14,MATCH($F91,'CIOG'!$B$10:$B$14,0))),"N/A")</f>
        <v/>
      </c>
      <c r="R91" s="52">
        <f>IFERROR(IF(INDEX('MRE'!$N$10:$N$18,MATCH($F91,'MRE'!$B$10:$B$18,0))="","Cell will autofill based on response",INDEX('MRE'!$N$10:$N$18,MATCH($F91,'MRE'!$B$10:$B$18,0))),"N/A")</f>
        <v/>
      </c>
      <c r="S91" s="52">
        <f>IFERROR(IF(INDEX('AC&amp;M'!$N$10:$N$14,MATCH($F91,'AC&amp;M'!$B$10:$B$14,0))="","Cell will autofill based on response",INDEX('AC&amp;M'!$N$10:$N$14,MATCH($F91,'AC&amp;M'!$B$10:$B$14,0))),"N/A")</f>
        <v/>
      </c>
      <c r="T91" s="52">
        <f>IFERROR(IF(INDEX('GCE'!$N$10:$N$12,MATCH($F91,'GCE'!$B$10:$B$12,0))="","Cell will autofill based on response",INDEX('GCE'!$N$10:$N$12,MATCH($F91,'GCE'!$B$10:$B$12,0))),"N/A")</f>
        <v/>
      </c>
      <c r="U91" s="52">
        <f>IFERROR(IF(INDEX('Education'!$N$10:$N$13,MATCH($F91,'Education'!$B$10:$B$13,0))="","Cell will autofill based on response",INDEX('Education'!$N$10:$N$13,MATCH($F91,'Education'!$B$10:$B$13,0))),"N/A")</f>
        <v/>
      </c>
      <c r="V91" s="52">
        <f>IFERROR(IF(INDEX('SaSS'!$N$10:$N$12,MATCH($F91,'SaSS'!$B$10:$B$12,0))="","Cell will autofill based on response",INDEX('SaSS'!$N$10:$N$12,MATCH($F91,'SaSS'!$B$10:$B$12,0))),"N/A")</f>
        <v/>
      </c>
      <c r="W91" s="52">
        <f>IFERROR(IF(INDEX('Indigenous'!$N$10:$N$11,MATCH($F91,'Indigenous'!$B$10:$B$11,0))="","Cell will autofill based on response",INDEX('Indigenous'!$N$10:$N$11,MATCH($F91,'Indigenous'!$B$10:$B$11,0))),"N/A")</f>
        <v/>
      </c>
      <c r="X91" s="52">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2">
        <f>IFERROR(IF(INDEX('Faculties'!$O$10:$O$19,MATCH($F92,'Faculties'!$B$10:$B$19,0))="","Cell will autofill based on response",INDEX('Faculties'!$O$10:$O$19,MATCH($F92,'Faculties'!$B$10:$B$19,0))),"N/A")</f>
        <v/>
      </c>
      <c r="I92" s="52">
        <f>IFERROR(IF(INDEX('Faculties'!$O$26:$O$35,MATCH($F92,'Faculties'!$B$26:$B$35,0))="","Cell will autofill based on response",INDEX('Faculties'!$O$26:$O$35,MATCH($F92,'Faculties'!$B$26:$B$35,0))),"N/A")</f>
        <v/>
      </c>
      <c r="J92" s="52">
        <f>IFERROR(IF(INDEX('Faculties'!$O$42:$O$51,MATCH($F92,'Faculties'!$B$42:$B$51,0))="","Cell will autofill based on response",INDEX('Faculties'!$O$42:$O$51,MATCH($F92,'Faculties'!$B$42:$B$51,0))),"N/A")</f>
        <v/>
      </c>
      <c r="K92" s="52">
        <f>IFERROR(IF(INDEX('Faculties'!$O$58:$O$67,MATCH($F92,'Faculties'!$B$58:$B$67,0))="","Cell will autofill based on response",INDEX('Faculties'!$O$58:$O$67,MATCH($F92,'Faculties'!$B$58:$B$67,0))),"N/A")</f>
        <v/>
      </c>
      <c r="L92" s="52">
        <f>IFERROR(IF(INDEX('CI&amp;S'!$O$10:$O$15,MATCH($F92,'CI&amp;S'!$B$10:$B$15,0))="","Cell will autofill based on response",INDEX('CI&amp;S'!$O$10:$O$15,MATCH($F92,'CI&amp;S'!$B$10:$B$15,0))),"N/A")</f>
        <v/>
      </c>
      <c r="M92" s="52">
        <f>IFERROR(IF(INDEX('CI&amp;S'!$O$22:$O$36,MATCH($F92,'CI&amp;S'!$B$22:$B$36,0))="","Cell will autofill based on response",INDEX('CI&amp;S'!$O$22:$O$36,MATCH($F92,'CI&amp;S'!$B$22:$B$36,0))),"N/A")</f>
        <v/>
      </c>
      <c r="N92" s="52">
        <f>IFERROR(IF(INDEX('CFOG'!$O$10:$O$16,MATCH($F92,'CFOG'!$B$10:$B$16,0))="","Cell will autofill based on response",INDEX('CFOG'!$O$10:$O$16,MATCH($F92,'CFOG'!$B$10:$B$16,0))),"N/A")</f>
        <v/>
      </c>
      <c r="O92" s="52">
        <f>IFERROR(IF(INDEX('CFOG'!$O$23:$O$24,MATCH($F92,'CFOG'!$B$23:$B$24,0))="","Cell will autofill based on response",INDEX('CFOG'!$O$23:$O$24,MATCH($F92,'CFOG'!$B$23:$B$24,0))),"N/A")</f>
        <v/>
      </c>
      <c r="P92" s="52">
        <f>IFERROR(IF(INDEX('ESG'!$O$10:$O$17,MATCH($F92,'ESG'!$B$10:$B$17,0))="","Cell will autofill based on response",INDEX('ESG'!$O$10:$O$17,MATCH($F92,'ESG'!$B$10:$B$17,0))),"N/A")</f>
        <v/>
      </c>
      <c r="Q92" s="52">
        <f>IFERROR(IF(INDEX('CIOG'!$O$10:$O$14,MATCH($F92,'CIOG'!$B$10:$B$14,0))="","Cell will autofill based on response",INDEX('CIOG'!$O$10:$O$14,MATCH($F92,'CIOG'!$B$10:$B$14,0))),"N/A")</f>
        <v/>
      </c>
      <c r="R92" s="52">
        <f>IFERROR(IF(INDEX('MRE'!$O$10:$O$18,MATCH($F92,'MRE'!$B$10:$B$18,0))="","Cell will autofill based on response",INDEX('MRE'!$O$10:$O$18,MATCH($F92,'MRE'!$B$10:$B$18,0))),"N/A")</f>
        <v/>
      </c>
      <c r="S92" s="52">
        <f>IFERROR(IF(INDEX('AC&amp;M'!$O$10:$O$14,MATCH($F92,'AC&amp;M'!$B$10:$B$14,0))="","Cell will autofill based on response",INDEX('AC&amp;M'!$O$10:$O$14,MATCH($F92,'AC&amp;M'!$B$10:$B$14,0))),"N/A")</f>
        <v/>
      </c>
      <c r="T92" s="52">
        <f>IFERROR(IF(INDEX('GCE'!$O$10:$O$12,MATCH($F92,'GCE'!$B$10:$B$12,0))="","Cell will autofill based on response",INDEX('GCE'!$O$10:$O$12,MATCH($F92,'GCE'!$B$10:$B$12,0))),"N/A")</f>
        <v/>
      </c>
      <c r="U92" s="52">
        <f>IFERROR(IF(INDEX('Education'!$O$10:$O$13,MATCH($F92,'Education'!$B$10:$B$13,0))="","Cell will autofill based on response",INDEX('Education'!$O$10:$O$13,MATCH($F92,'Education'!$B$10:$B$13,0))),"N/A")</f>
        <v/>
      </c>
      <c r="V92" s="52">
        <f>IFERROR(IF(INDEX('SaSS'!$O$10:$O$12,MATCH($F92,'SaSS'!$B$10:$B$12,0))="","Cell will autofill based on response",INDEX('SaSS'!$O$10:$O$12,MATCH($F92,'SaSS'!$B$10:$B$12,0))),"N/A")</f>
        <v/>
      </c>
      <c r="W92" s="52">
        <f>IFERROR(IF(INDEX('Indigenous'!$O$10:$O$11,MATCH($F92,'Indigenous'!$B$10:$B$11,0))="","Cell will autofill based on response",INDEX('Indigenous'!$O$10:$O$11,MATCH($F92,'Indigenous'!$B$10:$B$11,0))),"N/A")</f>
        <v/>
      </c>
      <c r="X92" s="52">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2">
        <f>IFERROR(IF(INDEX('Faculties'!$P$10:$P$19,MATCH($F93,'Faculties'!$B$10:$B$19,0))="","Cell will autofill based on response",INDEX('Faculties'!$P$10:$P$19,MATCH($F93,'Faculties'!$B$10:$B$19,0))),"N/A")</f>
        <v/>
      </c>
      <c r="I93" s="52">
        <f>IFERROR(IF(INDEX('Faculties'!$P$26:$P$35,MATCH($F93,'Faculties'!$B$26:$B$35,0))="","Cell will autofill based on response",INDEX('Faculties'!$P$26:$P$35,MATCH($F93,'Faculties'!$B$26:$B$35,0))),"N/A")</f>
        <v/>
      </c>
      <c r="J93" s="52">
        <f>IFERROR(IF(INDEX('Faculties'!$P$42:$P$51,MATCH($F93,'Faculties'!$B$42:$B$51,0))="","Cell will autofill based on response",INDEX('Faculties'!$P$42:$P$51,MATCH($F93,'Faculties'!$B$42:$B$51,0))),"N/A")</f>
        <v/>
      </c>
      <c r="K93" s="52">
        <f>IFERROR(IF(INDEX('Faculties'!$P$58:$P$67,MATCH($F93,'Faculties'!$B$58:$B$67,0))="","Cell will autofill based on response",INDEX('Faculties'!$P$58:$P$67,MATCH($F93,'Faculties'!$B$58:$B$67,0))),"N/A")</f>
        <v/>
      </c>
      <c r="L93" s="52">
        <f>IFERROR(IF(INDEX('CI&amp;S'!$P$10:$P$15,MATCH($F93,'CI&amp;S'!$B$10:$B$15,0))="","Cell will autofill based on response",INDEX('CI&amp;S'!$P$10:$P$15,MATCH($F93,'CI&amp;S'!$B$10:$B$15,0))),"N/A")</f>
        <v/>
      </c>
      <c r="M93" s="52">
        <f>IFERROR(IF(INDEX('CI&amp;S'!$P$22:$P$36,MATCH($F93,'CI&amp;S'!$B$22:$B$36,0))="","Cell will autofill based on response",INDEX('CI&amp;S'!$P$22:$P$36,MATCH($F93,'CI&amp;S'!$B$22:$B$36,0))),"N/A")</f>
        <v/>
      </c>
      <c r="N93" s="52">
        <f>IFERROR(IF(INDEX('CFOG'!$P$10:$P$16,MATCH($F93,'CFOG'!$B$10:$B$16,0))="","Cell will autofill based on response",INDEX('CFOG'!$P$10:$P$16,MATCH($F93,'CFOG'!$B$10:$B$16,0))),"N/A")</f>
        <v/>
      </c>
      <c r="O93" s="52">
        <f>IFERROR(IF(INDEX('CFOG'!$P$23:$P$24,MATCH($F93,'CFOG'!$B$23:$B$24,0))="","Cell will autofill based on response",INDEX('CFOG'!$P$23:$P$24,MATCH($F93,'CFOG'!$B$23:$B$24,0))),"N/A")</f>
        <v/>
      </c>
      <c r="P93" s="52">
        <f>IFERROR(IF(INDEX('ESG'!$P$10:$P$17,MATCH($F93,'ESG'!$B$10:$B$17,0))="","Cell will autofill based on response",INDEX('ESG'!$P$10:$P$17,MATCH($F93,'ESG'!$B$10:$B$17,0))),"N/A")</f>
        <v/>
      </c>
      <c r="Q93" s="52">
        <f>IFERROR(IF(INDEX('CIOG'!$P$10:$P$14,MATCH($F93,'CIOG'!$B$10:$B$14,0))="","Cell will autofill based on response",INDEX('CIOG'!$P$10:$P$14,MATCH($F93,'CIOG'!$B$10:$B$14,0))),"N/A")</f>
        <v/>
      </c>
      <c r="R93" s="52">
        <f>IFERROR(IF(INDEX('MRE'!$P$10:$P$18,MATCH($F93,'MRE'!$B$10:$B$18,0))="","Cell will autofill based on response",INDEX('MRE'!$P$10:$P$18,MATCH($F93,'MRE'!$B$10:$B$18,0))),"N/A")</f>
        <v/>
      </c>
      <c r="S93" s="52">
        <f>IFERROR(IF(INDEX('AC&amp;M'!$P$10:$P$14,MATCH($F93,'AC&amp;M'!$B$10:$B$14,0))="","Cell will autofill based on response",INDEX('AC&amp;M'!$P$10:$P$14,MATCH($F93,'AC&amp;M'!$B$10:$B$14,0))),"N/A")</f>
        <v/>
      </c>
      <c r="T93" s="52">
        <f>IFERROR(IF(INDEX('GCE'!$P$10:$P$12,MATCH($F93,'GCE'!$B$10:$B$12,0))="","Cell will autofill based on response",INDEX('GCE'!$P$10:$P$12,MATCH($F93,'GCE'!$B$10:$B$12,0))),"N/A")</f>
        <v/>
      </c>
      <c r="U93" s="52">
        <f>IFERROR(IF(INDEX('Education'!$P$10:$P$13,MATCH($F93,'Education'!$B$10:$B$13,0))="","Cell will autofill based on response",INDEX('Education'!$P$10:$P$13,MATCH($F93,'Education'!$B$10:$B$13,0))),"N/A")</f>
        <v/>
      </c>
      <c r="V93" s="52">
        <f>IFERROR(IF(INDEX('SaSS'!$P$10:$P$12,MATCH($F93,'SaSS'!$B$10:$B$12,0))="","Cell will autofill based on response",INDEX('SaSS'!$P$10:$P$12,MATCH($F93,'SaSS'!$B$10:$B$12,0))),"N/A")</f>
        <v/>
      </c>
      <c r="W93" s="52">
        <f>IFERROR(IF(INDEX('Indigenous'!$P$10:$P$11,MATCH($F93,'Indigenous'!$B$10:$B$11,0))="","Cell will autofill based on response",INDEX('Indigenous'!$P$10:$P$11,MATCH($F93,'Indigenous'!$B$10:$B$11,0))),"N/A")</f>
        <v/>
      </c>
      <c r="X93" s="52">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2">
        <f>IFERROR(IF(INDEX('Faculties'!$Q$10:$Q$19,MATCH($F94,'Faculties'!$B$10:$B$19,0))="","Cell will autofill based on response",INDEX('Faculties'!$Q$10:$Q$19,MATCH($F94,'Faculties'!$B$10:$B$19,0))),"N/A")</f>
        <v/>
      </c>
      <c r="I94" s="52">
        <f>IFERROR(IF(INDEX('Faculties'!$Q$26:$Q$35,MATCH($F94,'Faculties'!$B$26:$B$35,0))="","Cell will autofill based on response",INDEX('Faculties'!$Q$26:$Q$35,MATCH($F94,'Faculties'!$B$26:$B$35,0))),"N/A")</f>
        <v/>
      </c>
      <c r="J94" s="52">
        <f>IFERROR(IF(INDEX('Faculties'!$Q$42:$Q$51,MATCH($F94,'Faculties'!$B$42:$B$51,0))="","Cell will autofill based on response",INDEX('Faculties'!$Q$42:$Q$51,MATCH($F94,'Faculties'!$B$42:$B$51,0))),"N/A")</f>
        <v/>
      </c>
      <c r="K94" s="52">
        <f>IFERROR(IF(INDEX('Faculties'!$Q$58:$Q$67,MATCH($F94,'Faculties'!$B$58:$B$67,0))="","Cell will autofill based on response",INDEX('Faculties'!$Q$58:$Q$67,MATCH($F94,'Faculties'!$B$58:$B$67,0))),"N/A")</f>
        <v/>
      </c>
      <c r="L94" s="52">
        <f>IFERROR(IF(INDEX('CI&amp;S'!$Q$10:$Q$15,MATCH($F94,'CI&amp;S'!$B$10:$B$15,0))="","Cell will autofill based on response",INDEX('CI&amp;S'!$Q$10:$Q$15,MATCH($F94,'CI&amp;S'!$B$10:$B$15,0))),"N/A")</f>
        <v/>
      </c>
      <c r="M94" s="52">
        <f>IFERROR(IF(INDEX('CI&amp;S'!$Q$22:$Q$36,MATCH($F94,'CI&amp;S'!$B$22:$B$36,0))="","Cell will autofill based on response",INDEX('CI&amp;S'!$Q$22:$Q$36,MATCH($F94,'CI&amp;S'!$B$22:$B$36,0))),"N/A")</f>
        <v/>
      </c>
      <c r="N94" s="52">
        <f>IFERROR(IF(INDEX('CFOG'!$Q$10:$Q$16,MATCH($F94,'CFOG'!$B$10:$B$16,0))="","Cell will autofill based on response",INDEX('CFOG'!$Q$10:$Q$16,MATCH($F94,'CFOG'!$B$10:$B$16,0))),"N/A")</f>
        <v/>
      </c>
      <c r="O94" s="52">
        <f>IFERROR(IF(INDEX('CFOG'!$Q$23:$Q$24,MATCH($F94,'CFOG'!$B$23:$B$24,0))="","Cell will autofill based on response",INDEX('CFOG'!$Q$23:$Q$24,MATCH($F94,'CFOG'!$B$23:$B$24,0))),"N/A")</f>
        <v/>
      </c>
      <c r="P94" s="52">
        <f>IFERROR(IF(INDEX('ESG'!$Q$10:$Q$17,MATCH($F94,'ESG'!$B$10:$B$17,0))="","Cell will autofill based on response",INDEX('ESG'!$Q$10:$Q$17,MATCH($F94,'ESG'!$B$10:$B$17,0))),"N/A")</f>
        <v/>
      </c>
      <c r="Q94" s="52">
        <f>IFERROR(IF(INDEX('CIOG'!$Q$10:$Q$14,MATCH($F94,'CIOG'!$B$10:$B$14,0))="","Cell will autofill based on response",INDEX('CIOG'!$Q$10:$Q$14,MATCH($F94,'CIOG'!$B$10:$B$14,0))),"N/A")</f>
        <v/>
      </c>
      <c r="R94" s="52">
        <f>IFERROR(IF(INDEX('MRE'!$Q$10:$Q$18,MATCH($F94,'MRE'!$B$10:$B$18,0))="","Cell will autofill based on response",INDEX('MRE'!$Q$10:$Q$18,MATCH($F94,'MRE'!$B$10:$B$18,0))),"N/A")</f>
        <v/>
      </c>
      <c r="S94" s="52">
        <f>IFERROR(IF(INDEX('AC&amp;M'!$Q$10:$Q$14,MATCH($F94,'AC&amp;M'!$B$10:$B$14,0))="","Cell will autofill based on response",INDEX('AC&amp;M'!$Q$10:$Q$14,MATCH($F94,'AC&amp;M'!$B$10:$B$14,0))),"N/A")</f>
        <v/>
      </c>
      <c r="T94" s="52">
        <f>IFERROR(IF(INDEX('GCE'!$Q$10:$Q$12,MATCH($F94,'GCE'!$B$10:$B$12,0))="","Cell will autofill based on response",INDEX('GCE'!$Q$10:$Q$12,MATCH($F94,'GCE'!$B$10:$B$12,0))),"N/A")</f>
        <v/>
      </c>
      <c r="U94" s="52">
        <f>IFERROR(IF(INDEX('Education'!$Q$10:$Q$13,MATCH($F94,'Education'!$B$10:$B$13,0))="","Cell will autofill based on response",INDEX('Education'!$Q$10:$Q$13,MATCH($F94,'Education'!$B$10:$B$13,0))),"N/A")</f>
        <v/>
      </c>
      <c r="V94" s="52">
        <f>IFERROR(IF(INDEX('SaSS'!$Q$10:$Q$12,MATCH($F94,'SaSS'!$B$10:$B$12,0))="","Cell will autofill based on response",INDEX('SaSS'!$Q$10:$Q$12,MATCH($F94,'SaSS'!$B$10:$B$12,0))),"N/A")</f>
        <v/>
      </c>
      <c r="W94" s="52">
        <f>IFERROR(IF(INDEX('Indigenous'!$Q$10:$Q$11,MATCH($F94,'Indigenous'!$B$10:$B$11,0))="","Cell will autofill based on response",INDEX('Indigenous'!$Q$10:$Q$11,MATCH($F94,'Indigenous'!$B$10:$B$11,0))),"N/A")</f>
        <v/>
      </c>
      <c r="X94" s="52">
        <f>IFERROR(IF(INDEX('L&amp;R'!$Q$10:$Q$11,MATCH($F94,'L&amp;R'!$B$10:$B$11,0))="","Cell will autofill based on response",INDEX('L&amp;R'!$Q$10:$Q$11,MATCH($F94,'L&amp;R'!$B$10:$B$11,0))),"N/A")</f>
        <v/>
      </c>
    </row>
    <row r="95">
      <c r="A95">
        <f>F95&amp;"|"&amp;G95</f>
        <v/>
      </c>
      <c r="B95" s="7" t="inlineStr">
        <is>
          <t>TR3(d)</t>
        </is>
      </c>
      <c r="C95" s="50" t="inlineStr">
        <is>
          <t>Transformational research</t>
        </is>
      </c>
      <c r="D95" s="50" t="inlineStr">
        <is>
          <t>Expert assessment of progress in embedding sustainable research practices across the institution.</t>
        </is>
      </c>
      <c r="E95" s="50" t="inlineStr">
        <is>
          <t>Faculty/Portfolio’s assessment of progress in embedding sustainable research practices, highlighting areas of strong progress, remaining gaps and priority actions for further improvement.</t>
        </is>
      </c>
      <c r="F95" s="50" t="inlineStr">
        <is>
          <t>TR3(d)</t>
        </is>
      </c>
      <c r="G95" s="50" t="inlineStr">
        <is>
          <t>Confirm end-2026 target status</t>
        </is>
      </c>
      <c r="H95" s="52">
        <f>IFERROR(IF(INDEX('Faculties'!$L$10:$L$19,MATCH($F95,'Faculties'!$B$10:$B$19,0))="","Cell will autofill based on response",INDEX('Faculties'!$L$10:$L$19,MATCH($F95,'Faculties'!$B$10:$B$19,0))),"N/A")</f>
        <v/>
      </c>
      <c r="I95" s="52">
        <f>IFERROR(IF(INDEX('Faculties'!$L$26:$L$35,MATCH($F95,'Faculties'!$B$26:$B$35,0))="","Cell will autofill based on response",INDEX('Faculties'!$L$26:$L$35,MATCH($F95,'Faculties'!$B$26:$B$35,0))),"N/A")</f>
        <v/>
      </c>
      <c r="J95" s="52">
        <f>IFERROR(IF(INDEX('Faculties'!$L$42:$L$51,MATCH($F95,'Faculties'!$B$42:$B$51,0))="","Cell will autofill based on response",INDEX('Faculties'!$L$42:$L$51,MATCH($F95,'Faculties'!$B$42:$B$51,0))),"N/A")</f>
        <v/>
      </c>
      <c r="K95" s="52">
        <f>IFERROR(IF(INDEX('Faculties'!$L$58:$L$67,MATCH($F95,'Faculties'!$B$58:$B$67,0))="","Cell will autofill based on response",INDEX('Faculties'!$L$58:$L$67,MATCH($F95,'Faculties'!$B$58:$B$67,0))),"N/A")</f>
        <v/>
      </c>
      <c r="L95" s="52">
        <f>IFERROR(IF(INDEX('CI&amp;S'!$L$10:$L$15,MATCH($F95,'CI&amp;S'!$B$10:$B$15,0))="","Cell will autofill based on response",INDEX('CI&amp;S'!$L$10:$L$15,MATCH($F95,'CI&amp;S'!$B$10:$B$15,0))),"N/A")</f>
        <v/>
      </c>
      <c r="M95" s="52">
        <f>IFERROR(IF(INDEX('CI&amp;S'!$L$22:$L$36,MATCH($F95,'CI&amp;S'!$B$22:$B$36,0))="","Cell will autofill based on response",INDEX('CI&amp;S'!$L$22:$L$36,MATCH($F95,'CI&amp;S'!$B$22:$B$36,0))),"N/A")</f>
        <v/>
      </c>
      <c r="N95" s="52">
        <f>IFERROR(IF(INDEX('CFOG'!$L$10:$L$16,MATCH($F95,'CFOG'!$B$10:$B$16,0))="","Cell will autofill based on response",INDEX('CFOG'!$L$10:$L$16,MATCH($F95,'CFOG'!$B$10:$B$16,0))),"N/A")</f>
        <v/>
      </c>
      <c r="O95" s="52">
        <f>IFERROR(IF(INDEX('CFOG'!$L$23:$L$24,MATCH($F95,'CFOG'!$B$23:$B$24,0))="","Cell will autofill based on response",INDEX('CFOG'!$L$23:$L$24,MATCH($F95,'CFOG'!$B$23:$B$24,0))),"N/A")</f>
        <v/>
      </c>
      <c r="P95" s="52">
        <f>IFERROR(IF(INDEX('ESG'!$L$10:$L$17,MATCH($F95,'ESG'!$B$10:$B$17,0))="","Cell will autofill based on response",INDEX('ESG'!$L$10:$L$17,MATCH($F95,'ESG'!$B$10:$B$17,0))),"N/A")</f>
        <v/>
      </c>
      <c r="Q95" s="52">
        <f>IFERROR(IF(INDEX('CIOG'!$L$10:$L$14,MATCH($F95,'CIOG'!$B$10:$B$14,0))="","Cell will autofill based on response",INDEX('CIOG'!$L$10:$L$14,MATCH($F95,'CIOG'!$B$10:$B$14,0))),"N/A")</f>
        <v/>
      </c>
      <c r="R95" s="52">
        <f>IFERROR(IF(INDEX('MRE'!$L$10:$L$18,MATCH($F95,'MRE'!$B$10:$B$18,0))="","Cell will autofill based on response",INDEX('MRE'!$L$10:$L$18,MATCH($F95,'MRE'!$B$10:$B$18,0))),"N/A")</f>
        <v/>
      </c>
      <c r="S95" s="52">
        <f>IFERROR(IF(INDEX('AC&amp;M'!$L$10:$L$14,MATCH($F95,'AC&amp;M'!$B$10:$B$14,0))="","Cell will autofill based on response",INDEX('AC&amp;M'!$L$10:$L$14,MATCH($F95,'AC&amp;M'!$B$10:$B$14,0))),"N/A")</f>
        <v/>
      </c>
      <c r="T95" s="52">
        <f>IFERROR(IF(INDEX('GCE'!$L$10:$L$12,MATCH($F95,'GCE'!$B$10:$B$12,0))="","Cell will autofill based on response",INDEX('GCE'!$L$10:$L$12,MATCH($F95,'GCE'!$B$10:$B$12,0))),"N/A")</f>
        <v/>
      </c>
      <c r="U95" s="52">
        <f>IFERROR(IF(INDEX('Education'!$L$10:$L$13,MATCH($F95,'Education'!$B$10:$B$13,0))="","Cell will autofill based on response",INDEX('Education'!$L$10:$L$13,MATCH($F95,'Education'!$B$10:$B$13,0))),"N/A")</f>
        <v/>
      </c>
      <c r="V95" s="52">
        <f>IFERROR(IF(INDEX('SaSS'!$L$10:$L$12,MATCH($F95,'SaSS'!$B$10:$B$12,0))="","Cell will autofill based on response",INDEX('SaSS'!$L$10:$L$12,MATCH($F95,'SaSS'!$B$10:$B$12,0))),"N/A")</f>
        <v/>
      </c>
      <c r="W95" s="52">
        <f>IFERROR(IF(INDEX('Indigenous'!$L$10:$L$11,MATCH($F95,'Indigenous'!$B$10:$B$11,0))="","Cell will autofill based on response",INDEX('Indigenous'!$L$10:$L$11,MATCH($F95,'Indigenous'!$B$10:$B$11,0))),"N/A")</f>
        <v/>
      </c>
      <c r="X95" s="52">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3">
        <f>IF(AF95&gt;0,AE95/AF95,"No valid responses to date")</f>
        <v/>
      </c>
      <c r="AH95" s="10">
        <f>IF(ISNUMBER(AG95),INDEX(Lists!$G$2:$G$5,MATCH(ROUND(AG95,0),Lists!$H$2:$H$5,0)),"")</f>
        <v/>
      </c>
      <c r="AI95" s="54">
        <f>IF(AF95&gt;0,AD95/AF95,"")</f>
        <v/>
      </c>
      <c r="AJ95" s="54">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2">
        <f>IFERROR(IF(INDEX('Faculties'!$M$10:$M$19,MATCH($F96,'Faculties'!$B$10:$B$19,0))="","Cell will autofill based on response",INDEX('Faculties'!$M$10:$M$19,MATCH($F96,'Faculties'!$B$10:$B$19,0))),"N/A")</f>
        <v/>
      </c>
      <c r="I96" s="52">
        <f>IFERROR(IF(INDEX('Faculties'!$M$26:$M$35,MATCH($F96,'Faculties'!$B$26:$B$35,0))="","Cell will autofill based on response",INDEX('Faculties'!$M$26:$M$35,MATCH($F96,'Faculties'!$B$26:$B$35,0))),"N/A")</f>
        <v/>
      </c>
      <c r="J96" s="52">
        <f>IFERROR(IF(INDEX('Faculties'!$M$42:$M$51,MATCH($F96,'Faculties'!$B$42:$B$51,0))="","Cell will autofill based on response",INDEX('Faculties'!$M$42:$M$51,MATCH($F96,'Faculties'!$B$42:$B$51,0))),"N/A")</f>
        <v/>
      </c>
      <c r="K96" s="52">
        <f>IFERROR(IF(INDEX('Faculties'!$M$58:$M$67,MATCH($F96,'Faculties'!$B$58:$B$67,0))="","Cell will autofill based on response",INDEX('Faculties'!$M$58:$M$67,MATCH($F96,'Faculties'!$B$58:$B$67,0))),"N/A")</f>
        <v/>
      </c>
      <c r="L96" s="52">
        <f>IFERROR(IF(INDEX('CI&amp;S'!$M$10:$M$15,MATCH($F96,'CI&amp;S'!$B$10:$B$15,0))="","Cell will autofill based on response",INDEX('CI&amp;S'!$M$10:$M$15,MATCH($F96,'CI&amp;S'!$B$10:$B$15,0))),"N/A")</f>
        <v/>
      </c>
      <c r="M96" s="52">
        <f>IFERROR(IF(INDEX('CI&amp;S'!$M$22:$M$36,MATCH($F96,'CI&amp;S'!$B$22:$B$36,0))="","Cell will autofill based on response",INDEX('CI&amp;S'!$M$22:$M$36,MATCH($F96,'CI&amp;S'!$B$22:$B$36,0))),"N/A")</f>
        <v/>
      </c>
      <c r="N96" s="52">
        <f>IFERROR(IF(INDEX('CFOG'!$M$10:$M$16,MATCH($F96,'CFOG'!$B$10:$B$16,0))="","Cell will autofill based on response",INDEX('CFOG'!$M$10:$M$16,MATCH($F96,'CFOG'!$B$10:$B$16,0))),"N/A")</f>
        <v/>
      </c>
      <c r="O96" s="52">
        <f>IFERROR(IF(INDEX('CFOG'!$M$23:$M$24,MATCH($F96,'CFOG'!$B$23:$B$24,0))="","Cell will autofill based on response",INDEX('CFOG'!$M$23:$M$24,MATCH($F96,'CFOG'!$B$23:$B$24,0))),"N/A")</f>
        <v/>
      </c>
      <c r="P96" s="52">
        <f>IFERROR(IF(INDEX('ESG'!$M$10:$M$17,MATCH($F96,'ESG'!$B$10:$B$17,0))="","Cell will autofill based on response",INDEX('ESG'!$M$10:$M$17,MATCH($F96,'ESG'!$B$10:$B$17,0))),"N/A")</f>
        <v/>
      </c>
      <c r="Q96" s="52">
        <f>IFERROR(IF(INDEX('CIOG'!$M$10:$M$14,MATCH($F96,'CIOG'!$B$10:$B$14,0))="","Cell will autofill based on response",INDEX('CIOG'!$M$10:$M$14,MATCH($F96,'CIOG'!$B$10:$B$14,0))),"N/A")</f>
        <v/>
      </c>
      <c r="R96" s="52">
        <f>IFERROR(IF(INDEX('MRE'!$M$10:$M$18,MATCH($F96,'MRE'!$B$10:$B$18,0))="","Cell will autofill based on response",INDEX('MRE'!$M$10:$M$18,MATCH($F96,'MRE'!$B$10:$B$18,0))),"N/A")</f>
        <v/>
      </c>
      <c r="S96" s="52">
        <f>IFERROR(IF(INDEX('AC&amp;M'!$M$10:$M$14,MATCH($F96,'AC&amp;M'!$B$10:$B$14,0))="","Cell will autofill based on response",INDEX('AC&amp;M'!$M$10:$M$14,MATCH($F96,'AC&amp;M'!$B$10:$B$14,0))),"N/A")</f>
        <v/>
      </c>
      <c r="T96" s="52">
        <f>IFERROR(IF(INDEX('GCE'!$M$10:$M$12,MATCH($F96,'GCE'!$B$10:$B$12,0))="","Cell will autofill based on response",INDEX('GCE'!$M$10:$M$12,MATCH($F96,'GCE'!$B$10:$B$12,0))),"N/A")</f>
        <v/>
      </c>
      <c r="U96" s="52">
        <f>IFERROR(IF(INDEX('Education'!$M$10:$M$13,MATCH($F96,'Education'!$B$10:$B$13,0))="","Cell will autofill based on response",INDEX('Education'!$M$10:$M$13,MATCH($F96,'Education'!$B$10:$B$13,0))),"N/A")</f>
        <v/>
      </c>
      <c r="V96" s="52">
        <f>IFERROR(IF(INDEX('SaSS'!$M$10:$M$12,MATCH($F96,'SaSS'!$B$10:$B$12,0))="","Cell will autofill based on response",INDEX('SaSS'!$M$10:$M$12,MATCH($F96,'SaSS'!$B$10:$B$12,0))),"N/A")</f>
        <v/>
      </c>
      <c r="W96" s="52">
        <f>IFERROR(IF(INDEX('Indigenous'!$M$10:$M$11,MATCH($F96,'Indigenous'!$B$10:$B$11,0))="","Cell will autofill based on response",INDEX('Indigenous'!$M$10:$M$11,MATCH($F96,'Indigenous'!$B$10:$B$11,0))),"N/A")</f>
        <v/>
      </c>
      <c r="X96" s="52">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2">
        <f>IFERROR(IF(INDEX('Faculties'!$N$10:$N$19,MATCH($F97,'Faculties'!$B$10:$B$19,0))="","Cell will autofill based on response",INDEX('Faculties'!$N$10:$N$19,MATCH($F97,'Faculties'!$B$10:$B$19,0))),"N/A")</f>
        <v/>
      </c>
      <c r="I97" s="52">
        <f>IFERROR(IF(INDEX('Faculties'!$N$26:$N$35,MATCH($F97,'Faculties'!$B$26:$B$35,0))="","Cell will autofill based on response",INDEX('Faculties'!$N$26:$N$35,MATCH($F97,'Faculties'!$B$26:$B$35,0))),"N/A")</f>
        <v/>
      </c>
      <c r="J97" s="52">
        <f>IFERROR(IF(INDEX('Faculties'!$N$42:$N$51,MATCH($F97,'Faculties'!$B$42:$B$51,0))="","Cell will autofill based on response",INDEX('Faculties'!$N$42:$N$51,MATCH($F97,'Faculties'!$B$42:$B$51,0))),"N/A")</f>
        <v/>
      </c>
      <c r="K97" s="52">
        <f>IFERROR(IF(INDEX('Faculties'!$N$58:$N$67,MATCH($F97,'Faculties'!$B$58:$B$67,0))="","Cell will autofill based on response",INDEX('Faculties'!$N$58:$N$67,MATCH($F97,'Faculties'!$B$58:$B$67,0))),"N/A")</f>
        <v/>
      </c>
      <c r="L97" s="52">
        <f>IFERROR(IF(INDEX('CI&amp;S'!$N$10:$N$15,MATCH($F97,'CI&amp;S'!$B$10:$B$15,0))="","Cell will autofill based on response",INDEX('CI&amp;S'!$N$10:$N$15,MATCH($F97,'CI&amp;S'!$B$10:$B$15,0))),"N/A")</f>
        <v/>
      </c>
      <c r="M97" s="52">
        <f>IFERROR(IF(INDEX('CI&amp;S'!$N$22:$N$36,MATCH($F97,'CI&amp;S'!$B$22:$B$36,0))="","Cell will autofill based on response",INDEX('CI&amp;S'!$N$22:$N$36,MATCH($F97,'CI&amp;S'!$B$22:$B$36,0))),"N/A")</f>
        <v/>
      </c>
      <c r="N97" s="52">
        <f>IFERROR(IF(INDEX('CFOG'!$N$10:$N$16,MATCH($F97,'CFOG'!$B$10:$B$16,0))="","Cell will autofill based on response",INDEX('CFOG'!$N$10:$N$16,MATCH($F97,'CFOG'!$B$10:$B$16,0))),"N/A")</f>
        <v/>
      </c>
      <c r="O97" s="52">
        <f>IFERROR(IF(INDEX('CFOG'!$N$23:$N$24,MATCH($F97,'CFOG'!$B$23:$B$24,0))="","Cell will autofill based on response",INDEX('CFOG'!$N$23:$N$24,MATCH($F97,'CFOG'!$B$23:$B$24,0))),"N/A")</f>
        <v/>
      </c>
      <c r="P97" s="52">
        <f>IFERROR(IF(INDEX('ESG'!$N$10:$N$17,MATCH($F97,'ESG'!$B$10:$B$17,0))="","Cell will autofill based on response",INDEX('ESG'!$N$10:$N$17,MATCH($F97,'ESG'!$B$10:$B$17,0))),"N/A")</f>
        <v/>
      </c>
      <c r="Q97" s="52">
        <f>IFERROR(IF(INDEX('CIOG'!$N$10:$N$14,MATCH($F97,'CIOG'!$B$10:$B$14,0))="","Cell will autofill based on response",INDEX('CIOG'!$N$10:$N$14,MATCH($F97,'CIOG'!$B$10:$B$14,0))),"N/A")</f>
        <v/>
      </c>
      <c r="R97" s="52">
        <f>IFERROR(IF(INDEX('MRE'!$N$10:$N$18,MATCH($F97,'MRE'!$B$10:$B$18,0))="","Cell will autofill based on response",INDEX('MRE'!$N$10:$N$18,MATCH($F97,'MRE'!$B$10:$B$18,0))),"N/A")</f>
        <v/>
      </c>
      <c r="S97" s="52">
        <f>IFERROR(IF(INDEX('AC&amp;M'!$N$10:$N$14,MATCH($F97,'AC&amp;M'!$B$10:$B$14,0))="","Cell will autofill based on response",INDEX('AC&amp;M'!$N$10:$N$14,MATCH($F97,'AC&amp;M'!$B$10:$B$14,0))),"N/A")</f>
        <v/>
      </c>
      <c r="T97" s="52">
        <f>IFERROR(IF(INDEX('GCE'!$N$10:$N$12,MATCH($F97,'GCE'!$B$10:$B$12,0))="","Cell will autofill based on response",INDEX('GCE'!$N$10:$N$12,MATCH($F97,'GCE'!$B$10:$B$12,0))),"N/A")</f>
        <v/>
      </c>
      <c r="U97" s="52">
        <f>IFERROR(IF(INDEX('Education'!$N$10:$N$13,MATCH($F97,'Education'!$B$10:$B$13,0))="","Cell will autofill based on response",INDEX('Education'!$N$10:$N$13,MATCH($F97,'Education'!$B$10:$B$13,0))),"N/A")</f>
        <v/>
      </c>
      <c r="V97" s="52">
        <f>IFERROR(IF(INDEX('SaSS'!$N$10:$N$12,MATCH($F97,'SaSS'!$B$10:$B$12,0))="","Cell will autofill based on response",INDEX('SaSS'!$N$10:$N$12,MATCH($F97,'SaSS'!$B$10:$B$12,0))),"N/A")</f>
        <v/>
      </c>
      <c r="W97" s="52">
        <f>IFERROR(IF(INDEX('Indigenous'!$N$10:$N$11,MATCH($F97,'Indigenous'!$B$10:$B$11,0))="","Cell will autofill based on response",INDEX('Indigenous'!$N$10:$N$11,MATCH($F97,'Indigenous'!$B$10:$B$11,0))),"N/A")</f>
        <v/>
      </c>
      <c r="X97" s="52">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2">
        <f>IFERROR(IF(INDEX('Faculties'!$O$10:$O$19,MATCH($F98,'Faculties'!$B$10:$B$19,0))="","Cell will autofill based on response",INDEX('Faculties'!$O$10:$O$19,MATCH($F98,'Faculties'!$B$10:$B$19,0))),"N/A")</f>
        <v/>
      </c>
      <c r="I98" s="52">
        <f>IFERROR(IF(INDEX('Faculties'!$O$26:$O$35,MATCH($F98,'Faculties'!$B$26:$B$35,0))="","Cell will autofill based on response",INDEX('Faculties'!$O$26:$O$35,MATCH($F98,'Faculties'!$B$26:$B$35,0))),"N/A")</f>
        <v/>
      </c>
      <c r="J98" s="52">
        <f>IFERROR(IF(INDEX('Faculties'!$O$42:$O$51,MATCH($F98,'Faculties'!$B$42:$B$51,0))="","Cell will autofill based on response",INDEX('Faculties'!$O$42:$O$51,MATCH($F98,'Faculties'!$B$42:$B$51,0))),"N/A")</f>
        <v/>
      </c>
      <c r="K98" s="52">
        <f>IFERROR(IF(INDEX('Faculties'!$O$58:$O$67,MATCH($F98,'Faculties'!$B$58:$B$67,0))="","Cell will autofill based on response",INDEX('Faculties'!$O$58:$O$67,MATCH($F98,'Faculties'!$B$58:$B$67,0))),"N/A")</f>
        <v/>
      </c>
      <c r="L98" s="52">
        <f>IFERROR(IF(INDEX('CI&amp;S'!$O$10:$O$15,MATCH($F98,'CI&amp;S'!$B$10:$B$15,0))="","Cell will autofill based on response",INDEX('CI&amp;S'!$O$10:$O$15,MATCH($F98,'CI&amp;S'!$B$10:$B$15,0))),"N/A")</f>
        <v/>
      </c>
      <c r="M98" s="52">
        <f>IFERROR(IF(INDEX('CI&amp;S'!$O$22:$O$36,MATCH($F98,'CI&amp;S'!$B$22:$B$36,0))="","Cell will autofill based on response",INDEX('CI&amp;S'!$O$22:$O$36,MATCH($F98,'CI&amp;S'!$B$22:$B$36,0))),"N/A")</f>
        <v/>
      </c>
      <c r="N98" s="52">
        <f>IFERROR(IF(INDEX('CFOG'!$O$10:$O$16,MATCH($F98,'CFOG'!$B$10:$B$16,0))="","Cell will autofill based on response",INDEX('CFOG'!$O$10:$O$16,MATCH($F98,'CFOG'!$B$10:$B$16,0))),"N/A")</f>
        <v/>
      </c>
      <c r="O98" s="52">
        <f>IFERROR(IF(INDEX('CFOG'!$O$23:$O$24,MATCH($F98,'CFOG'!$B$23:$B$24,0))="","Cell will autofill based on response",INDEX('CFOG'!$O$23:$O$24,MATCH($F98,'CFOG'!$B$23:$B$24,0))),"N/A")</f>
        <v/>
      </c>
      <c r="P98" s="52">
        <f>IFERROR(IF(INDEX('ESG'!$O$10:$O$17,MATCH($F98,'ESG'!$B$10:$B$17,0))="","Cell will autofill based on response",INDEX('ESG'!$O$10:$O$17,MATCH($F98,'ESG'!$B$10:$B$17,0))),"N/A")</f>
        <v/>
      </c>
      <c r="Q98" s="52">
        <f>IFERROR(IF(INDEX('CIOG'!$O$10:$O$14,MATCH($F98,'CIOG'!$B$10:$B$14,0))="","Cell will autofill based on response",INDEX('CIOG'!$O$10:$O$14,MATCH($F98,'CIOG'!$B$10:$B$14,0))),"N/A")</f>
        <v/>
      </c>
      <c r="R98" s="52">
        <f>IFERROR(IF(INDEX('MRE'!$O$10:$O$18,MATCH($F98,'MRE'!$B$10:$B$18,0))="","Cell will autofill based on response",INDEX('MRE'!$O$10:$O$18,MATCH($F98,'MRE'!$B$10:$B$18,0))),"N/A")</f>
        <v/>
      </c>
      <c r="S98" s="52">
        <f>IFERROR(IF(INDEX('AC&amp;M'!$O$10:$O$14,MATCH($F98,'AC&amp;M'!$B$10:$B$14,0))="","Cell will autofill based on response",INDEX('AC&amp;M'!$O$10:$O$14,MATCH($F98,'AC&amp;M'!$B$10:$B$14,0))),"N/A")</f>
        <v/>
      </c>
      <c r="T98" s="52">
        <f>IFERROR(IF(INDEX('GCE'!$O$10:$O$12,MATCH($F98,'GCE'!$B$10:$B$12,0))="","Cell will autofill based on response",INDEX('GCE'!$O$10:$O$12,MATCH($F98,'GCE'!$B$10:$B$12,0))),"N/A")</f>
        <v/>
      </c>
      <c r="U98" s="52">
        <f>IFERROR(IF(INDEX('Education'!$O$10:$O$13,MATCH($F98,'Education'!$B$10:$B$13,0))="","Cell will autofill based on response",INDEX('Education'!$O$10:$O$13,MATCH($F98,'Education'!$B$10:$B$13,0))),"N/A")</f>
        <v/>
      </c>
      <c r="V98" s="52">
        <f>IFERROR(IF(INDEX('SaSS'!$O$10:$O$12,MATCH($F98,'SaSS'!$B$10:$B$12,0))="","Cell will autofill based on response",INDEX('SaSS'!$O$10:$O$12,MATCH($F98,'SaSS'!$B$10:$B$12,0))),"N/A")</f>
        <v/>
      </c>
      <c r="W98" s="52">
        <f>IFERROR(IF(INDEX('Indigenous'!$O$10:$O$11,MATCH($F98,'Indigenous'!$B$10:$B$11,0))="","Cell will autofill based on response",INDEX('Indigenous'!$O$10:$O$11,MATCH($F98,'Indigenous'!$B$10:$B$11,0))),"N/A")</f>
        <v/>
      </c>
      <c r="X98" s="52">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2">
        <f>IFERROR(IF(INDEX('Faculties'!$P$10:$P$19,MATCH($F99,'Faculties'!$B$10:$B$19,0))="","Cell will autofill based on response",INDEX('Faculties'!$P$10:$P$19,MATCH($F99,'Faculties'!$B$10:$B$19,0))),"N/A")</f>
        <v/>
      </c>
      <c r="I99" s="52">
        <f>IFERROR(IF(INDEX('Faculties'!$P$26:$P$35,MATCH($F99,'Faculties'!$B$26:$B$35,0))="","Cell will autofill based on response",INDEX('Faculties'!$P$26:$P$35,MATCH($F99,'Faculties'!$B$26:$B$35,0))),"N/A")</f>
        <v/>
      </c>
      <c r="J99" s="52">
        <f>IFERROR(IF(INDEX('Faculties'!$P$42:$P$51,MATCH($F99,'Faculties'!$B$42:$B$51,0))="","Cell will autofill based on response",INDEX('Faculties'!$P$42:$P$51,MATCH($F99,'Faculties'!$B$42:$B$51,0))),"N/A")</f>
        <v/>
      </c>
      <c r="K99" s="52">
        <f>IFERROR(IF(INDEX('Faculties'!$P$58:$P$67,MATCH($F99,'Faculties'!$B$58:$B$67,0))="","Cell will autofill based on response",INDEX('Faculties'!$P$58:$P$67,MATCH($F99,'Faculties'!$B$58:$B$67,0))),"N/A")</f>
        <v/>
      </c>
      <c r="L99" s="52">
        <f>IFERROR(IF(INDEX('CI&amp;S'!$P$10:$P$15,MATCH($F99,'CI&amp;S'!$B$10:$B$15,0))="","Cell will autofill based on response",INDEX('CI&amp;S'!$P$10:$P$15,MATCH($F99,'CI&amp;S'!$B$10:$B$15,0))),"N/A")</f>
        <v/>
      </c>
      <c r="M99" s="52">
        <f>IFERROR(IF(INDEX('CI&amp;S'!$P$22:$P$36,MATCH($F99,'CI&amp;S'!$B$22:$B$36,0))="","Cell will autofill based on response",INDEX('CI&amp;S'!$P$22:$P$36,MATCH($F99,'CI&amp;S'!$B$22:$B$36,0))),"N/A")</f>
        <v/>
      </c>
      <c r="N99" s="52">
        <f>IFERROR(IF(INDEX('CFOG'!$P$10:$P$16,MATCH($F99,'CFOG'!$B$10:$B$16,0))="","Cell will autofill based on response",INDEX('CFOG'!$P$10:$P$16,MATCH($F99,'CFOG'!$B$10:$B$16,0))),"N/A")</f>
        <v/>
      </c>
      <c r="O99" s="52">
        <f>IFERROR(IF(INDEX('CFOG'!$P$23:$P$24,MATCH($F99,'CFOG'!$B$23:$B$24,0))="","Cell will autofill based on response",INDEX('CFOG'!$P$23:$P$24,MATCH($F99,'CFOG'!$B$23:$B$24,0))),"N/A")</f>
        <v/>
      </c>
      <c r="P99" s="52">
        <f>IFERROR(IF(INDEX('ESG'!$P$10:$P$17,MATCH($F99,'ESG'!$B$10:$B$17,0))="","Cell will autofill based on response",INDEX('ESG'!$P$10:$P$17,MATCH($F99,'ESG'!$B$10:$B$17,0))),"N/A")</f>
        <v/>
      </c>
      <c r="Q99" s="52">
        <f>IFERROR(IF(INDEX('CIOG'!$P$10:$P$14,MATCH($F99,'CIOG'!$B$10:$B$14,0))="","Cell will autofill based on response",INDEX('CIOG'!$P$10:$P$14,MATCH($F99,'CIOG'!$B$10:$B$14,0))),"N/A")</f>
        <v/>
      </c>
      <c r="R99" s="52">
        <f>IFERROR(IF(INDEX('MRE'!$P$10:$P$18,MATCH($F99,'MRE'!$B$10:$B$18,0))="","Cell will autofill based on response",INDEX('MRE'!$P$10:$P$18,MATCH($F99,'MRE'!$B$10:$B$18,0))),"N/A")</f>
        <v/>
      </c>
      <c r="S99" s="52">
        <f>IFERROR(IF(INDEX('AC&amp;M'!$P$10:$P$14,MATCH($F99,'AC&amp;M'!$B$10:$B$14,0))="","Cell will autofill based on response",INDEX('AC&amp;M'!$P$10:$P$14,MATCH($F99,'AC&amp;M'!$B$10:$B$14,0))),"N/A")</f>
        <v/>
      </c>
      <c r="T99" s="52">
        <f>IFERROR(IF(INDEX('GCE'!$P$10:$P$12,MATCH($F99,'GCE'!$B$10:$B$12,0))="","Cell will autofill based on response",INDEX('GCE'!$P$10:$P$12,MATCH($F99,'GCE'!$B$10:$B$12,0))),"N/A")</f>
        <v/>
      </c>
      <c r="U99" s="52">
        <f>IFERROR(IF(INDEX('Education'!$P$10:$P$13,MATCH($F99,'Education'!$B$10:$B$13,0))="","Cell will autofill based on response",INDEX('Education'!$P$10:$P$13,MATCH($F99,'Education'!$B$10:$B$13,0))),"N/A")</f>
        <v/>
      </c>
      <c r="V99" s="52">
        <f>IFERROR(IF(INDEX('SaSS'!$P$10:$P$12,MATCH($F99,'SaSS'!$B$10:$B$12,0))="","Cell will autofill based on response",INDEX('SaSS'!$P$10:$P$12,MATCH($F99,'SaSS'!$B$10:$B$12,0))),"N/A")</f>
        <v/>
      </c>
      <c r="W99" s="52">
        <f>IFERROR(IF(INDEX('Indigenous'!$P$10:$P$11,MATCH($F99,'Indigenous'!$B$10:$B$11,0))="","Cell will autofill based on response",INDEX('Indigenous'!$P$10:$P$11,MATCH($F99,'Indigenous'!$B$10:$B$11,0))),"N/A")</f>
        <v/>
      </c>
      <c r="X99" s="52">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2">
        <f>IFERROR(IF(INDEX('Faculties'!$Q$10:$Q$19,MATCH($F100,'Faculties'!$B$10:$B$19,0))="","Cell will autofill based on response",INDEX('Faculties'!$Q$10:$Q$19,MATCH($F100,'Faculties'!$B$10:$B$19,0))),"N/A")</f>
        <v/>
      </c>
      <c r="I100" s="52">
        <f>IFERROR(IF(INDEX('Faculties'!$Q$26:$Q$35,MATCH($F100,'Faculties'!$B$26:$B$35,0))="","Cell will autofill based on response",INDEX('Faculties'!$Q$26:$Q$35,MATCH($F100,'Faculties'!$B$26:$B$35,0))),"N/A")</f>
        <v/>
      </c>
      <c r="J100" s="52">
        <f>IFERROR(IF(INDEX('Faculties'!$Q$42:$Q$51,MATCH($F100,'Faculties'!$B$42:$B$51,0))="","Cell will autofill based on response",INDEX('Faculties'!$Q$42:$Q$51,MATCH($F100,'Faculties'!$B$42:$B$51,0))),"N/A")</f>
        <v/>
      </c>
      <c r="K100" s="52">
        <f>IFERROR(IF(INDEX('Faculties'!$Q$58:$Q$67,MATCH($F100,'Faculties'!$B$58:$B$67,0))="","Cell will autofill based on response",INDEX('Faculties'!$Q$58:$Q$67,MATCH($F100,'Faculties'!$B$58:$B$67,0))),"N/A")</f>
        <v/>
      </c>
      <c r="L100" s="52">
        <f>IFERROR(IF(INDEX('CI&amp;S'!$Q$10:$Q$15,MATCH($F100,'CI&amp;S'!$B$10:$B$15,0))="","Cell will autofill based on response",INDEX('CI&amp;S'!$Q$10:$Q$15,MATCH($F100,'CI&amp;S'!$B$10:$B$15,0))),"N/A")</f>
        <v/>
      </c>
      <c r="M100" s="52">
        <f>IFERROR(IF(INDEX('CI&amp;S'!$Q$22:$Q$36,MATCH($F100,'CI&amp;S'!$B$22:$B$36,0))="","Cell will autofill based on response",INDEX('CI&amp;S'!$Q$22:$Q$36,MATCH($F100,'CI&amp;S'!$B$22:$B$36,0))),"N/A")</f>
        <v/>
      </c>
      <c r="N100" s="52">
        <f>IFERROR(IF(INDEX('CFOG'!$Q$10:$Q$16,MATCH($F100,'CFOG'!$B$10:$B$16,0))="","Cell will autofill based on response",INDEX('CFOG'!$Q$10:$Q$16,MATCH($F100,'CFOG'!$B$10:$B$16,0))),"N/A")</f>
        <v/>
      </c>
      <c r="O100" s="52">
        <f>IFERROR(IF(INDEX('CFOG'!$Q$23:$Q$24,MATCH($F100,'CFOG'!$B$23:$B$24,0))="","Cell will autofill based on response",INDEX('CFOG'!$Q$23:$Q$24,MATCH($F100,'CFOG'!$B$23:$B$24,0))),"N/A")</f>
        <v/>
      </c>
      <c r="P100" s="52">
        <f>IFERROR(IF(INDEX('ESG'!$Q$10:$Q$17,MATCH($F100,'ESG'!$B$10:$B$17,0))="","Cell will autofill based on response",INDEX('ESG'!$Q$10:$Q$17,MATCH($F100,'ESG'!$B$10:$B$17,0))),"N/A")</f>
        <v/>
      </c>
      <c r="Q100" s="52">
        <f>IFERROR(IF(INDEX('CIOG'!$Q$10:$Q$14,MATCH($F100,'CIOG'!$B$10:$B$14,0))="","Cell will autofill based on response",INDEX('CIOG'!$Q$10:$Q$14,MATCH($F100,'CIOG'!$B$10:$B$14,0))),"N/A")</f>
        <v/>
      </c>
      <c r="R100" s="52">
        <f>IFERROR(IF(INDEX('MRE'!$Q$10:$Q$18,MATCH($F100,'MRE'!$B$10:$B$18,0))="","Cell will autofill based on response",INDEX('MRE'!$Q$10:$Q$18,MATCH($F100,'MRE'!$B$10:$B$18,0))),"N/A")</f>
        <v/>
      </c>
      <c r="S100" s="52">
        <f>IFERROR(IF(INDEX('AC&amp;M'!$Q$10:$Q$14,MATCH($F100,'AC&amp;M'!$B$10:$B$14,0))="","Cell will autofill based on response",INDEX('AC&amp;M'!$Q$10:$Q$14,MATCH($F100,'AC&amp;M'!$B$10:$B$14,0))),"N/A")</f>
        <v/>
      </c>
      <c r="T100" s="52">
        <f>IFERROR(IF(INDEX('GCE'!$Q$10:$Q$12,MATCH($F100,'GCE'!$B$10:$B$12,0))="","Cell will autofill based on response",INDEX('GCE'!$Q$10:$Q$12,MATCH($F100,'GCE'!$B$10:$B$12,0))),"N/A")</f>
        <v/>
      </c>
      <c r="U100" s="52">
        <f>IFERROR(IF(INDEX('Education'!$Q$10:$Q$13,MATCH($F100,'Education'!$B$10:$B$13,0))="","Cell will autofill based on response",INDEX('Education'!$Q$10:$Q$13,MATCH($F100,'Education'!$B$10:$B$13,0))),"N/A")</f>
        <v/>
      </c>
      <c r="V100" s="52">
        <f>IFERROR(IF(INDEX('SaSS'!$Q$10:$Q$12,MATCH($F100,'SaSS'!$B$10:$B$12,0))="","Cell will autofill based on response",INDEX('SaSS'!$Q$10:$Q$12,MATCH($F100,'SaSS'!$B$10:$B$12,0))),"N/A")</f>
        <v/>
      </c>
      <c r="W100" s="52">
        <f>IFERROR(IF(INDEX('Indigenous'!$Q$10:$Q$11,MATCH($F100,'Indigenous'!$B$10:$B$11,0))="","Cell will autofill based on response",INDEX('Indigenous'!$Q$10:$Q$11,MATCH($F100,'Indigenous'!$B$10:$B$11,0))),"N/A")</f>
        <v/>
      </c>
      <c r="X100" s="52">
        <f>IFERROR(IF(INDEX('L&amp;R'!$Q$10:$Q$11,MATCH($F100,'L&amp;R'!$B$10:$B$11,0))="","Cell will autofill based on response",INDEX('L&amp;R'!$Q$10:$Q$11,MATCH($F100,'L&amp;R'!$B$10:$B$11,0))),"N/A")</f>
        <v/>
      </c>
    </row>
    <row r="101">
      <c r="A101">
        <f>F101&amp;"|"&amp;G101</f>
        <v/>
      </c>
      <c r="B101" s="7" t="inlineStr">
        <is>
          <t>CL1(c)</t>
        </is>
      </c>
      <c r="C101" s="50" t="inlineStr">
        <is>
          <t>Climate leadership</t>
        </is>
      </c>
      <c r="D101" s="50" t="inlineStr">
        <is>
          <t>Review of Climate Leadership targets by 2030.[2]</t>
        </is>
      </c>
      <c r="E101" s="50" t="inlineStr"/>
      <c r="F101" s="50" t="inlineStr">
        <is>
          <t>CL1(c)</t>
        </is>
      </c>
      <c r="G101" s="50" t="inlineStr">
        <is>
          <t>Confirm end-2026 target status</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3">
        <f>IF(AF101&gt;0,AE101/AF101,"No valid responses to date")</f>
        <v/>
      </c>
      <c r="AH101" s="10">
        <f>IF(ISNUMBER(AG101),INDEX(Lists!$G$2:$G$5,MATCH(ROUND(AG101,0),Lists!$H$2:$H$5,0)),"")</f>
        <v/>
      </c>
      <c r="AI101" s="54">
        <f>IF(AF101&gt;0,AD101/AF101,"")</f>
        <v/>
      </c>
      <c r="AJ101" s="54">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2">
        <f>IFERROR(IF(INDEX('Faculties'!$Q$10:$Q$19,MATCH($F106,'Faculties'!$B$10:$B$19,0))="","Cell will autofill based on response",INDEX('Faculties'!$Q$10:$Q$19,MATCH($F106,'Faculties'!$B$10:$B$19,0))),"N/A")</f>
        <v/>
      </c>
      <c r="I106" s="52">
        <f>IFERROR(IF(INDEX('Faculties'!$Q$26:$Q$35,MATCH($F106,'Faculties'!$B$26:$B$35,0))="","Cell will autofill based on response",INDEX('Faculties'!$Q$26:$Q$35,MATCH($F106,'Faculties'!$B$26:$B$35,0))),"N/A")</f>
        <v/>
      </c>
      <c r="J106" s="52">
        <f>IFERROR(IF(INDEX('Faculties'!$Q$42:$Q$51,MATCH($F106,'Faculties'!$B$42:$B$51,0))="","Cell will autofill based on response",INDEX('Faculties'!$Q$42:$Q$51,MATCH($F106,'Faculties'!$B$42:$B$51,0))),"N/A")</f>
        <v/>
      </c>
      <c r="K106" s="52">
        <f>IFERROR(IF(INDEX('Faculties'!$Q$58:$Q$67,MATCH($F106,'Faculties'!$B$58:$B$67,0))="","Cell will autofill based on response",INDEX('Faculties'!$Q$58:$Q$67,MATCH($F106,'Faculties'!$B$58:$B$67,0))),"N/A")</f>
        <v/>
      </c>
      <c r="L106" s="52">
        <f>IFERROR(IF(INDEX('CI&amp;S'!$Q$10:$Q$15,MATCH($F106,'CI&amp;S'!$B$10:$B$15,0))="","Cell will autofill based on response",INDEX('CI&amp;S'!$Q$10:$Q$15,MATCH($F106,'CI&amp;S'!$B$10:$B$15,0))),"N/A")</f>
        <v/>
      </c>
      <c r="M106" s="52">
        <f>IFERROR(IF(INDEX('CI&amp;S'!$Q$22:$Q$36,MATCH($F106,'CI&amp;S'!$B$22:$B$36,0))="","Cell will autofill based on response",INDEX('CI&amp;S'!$Q$22:$Q$36,MATCH($F106,'CI&amp;S'!$B$22:$B$36,0))),"N/A")</f>
        <v/>
      </c>
      <c r="N106" s="52">
        <f>IFERROR(IF(INDEX('CFOG'!$Q$10:$Q$16,MATCH($F106,'CFOG'!$B$10:$B$16,0))="","Cell will autofill based on response",INDEX('CFOG'!$Q$10:$Q$16,MATCH($F106,'CFOG'!$B$10:$B$16,0))),"N/A")</f>
        <v/>
      </c>
      <c r="O106" s="52">
        <f>IFERROR(IF(INDEX('CFOG'!$Q$23:$Q$24,MATCH($F106,'CFOG'!$B$23:$B$24,0))="","Cell will autofill based on response",INDEX('CFOG'!$Q$23:$Q$24,MATCH($F106,'CFOG'!$B$23:$B$24,0))),"N/A")</f>
        <v/>
      </c>
      <c r="P106" s="52">
        <f>IFERROR(IF(INDEX('ESG'!$Q$10:$Q$17,MATCH($F106,'ESG'!$B$10:$B$17,0))="","Cell will autofill based on response",INDEX('ESG'!$Q$10:$Q$17,MATCH($F106,'ESG'!$B$10:$B$17,0))),"N/A")</f>
        <v/>
      </c>
      <c r="Q106" s="52">
        <f>IFERROR(IF(INDEX('CIOG'!$Q$10:$Q$14,MATCH($F106,'CIOG'!$B$10:$B$14,0))="","Cell will autofill based on response",INDEX('CIOG'!$Q$10:$Q$14,MATCH($F106,'CIOG'!$B$10:$B$14,0))),"N/A")</f>
        <v/>
      </c>
      <c r="R106" s="52">
        <f>IFERROR(IF(INDEX('MRE'!$Q$10:$Q$18,MATCH($F106,'MRE'!$B$10:$B$18,0))="","Cell will autofill based on response",INDEX('MRE'!$Q$10:$Q$18,MATCH($F106,'MRE'!$B$10:$B$18,0))),"N/A")</f>
        <v/>
      </c>
      <c r="S106" s="52">
        <f>IFERROR(IF(INDEX('AC&amp;M'!$Q$10:$Q$14,MATCH($F106,'AC&amp;M'!$B$10:$B$14,0))="","Cell will autofill based on response",INDEX('AC&amp;M'!$Q$10:$Q$14,MATCH($F106,'AC&amp;M'!$B$10:$B$14,0))),"N/A")</f>
        <v/>
      </c>
      <c r="T106" s="52">
        <f>IFERROR(IF(INDEX('GCE'!$Q$10:$Q$12,MATCH($F106,'GCE'!$B$10:$B$12,0))="","Cell will autofill based on response",INDEX('GCE'!$Q$10:$Q$12,MATCH($F106,'GCE'!$B$10:$B$12,0))),"N/A")</f>
        <v/>
      </c>
      <c r="U106" s="52">
        <f>IFERROR(IF(INDEX('Education'!$Q$10:$Q$13,MATCH($F106,'Education'!$B$10:$B$13,0))="","Cell will autofill based on response",INDEX('Education'!$Q$10:$Q$13,MATCH($F106,'Education'!$B$10:$B$13,0))),"N/A")</f>
        <v/>
      </c>
      <c r="V106" s="52">
        <f>IFERROR(IF(INDEX('SaSS'!$Q$10:$Q$12,MATCH($F106,'SaSS'!$B$10:$B$12,0))="","Cell will autofill based on response",INDEX('SaSS'!$Q$10:$Q$12,MATCH($F106,'SaSS'!$B$10:$B$12,0))),"N/A")</f>
        <v/>
      </c>
      <c r="W106" s="52">
        <f>IFERROR(IF(INDEX('Indigenous'!$Q$10:$Q$11,MATCH($F106,'Indigenous'!$B$10:$B$11,0))="","Cell will autofill based on response",INDEX('Indigenous'!$Q$10:$Q$11,MATCH($F106,'Indigenous'!$B$10:$B$11,0))),"N/A")</f>
        <v/>
      </c>
      <c r="X106" s="52">
        <f>IFERROR(IF(INDEX('L&amp;R'!$Q$10:$Q$11,MATCH($F106,'L&amp;R'!$B$10:$B$11,0))="","Cell will autofill based on response",INDEX('L&amp;R'!$Q$10:$Q$11,MATCH($F106,'L&amp;R'!$B$10:$B$11,0))),"N/A")</f>
        <v/>
      </c>
    </row>
    <row r="107">
      <c r="A107">
        <f>F107&amp;"|"&amp;G107</f>
        <v/>
      </c>
      <c r="B107" s="7" t="inlineStr">
        <is>
          <t>CL2(a)</t>
        </is>
      </c>
      <c r="C107" s="50" t="inlineStr">
        <is>
          <t>Climate leadership</t>
        </is>
      </c>
      <c r="D107" s="50" t="inlineStr">
        <is>
          <t>By 2028, develop and document institutional mapping of research and education activities that are designed to contribute to global decarbonisation</t>
        </is>
      </c>
      <c r="E107"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0" t="inlineStr">
        <is>
          <t>CL2(a)</t>
        </is>
      </c>
      <c r="G107" s="50" t="inlineStr">
        <is>
          <t>Confirm end-2026 target status</t>
        </is>
      </c>
      <c r="H107" s="52">
        <f>IFERROR(IF(INDEX('Faculties'!$L$10:$L$19,MATCH($F107,'Faculties'!$B$10:$B$19,0))="","Cell will autofill based on response",INDEX('Faculties'!$L$10:$L$19,MATCH($F107,'Faculties'!$B$10:$B$19,0))),"N/A")</f>
        <v/>
      </c>
      <c r="I107" s="52">
        <f>IFERROR(IF(INDEX('Faculties'!$L$26:$L$35,MATCH($F107,'Faculties'!$B$26:$B$35,0))="","Cell will autofill based on response",INDEX('Faculties'!$L$26:$L$35,MATCH($F107,'Faculties'!$B$26:$B$35,0))),"N/A")</f>
        <v/>
      </c>
      <c r="J107" s="52">
        <f>IFERROR(IF(INDEX('Faculties'!$L$42:$L$51,MATCH($F107,'Faculties'!$B$42:$B$51,0))="","Cell will autofill based on response",INDEX('Faculties'!$L$42:$L$51,MATCH($F107,'Faculties'!$B$42:$B$51,0))),"N/A")</f>
        <v/>
      </c>
      <c r="K107" s="52">
        <f>IFERROR(IF(INDEX('Faculties'!$L$58:$L$67,MATCH($F107,'Faculties'!$B$58:$B$67,0))="","Cell will autofill based on response",INDEX('Faculties'!$L$58:$L$67,MATCH($F107,'Faculties'!$B$58:$B$67,0))),"N/A")</f>
        <v/>
      </c>
      <c r="L107" s="52">
        <f>IFERROR(IF(INDEX('CI&amp;S'!$L$10:$L$15,MATCH($F107,'CI&amp;S'!$B$10:$B$15,0))="","Cell will autofill based on response",INDEX('CI&amp;S'!$L$10:$L$15,MATCH($F107,'CI&amp;S'!$B$10:$B$15,0))),"N/A")</f>
        <v/>
      </c>
      <c r="M107" s="52">
        <f>IFERROR(IF(INDEX('CI&amp;S'!$L$22:$L$36,MATCH($F107,'CI&amp;S'!$B$22:$B$36,0))="","Cell will autofill based on response",INDEX('CI&amp;S'!$L$22:$L$36,MATCH($F107,'CI&amp;S'!$B$22:$B$36,0))),"N/A")</f>
        <v/>
      </c>
      <c r="N107" s="52">
        <f>IFERROR(IF(INDEX('CFOG'!$L$10:$L$16,MATCH($F107,'CFOG'!$B$10:$B$16,0))="","Cell will autofill based on response",INDEX('CFOG'!$L$10:$L$16,MATCH($F107,'CFOG'!$B$10:$B$16,0))),"N/A")</f>
        <v/>
      </c>
      <c r="O107" s="52">
        <f>IFERROR(IF(INDEX('CFOG'!$L$23:$L$24,MATCH($F107,'CFOG'!$B$23:$B$24,0))="","Cell will autofill based on response",INDEX('CFOG'!$L$23:$L$24,MATCH($F107,'CFOG'!$B$23:$B$24,0))),"N/A")</f>
        <v/>
      </c>
      <c r="P107" s="52">
        <f>IFERROR(IF(INDEX('ESG'!$L$10:$L$17,MATCH($F107,'ESG'!$B$10:$B$17,0))="","Cell will autofill based on response",INDEX('ESG'!$L$10:$L$17,MATCH($F107,'ESG'!$B$10:$B$17,0))),"N/A")</f>
        <v/>
      </c>
      <c r="Q107" s="52">
        <f>IFERROR(IF(INDEX('CIOG'!$L$10:$L$14,MATCH($F107,'CIOG'!$B$10:$B$14,0))="","Cell will autofill based on response",INDEX('CIOG'!$L$10:$L$14,MATCH($F107,'CIOG'!$B$10:$B$14,0))),"N/A")</f>
        <v/>
      </c>
      <c r="R107" s="52">
        <f>IFERROR(IF(INDEX('MRE'!$L$10:$L$18,MATCH($F107,'MRE'!$B$10:$B$18,0))="","Cell will autofill based on response",INDEX('MRE'!$L$10:$L$18,MATCH($F107,'MRE'!$B$10:$B$18,0))),"N/A")</f>
        <v/>
      </c>
      <c r="S107" s="52">
        <f>IFERROR(IF(INDEX('AC&amp;M'!$L$10:$L$14,MATCH($F107,'AC&amp;M'!$B$10:$B$14,0))="","Cell will autofill based on response",INDEX('AC&amp;M'!$L$10:$L$14,MATCH($F107,'AC&amp;M'!$B$10:$B$14,0))),"N/A")</f>
        <v/>
      </c>
      <c r="T107" s="52">
        <f>IFERROR(IF(INDEX('GCE'!$L$10:$L$12,MATCH($F107,'GCE'!$B$10:$B$12,0))="","Cell will autofill based on response",INDEX('GCE'!$L$10:$L$12,MATCH($F107,'GCE'!$B$10:$B$12,0))),"N/A")</f>
        <v/>
      </c>
      <c r="U107" s="52">
        <f>IFERROR(IF(INDEX('Education'!$L$10:$L$13,MATCH($F107,'Education'!$B$10:$B$13,0))="","Cell will autofill based on response",INDEX('Education'!$L$10:$L$13,MATCH($F107,'Education'!$B$10:$B$13,0))),"N/A")</f>
        <v/>
      </c>
      <c r="V107" s="52">
        <f>IFERROR(IF(INDEX('SaSS'!$L$10:$L$12,MATCH($F107,'SaSS'!$B$10:$B$12,0))="","Cell will autofill based on response",INDEX('SaSS'!$L$10:$L$12,MATCH($F107,'SaSS'!$B$10:$B$12,0))),"N/A")</f>
        <v/>
      </c>
      <c r="W107" s="52">
        <f>IFERROR(IF(INDEX('Indigenous'!$L$10:$L$11,MATCH($F107,'Indigenous'!$B$10:$B$11,0))="","Cell will autofill based on response",INDEX('Indigenous'!$L$10:$L$11,MATCH($F107,'Indigenous'!$B$10:$B$11,0))),"N/A")</f>
        <v/>
      </c>
      <c r="X107" s="52">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3">
        <f>IF(AF107&gt;0,AE107/AF107,"No valid responses to date")</f>
        <v/>
      </c>
      <c r="AH107" s="10">
        <f>IF(ISNUMBER(AG107),INDEX(Lists!$G$2:$G$5,MATCH(ROUND(AG107,0),Lists!$H$2:$H$5,0)),"")</f>
        <v/>
      </c>
      <c r="AI107" s="54">
        <f>IF(AF107&gt;0,AD107/AF107,"")</f>
        <v/>
      </c>
      <c r="AJ107" s="54">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2">
        <f>IFERROR(IF(INDEX('Faculties'!$M$10:$M$19,MATCH($F108,'Faculties'!$B$10:$B$19,0))="","Cell will autofill based on response",INDEX('Faculties'!$M$10:$M$19,MATCH($F108,'Faculties'!$B$10:$B$19,0))),"N/A")</f>
        <v/>
      </c>
      <c r="I108" s="52">
        <f>IFERROR(IF(INDEX('Faculties'!$M$26:$M$35,MATCH($F108,'Faculties'!$B$26:$B$35,0))="","Cell will autofill based on response",INDEX('Faculties'!$M$26:$M$35,MATCH($F108,'Faculties'!$B$26:$B$35,0))),"N/A")</f>
        <v/>
      </c>
      <c r="J108" s="52">
        <f>IFERROR(IF(INDEX('Faculties'!$M$42:$M$51,MATCH($F108,'Faculties'!$B$42:$B$51,0))="","Cell will autofill based on response",INDEX('Faculties'!$M$42:$M$51,MATCH($F108,'Faculties'!$B$42:$B$51,0))),"N/A")</f>
        <v/>
      </c>
      <c r="K108" s="52">
        <f>IFERROR(IF(INDEX('Faculties'!$M$58:$M$67,MATCH($F108,'Faculties'!$B$58:$B$67,0))="","Cell will autofill based on response",INDEX('Faculties'!$M$58:$M$67,MATCH($F108,'Faculties'!$B$58:$B$67,0))),"N/A")</f>
        <v/>
      </c>
      <c r="L108" s="52">
        <f>IFERROR(IF(INDEX('CI&amp;S'!$M$10:$M$15,MATCH($F108,'CI&amp;S'!$B$10:$B$15,0))="","Cell will autofill based on response",INDEX('CI&amp;S'!$M$10:$M$15,MATCH($F108,'CI&amp;S'!$B$10:$B$15,0))),"N/A")</f>
        <v/>
      </c>
      <c r="M108" s="52">
        <f>IFERROR(IF(INDEX('CI&amp;S'!$M$22:$M$36,MATCH($F108,'CI&amp;S'!$B$22:$B$36,0))="","Cell will autofill based on response",INDEX('CI&amp;S'!$M$22:$M$36,MATCH($F108,'CI&amp;S'!$B$22:$B$36,0))),"N/A")</f>
        <v/>
      </c>
      <c r="N108" s="52">
        <f>IFERROR(IF(INDEX('CFOG'!$M$10:$M$16,MATCH($F108,'CFOG'!$B$10:$B$16,0))="","Cell will autofill based on response",INDEX('CFOG'!$M$10:$M$16,MATCH($F108,'CFOG'!$B$10:$B$16,0))),"N/A")</f>
        <v/>
      </c>
      <c r="O108" s="52">
        <f>IFERROR(IF(INDEX('CFOG'!$M$23:$M$24,MATCH($F108,'CFOG'!$B$23:$B$24,0))="","Cell will autofill based on response",INDEX('CFOG'!$M$23:$M$24,MATCH($F108,'CFOG'!$B$23:$B$24,0))),"N/A")</f>
        <v/>
      </c>
      <c r="P108" s="52">
        <f>IFERROR(IF(INDEX('ESG'!$M$10:$M$17,MATCH($F108,'ESG'!$B$10:$B$17,0))="","Cell will autofill based on response",INDEX('ESG'!$M$10:$M$17,MATCH($F108,'ESG'!$B$10:$B$17,0))),"N/A")</f>
        <v/>
      </c>
      <c r="Q108" s="52">
        <f>IFERROR(IF(INDEX('CIOG'!$M$10:$M$14,MATCH($F108,'CIOG'!$B$10:$B$14,0))="","Cell will autofill based on response",INDEX('CIOG'!$M$10:$M$14,MATCH($F108,'CIOG'!$B$10:$B$14,0))),"N/A")</f>
        <v/>
      </c>
      <c r="R108" s="52">
        <f>IFERROR(IF(INDEX('MRE'!$M$10:$M$18,MATCH($F108,'MRE'!$B$10:$B$18,0))="","Cell will autofill based on response",INDEX('MRE'!$M$10:$M$18,MATCH($F108,'MRE'!$B$10:$B$18,0))),"N/A")</f>
        <v/>
      </c>
      <c r="S108" s="52">
        <f>IFERROR(IF(INDEX('AC&amp;M'!$M$10:$M$14,MATCH($F108,'AC&amp;M'!$B$10:$B$14,0))="","Cell will autofill based on response",INDEX('AC&amp;M'!$M$10:$M$14,MATCH($F108,'AC&amp;M'!$B$10:$B$14,0))),"N/A")</f>
        <v/>
      </c>
      <c r="T108" s="52">
        <f>IFERROR(IF(INDEX('GCE'!$M$10:$M$12,MATCH($F108,'GCE'!$B$10:$B$12,0))="","Cell will autofill based on response",INDEX('GCE'!$M$10:$M$12,MATCH($F108,'GCE'!$B$10:$B$12,0))),"N/A")</f>
        <v/>
      </c>
      <c r="U108" s="52">
        <f>IFERROR(IF(INDEX('Education'!$M$10:$M$13,MATCH($F108,'Education'!$B$10:$B$13,0))="","Cell will autofill based on response",INDEX('Education'!$M$10:$M$13,MATCH($F108,'Education'!$B$10:$B$13,0))),"N/A")</f>
        <v/>
      </c>
      <c r="V108" s="52">
        <f>IFERROR(IF(INDEX('SaSS'!$M$10:$M$12,MATCH($F108,'SaSS'!$B$10:$B$12,0))="","Cell will autofill based on response",INDEX('SaSS'!$M$10:$M$12,MATCH($F108,'SaSS'!$B$10:$B$12,0))),"N/A")</f>
        <v/>
      </c>
      <c r="W108" s="52">
        <f>IFERROR(IF(INDEX('Indigenous'!$M$10:$M$11,MATCH($F108,'Indigenous'!$B$10:$B$11,0))="","Cell will autofill based on response",INDEX('Indigenous'!$M$10:$M$11,MATCH($F108,'Indigenous'!$B$10:$B$11,0))),"N/A")</f>
        <v/>
      </c>
      <c r="X108" s="52">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2">
        <f>IFERROR(IF(INDEX('Faculties'!$N$10:$N$19,MATCH($F109,'Faculties'!$B$10:$B$19,0))="","Cell will autofill based on response",INDEX('Faculties'!$N$10:$N$19,MATCH($F109,'Faculties'!$B$10:$B$19,0))),"N/A")</f>
        <v/>
      </c>
      <c r="I109" s="52">
        <f>IFERROR(IF(INDEX('Faculties'!$N$26:$N$35,MATCH($F109,'Faculties'!$B$26:$B$35,0))="","Cell will autofill based on response",INDEX('Faculties'!$N$26:$N$35,MATCH($F109,'Faculties'!$B$26:$B$35,0))),"N/A")</f>
        <v/>
      </c>
      <c r="J109" s="52">
        <f>IFERROR(IF(INDEX('Faculties'!$N$42:$N$51,MATCH($F109,'Faculties'!$B$42:$B$51,0))="","Cell will autofill based on response",INDEX('Faculties'!$N$42:$N$51,MATCH($F109,'Faculties'!$B$42:$B$51,0))),"N/A")</f>
        <v/>
      </c>
      <c r="K109" s="52">
        <f>IFERROR(IF(INDEX('Faculties'!$N$58:$N$67,MATCH($F109,'Faculties'!$B$58:$B$67,0))="","Cell will autofill based on response",INDEX('Faculties'!$N$58:$N$67,MATCH($F109,'Faculties'!$B$58:$B$67,0))),"N/A")</f>
        <v/>
      </c>
      <c r="L109" s="52">
        <f>IFERROR(IF(INDEX('CI&amp;S'!$N$10:$N$15,MATCH($F109,'CI&amp;S'!$B$10:$B$15,0))="","Cell will autofill based on response",INDEX('CI&amp;S'!$N$10:$N$15,MATCH($F109,'CI&amp;S'!$B$10:$B$15,0))),"N/A")</f>
        <v/>
      </c>
      <c r="M109" s="52">
        <f>IFERROR(IF(INDEX('CI&amp;S'!$N$22:$N$36,MATCH($F109,'CI&amp;S'!$B$22:$B$36,0))="","Cell will autofill based on response",INDEX('CI&amp;S'!$N$22:$N$36,MATCH($F109,'CI&amp;S'!$B$22:$B$36,0))),"N/A")</f>
        <v/>
      </c>
      <c r="N109" s="52">
        <f>IFERROR(IF(INDEX('CFOG'!$N$10:$N$16,MATCH($F109,'CFOG'!$B$10:$B$16,0))="","Cell will autofill based on response",INDEX('CFOG'!$N$10:$N$16,MATCH($F109,'CFOG'!$B$10:$B$16,0))),"N/A")</f>
        <v/>
      </c>
      <c r="O109" s="52">
        <f>IFERROR(IF(INDEX('CFOG'!$N$23:$N$24,MATCH($F109,'CFOG'!$B$23:$B$24,0))="","Cell will autofill based on response",INDEX('CFOG'!$N$23:$N$24,MATCH($F109,'CFOG'!$B$23:$B$24,0))),"N/A")</f>
        <v/>
      </c>
      <c r="P109" s="52">
        <f>IFERROR(IF(INDEX('ESG'!$N$10:$N$17,MATCH($F109,'ESG'!$B$10:$B$17,0))="","Cell will autofill based on response",INDEX('ESG'!$N$10:$N$17,MATCH($F109,'ESG'!$B$10:$B$17,0))),"N/A")</f>
        <v/>
      </c>
      <c r="Q109" s="52">
        <f>IFERROR(IF(INDEX('CIOG'!$N$10:$N$14,MATCH($F109,'CIOG'!$B$10:$B$14,0))="","Cell will autofill based on response",INDEX('CIOG'!$N$10:$N$14,MATCH($F109,'CIOG'!$B$10:$B$14,0))),"N/A")</f>
        <v/>
      </c>
      <c r="R109" s="52">
        <f>IFERROR(IF(INDEX('MRE'!$N$10:$N$18,MATCH($F109,'MRE'!$B$10:$B$18,0))="","Cell will autofill based on response",INDEX('MRE'!$N$10:$N$18,MATCH($F109,'MRE'!$B$10:$B$18,0))),"N/A")</f>
        <v/>
      </c>
      <c r="S109" s="52">
        <f>IFERROR(IF(INDEX('AC&amp;M'!$N$10:$N$14,MATCH($F109,'AC&amp;M'!$B$10:$B$14,0))="","Cell will autofill based on response",INDEX('AC&amp;M'!$N$10:$N$14,MATCH($F109,'AC&amp;M'!$B$10:$B$14,0))),"N/A")</f>
        <v/>
      </c>
      <c r="T109" s="52">
        <f>IFERROR(IF(INDEX('GCE'!$N$10:$N$12,MATCH($F109,'GCE'!$B$10:$B$12,0))="","Cell will autofill based on response",INDEX('GCE'!$N$10:$N$12,MATCH($F109,'GCE'!$B$10:$B$12,0))),"N/A")</f>
        <v/>
      </c>
      <c r="U109" s="52">
        <f>IFERROR(IF(INDEX('Education'!$N$10:$N$13,MATCH($F109,'Education'!$B$10:$B$13,0))="","Cell will autofill based on response",INDEX('Education'!$N$10:$N$13,MATCH($F109,'Education'!$B$10:$B$13,0))),"N/A")</f>
        <v/>
      </c>
      <c r="V109" s="52">
        <f>IFERROR(IF(INDEX('SaSS'!$N$10:$N$12,MATCH($F109,'SaSS'!$B$10:$B$12,0))="","Cell will autofill based on response",INDEX('SaSS'!$N$10:$N$12,MATCH($F109,'SaSS'!$B$10:$B$12,0))),"N/A")</f>
        <v/>
      </c>
      <c r="W109" s="52">
        <f>IFERROR(IF(INDEX('Indigenous'!$N$10:$N$11,MATCH($F109,'Indigenous'!$B$10:$B$11,0))="","Cell will autofill based on response",INDEX('Indigenous'!$N$10:$N$11,MATCH($F109,'Indigenous'!$B$10:$B$11,0))),"N/A")</f>
        <v/>
      </c>
      <c r="X109" s="52">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2">
        <f>IFERROR(IF(INDEX('Faculties'!$O$10:$O$19,MATCH($F110,'Faculties'!$B$10:$B$19,0))="","Cell will autofill based on response",INDEX('Faculties'!$O$10:$O$19,MATCH($F110,'Faculties'!$B$10:$B$19,0))),"N/A")</f>
        <v/>
      </c>
      <c r="I110" s="52">
        <f>IFERROR(IF(INDEX('Faculties'!$O$26:$O$35,MATCH($F110,'Faculties'!$B$26:$B$35,0))="","Cell will autofill based on response",INDEX('Faculties'!$O$26:$O$35,MATCH($F110,'Faculties'!$B$26:$B$35,0))),"N/A")</f>
        <v/>
      </c>
      <c r="J110" s="52">
        <f>IFERROR(IF(INDEX('Faculties'!$O$42:$O$51,MATCH($F110,'Faculties'!$B$42:$B$51,0))="","Cell will autofill based on response",INDEX('Faculties'!$O$42:$O$51,MATCH($F110,'Faculties'!$B$42:$B$51,0))),"N/A")</f>
        <v/>
      </c>
      <c r="K110" s="52">
        <f>IFERROR(IF(INDEX('Faculties'!$O$58:$O$67,MATCH($F110,'Faculties'!$B$58:$B$67,0))="","Cell will autofill based on response",INDEX('Faculties'!$O$58:$O$67,MATCH($F110,'Faculties'!$B$58:$B$67,0))),"N/A")</f>
        <v/>
      </c>
      <c r="L110" s="52">
        <f>IFERROR(IF(INDEX('CI&amp;S'!$O$10:$O$15,MATCH($F110,'CI&amp;S'!$B$10:$B$15,0))="","Cell will autofill based on response",INDEX('CI&amp;S'!$O$10:$O$15,MATCH($F110,'CI&amp;S'!$B$10:$B$15,0))),"N/A")</f>
        <v/>
      </c>
      <c r="M110" s="52">
        <f>IFERROR(IF(INDEX('CI&amp;S'!$O$22:$O$36,MATCH($F110,'CI&amp;S'!$B$22:$B$36,0))="","Cell will autofill based on response",INDEX('CI&amp;S'!$O$22:$O$36,MATCH($F110,'CI&amp;S'!$B$22:$B$36,0))),"N/A")</f>
        <v/>
      </c>
      <c r="N110" s="52">
        <f>IFERROR(IF(INDEX('CFOG'!$O$10:$O$16,MATCH($F110,'CFOG'!$B$10:$B$16,0))="","Cell will autofill based on response",INDEX('CFOG'!$O$10:$O$16,MATCH($F110,'CFOG'!$B$10:$B$16,0))),"N/A")</f>
        <v/>
      </c>
      <c r="O110" s="52">
        <f>IFERROR(IF(INDEX('CFOG'!$O$23:$O$24,MATCH($F110,'CFOG'!$B$23:$B$24,0))="","Cell will autofill based on response",INDEX('CFOG'!$O$23:$O$24,MATCH($F110,'CFOG'!$B$23:$B$24,0))),"N/A")</f>
        <v/>
      </c>
      <c r="P110" s="52">
        <f>IFERROR(IF(INDEX('ESG'!$O$10:$O$17,MATCH($F110,'ESG'!$B$10:$B$17,0))="","Cell will autofill based on response",INDEX('ESG'!$O$10:$O$17,MATCH($F110,'ESG'!$B$10:$B$17,0))),"N/A")</f>
        <v/>
      </c>
      <c r="Q110" s="52">
        <f>IFERROR(IF(INDEX('CIOG'!$O$10:$O$14,MATCH($F110,'CIOG'!$B$10:$B$14,0))="","Cell will autofill based on response",INDEX('CIOG'!$O$10:$O$14,MATCH($F110,'CIOG'!$B$10:$B$14,0))),"N/A")</f>
        <v/>
      </c>
      <c r="R110" s="52">
        <f>IFERROR(IF(INDEX('MRE'!$O$10:$O$18,MATCH($F110,'MRE'!$B$10:$B$18,0))="","Cell will autofill based on response",INDEX('MRE'!$O$10:$O$18,MATCH($F110,'MRE'!$B$10:$B$18,0))),"N/A")</f>
        <v/>
      </c>
      <c r="S110" s="52">
        <f>IFERROR(IF(INDEX('AC&amp;M'!$O$10:$O$14,MATCH($F110,'AC&amp;M'!$B$10:$B$14,0))="","Cell will autofill based on response",INDEX('AC&amp;M'!$O$10:$O$14,MATCH($F110,'AC&amp;M'!$B$10:$B$14,0))),"N/A")</f>
        <v/>
      </c>
      <c r="T110" s="52">
        <f>IFERROR(IF(INDEX('GCE'!$O$10:$O$12,MATCH($F110,'GCE'!$B$10:$B$12,0))="","Cell will autofill based on response",INDEX('GCE'!$O$10:$O$12,MATCH($F110,'GCE'!$B$10:$B$12,0))),"N/A")</f>
        <v/>
      </c>
      <c r="U110" s="52">
        <f>IFERROR(IF(INDEX('Education'!$O$10:$O$13,MATCH($F110,'Education'!$B$10:$B$13,0))="","Cell will autofill based on response",INDEX('Education'!$O$10:$O$13,MATCH($F110,'Education'!$B$10:$B$13,0))),"N/A")</f>
        <v/>
      </c>
      <c r="V110" s="52">
        <f>IFERROR(IF(INDEX('SaSS'!$O$10:$O$12,MATCH($F110,'SaSS'!$B$10:$B$12,0))="","Cell will autofill based on response",INDEX('SaSS'!$O$10:$O$12,MATCH($F110,'SaSS'!$B$10:$B$12,0))),"N/A")</f>
        <v/>
      </c>
      <c r="W110" s="52">
        <f>IFERROR(IF(INDEX('Indigenous'!$O$10:$O$11,MATCH($F110,'Indigenous'!$B$10:$B$11,0))="","Cell will autofill based on response",INDEX('Indigenous'!$O$10:$O$11,MATCH($F110,'Indigenous'!$B$10:$B$11,0))),"N/A")</f>
        <v/>
      </c>
      <c r="X110" s="52">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2">
        <f>IFERROR(IF(INDEX('Faculties'!$P$10:$P$19,MATCH($F111,'Faculties'!$B$10:$B$19,0))="","Cell will autofill based on response",INDEX('Faculties'!$P$10:$P$19,MATCH($F111,'Faculties'!$B$10:$B$19,0))),"N/A")</f>
        <v/>
      </c>
      <c r="I111" s="52">
        <f>IFERROR(IF(INDEX('Faculties'!$P$26:$P$35,MATCH($F111,'Faculties'!$B$26:$B$35,0))="","Cell will autofill based on response",INDEX('Faculties'!$P$26:$P$35,MATCH($F111,'Faculties'!$B$26:$B$35,0))),"N/A")</f>
        <v/>
      </c>
      <c r="J111" s="52">
        <f>IFERROR(IF(INDEX('Faculties'!$P$42:$P$51,MATCH($F111,'Faculties'!$B$42:$B$51,0))="","Cell will autofill based on response",INDEX('Faculties'!$P$42:$P$51,MATCH($F111,'Faculties'!$B$42:$B$51,0))),"N/A")</f>
        <v/>
      </c>
      <c r="K111" s="52">
        <f>IFERROR(IF(INDEX('Faculties'!$P$58:$P$67,MATCH($F111,'Faculties'!$B$58:$B$67,0))="","Cell will autofill based on response",INDEX('Faculties'!$P$58:$P$67,MATCH($F111,'Faculties'!$B$58:$B$67,0))),"N/A")</f>
        <v/>
      </c>
      <c r="L111" s="52">
        <f>IFERROR(IF(INDEX('CI&amp;S'!$P$10:$P$15,MATCH($F111,'CI&amp;S'!$B$10:$B$15,0))="","Cell will autofill based on response",INDEX('CI&amp;S'!$P$10:$P$15,MATCH($F111,'CI&amp;S'!$B$10:$B$15,0))),"N/A")</f>
        <v/>
      </c>
      <c r="M111" s="52">
        <f>IFERROR(IF(INDEX('CI&amp;S'!$P$22:$P$36,MATCH($F111,'CI&amp;S'!$B$22:$B$36,0))="","Cell will autofill based on response",INDEX('CI&amp;S'!$P$22:$P$36,MATCH($F111,'CI&amp;S'!$B$22:$B$36,0))),"N/A")</f>
        <v/>
      </c>
      <c r="N111" s="52">
        <f>IFERROR(IF(INDEX('CFOG'!$P$10:$P$16,MATCH($F111,'CFOG'!$B$10:$B$16,0))="","Cell will autofill based on response",INDEX('CFOG'!$P$10:$P$16,MATCH($F111,'CFOG'!$B$10:$B$16,0))),"N/A")</f>
        <v/>
      </c>
      <c r="O111" s="52">
        <f>IFERROR(IF(INDEX('CFOG'!$P$23:$P$24,MATCH($F111,'CFOG'!$B$23:$B$24,0))="","Cell will autofill based on response",INDEX('CFOG'!$P$23:$P$24,MATCH($F111,'CFOG'!$B$23:$B$24,0))),"N/A")</f>
        <v/>
      </c>
      <c r="P111" s="52">
        <f>IFERROR(IF(INDEX('ESG'!$P$10:$P$17,MATCH($F111,'ESG'!$B$10:$B$17,0))="","Cell will autofill based on response",INDEX('ESG'!$P$10:$P$17,MATCH($F111,'ESG'!$B$10:$B$17,0))),"N/A")</f>
        <v/>
      </c>
      <c r="Q111" s="52">
        <f>IFERROR(IF(INDEX('CIOG'!$P$10:$P$14,MATCH($F111,'CIOG'!$B$10:$B$14,0))="","Cell will autofill based on response",INDEX('CIOG'!$P$10:$P$14,MATCH($F111,'CIOG'!$B$10:$B$14,0))),"N/A")</f>
        <v/>
      </c>
      <c r="R111" s="52">
        <f>IFERROR(IF(INDEX('MRE'!$P$10:$P$18,MATCH($F111,'MRE'!$B$10:$B$18,0))="","Cell will autofill based on response",INDEX('MRE'!$P$10:$P$18,MATCH($F111,'MRE'!$B$10:$B$18,0))),"N/A")</f>
        <v/>
      </c>
      <c r="S111" s="52">
        <f>IFERROR(IF(INDEX('AC&amp;M'!$P$10:$P$14,MATCH($F111,'AC&amp;M'!$B$10:$B$14,0))="","Cell will autofill based on response",INDEX('AC&amp;M'!$P$10:$P$14,MATCH($F111,'AC&amp;M'!$B$10:$B$14,0))),"N/A")</f>
        <v/>
      </c>
      <c r="T111" s="52">
        <f>IFERROR(IF(INDEX('GCE'!$P$10:$P$12,MATCH($F111,'GCE'!$B$10:$B$12,0))="","Cell will autofill based on response",INDEX('GCE'!$P$10:$P$12,MATCH($F111,'GCE'!$B$10:$B$12,0))),"N/A")</f>
        <v/>
      </c>
      <c r="U111" s="52">
        <f>IFERROR(IF(INDEX('Education'!$P$10:$P$13,MATCH($F111,'Education'!$B$10:$B$13,0))="","Cell will autofill based on response",INDEX('Education'!$P$10:$P$13,MATCH($F111,'Education'!$B$10:$B$13,0))),"N/A")</f>
        <v/>
      </c>
      <c r="V111" s="52">
        <f>IFERROR(IF(INDEX('SaSS'!$P$10:$P$12,MATCH($F111,'SaSS'!$B$10:$B$12,0))="","Cell will autofill based on response",INDEX('SaSS'!$P$10:$P$12,MATCH($F111,'SaSS'!$B$10:$B$12,0))),"N/A")</f>
        <v/>
      </c>
      <c r="W111" s="52">
        <f>IFERROR(IF(INDEX('Indigenous'!$P$10:$P$11,MATCH($F111,'Indigenous'!$B$10:$B$11,0))="","Cell will autofill based on response",INDEX('Indigenous'!$P$10:$P$11,MATCH($F111,'Indigenous'!$B$10:$B$11,0))),"N/A")</f>
        <v/>
      </c>
      <c r="X111" s="52">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2">
        <f>IFERROR(IF(INDEX('Faculties'!$Q$10:$Q$19,MATCH($F112,'Faculties'!$B$10:$B$19,0))="","Cell will autofill based on response",INDEX('Faculties'!$Q$10:$Q$19,MATCH($F112,'Faculties'!$B$10:$B$19,0))),"N/A")</f>
        <v/>
      </c>
      <c r="I112" s="52">
        <f>IFERROR(IF(INDEX('Faculties'!$Q$26:$Q$35,MATCH($F112,'Faculties'!$B$26:$B$35,0))="","Cell will autofill based on response",INDEX('Faculties'!$Q$26:$Q$35,MATCH($F112,'Faculties'!$B$26:$B$35,0))),"N/A")</f>
        <v/>
      </c>
      <c r="J112" s="52">
        <f>IFERROR(IF(INDEX('Faculties'!$Q$42:$Q$51,MATCH($F112,'Faculties'!$B$42:$B$51,0))="","Cell will autofill based on response",INDEX('Faculties'!$Q$42:$Q$51,MATCH($F112,'Faculties'!$B$42:$B$51,0))),"N/A")</f>
        <v/>
      </c>
      <c r="K112" s="52">
        <f>IFERROR(IF(INDEX('Faculties'!$Q$58:$Q$67,MATCH($F112,'Faculties'!$B$58:$B$67,0))="","Cell will autofill based on response",INDEX('Faculties'!$Q$58:$Q$67,MATCH($F112,'Faculties'!$B$58:$B$67,0))),"N/A")</f>
        <v/>
      </c>
      <c r="L112" s="52">
        <f>IFERROR(IF(INDEX('CI&amp;S'!$Q$10:$Q$15,MATCH($F112,'CI&amp;S'!$B$10:$B$15,0))="","Cell will autofill based on response",INDEX('CI&amp;S'!$Q$10:$Q$15,MATCH($F112,'CI&amp;S'!$B$10:$B$15,0))),"N/A")</f>
        <v/>
      </c>
      <c r="M112" s="52">
        <f>IFERROR(IF(INDEX('CI&amp;S'!$Q$22:$Q$36,MATCH($F112,'CI&amp;S'!$B$22:$B$36,0))="","Cell will autofill based on response",INDEX('CI&amp;S'!$Q$22:$Q$36,MATCH($F112,'CI&amp;S'!$B$22:$B$36,0))),"N/A")</f>
        <v/>
      </c>
      <c r="N112" s="52">
        <f>IFERROR(IF(INDEX('CFOG'!$Q$10:$Q$16,MATCH($F112,'CFOG'!$B$10:$B$16,0))="","Cell will autofill based on response",INDEX('CFOG'!$Q$10:$Q$16,MATCH($F112,'CFOG'!$B$10:$B$16,0))),"N/A")</f>
        <v/>
      </c>
      <c r="O112" s="52">
        <f>IFERROR(IF(INDEX('CFOG'!$Q$23:$Q$24,MATCH($F112,'CFOG'!$B$23:$B$24,0))="","Cell will autofill based on response",INDEX('CFOG'!$Q$23:$Q$24,MATCH($F112,'CFOG'!$B$23:$B$24,0))),"N/A")</f>
        <v/>
      </c>
      <c r="P112" s="52">
        <f>IFERROR(IF(INDEX('ESG'!$Q$10:$Q$17,MATCH($F112,'ESG'!$B$10:$B$17,0))="","Cell will autofill based on response",INDEX('ESG'!$Q$10:$Q$17,MATCH($F112,'ESG'!$B$10:$B$17,0))),"N/A")</f>
        <v/>
      </c>
      <c r="Q112" s="52">
        <f>IFERROR(IF(INDEX('CIOG'!$Q$10:$Q$14,MATCH($F112,'CIOG'!$B$10:$B$14,0))="","Cell will autofill based on response",INDEX('CIOG'!$Q$10:$Q$14,MATCH($F112,'CIOG'!$B$10:$B$14,0))),"N/A")</f>
        <v/>
      </c>
      <c r="R112" s="52">
        <f>IFERROR(IF(INDEX('MRE'!$Q$10:$Q$18,MATCH($F112,'MRE'!$B$10:$B$18,0))="","Cell will autofill based on response",INDEX('MRE'!$Q$10:$Q$18,MATCH($F112,'MRE'!$B$10:$B$18,0))),"N/A")</f>
        <v/>
      </c>
      <c r="S112" s="52">
        <f>IFERROR(IF(INDEX('AC&amp;M'!$Q$10:$Q$14,MATCH($F112,'AC&amp;M'!$B$10:$B$14,0))="","Cell will autofill based on response",INDEX('AC&amp;M'!$Q$10:$Q$14,MATCH($F112,'AC&amp;M'!$B$10:$B$14,0))),"N/A")</f>
        <v/>
      </c>
      <c r="T112" s="52">
        <f>IFERROR(IF(INDEX('GCE'!$Q$10:$Q$12,MATCH($F112,'GCE'!$B$10:$B$12,0))="","Cell will autofill based on response",INDEX('GCE'!$Q$10:$Q$12,MATCH($F112,'GCE'!$B$10:$B$12,0))),"N/A")</f>
        <v/>
      </c>
      <c r="U112" s="52">
        <f>IFERROR(IF(INDEX('Education'!$Q$10:$Q$13,MATCH($F112,'Education'!$B$10:$B$13,0))="","Cell will autofill based on response",INDEX('Education'!$Q$10:$Q$13,MATCH($F112,'Education'!$B$10:$B$13,0))),"N/A")</f>
        <v/>
      </c>
      <c r="V112" s="52">
        <f>IFERROR(IF(INDEX('SaSS'!$Q$10:$Q$12,MATCH($F112,'SaSS'!$B$10:$B$12,0))="","Cell will autofill based on response",INDEX('SaSS'!$Q$10:$Q$12,MATCH($F112,'SaSS'!$B$10:$B$12,0))),"N/A")</f>
        <v/>
      </c>
      <c r="W112" s="52">
        <f>IFERROR(IF(INDEX('Indigenous'!$Q$10:$Q$11,MATCH($F112,'Indigenous'!$B$10:$B$11,0))="","Cell will autofill based on response",INDEX('Indigenous'!$Q$10:$Q$11,MATCH($F112,'Indigenous'!$B$10:$B$11,0))),"N/A")</f>
        <v/>
      </c>
      <c r="X112" s="52">
        <f>IFERROR(IF(INDEX('L&amp;R'!$Q$10:$Q$11,MATCH($F112,'L&amp;R'!$B$10:$B$11,0))="","Cell will autofill based on response",INDEX('L&amp;R'!$Q$10:$Q$11,MATCH($F112,'L&amp;R'!$B$10:$B$11,0))),"N/A")</f>
        <v/>
      </c>
    </row>
    <row r="113">
      <c r="A113">
        <f>F113&amp;"|"&amp;G113</f>
        <v/>
      </c>
      <c r="B113" s="7" t="inlineStr">
        <is>
          <t>CL2(c)</t>
        </is>
      </c>
      <c r="C113" s="50" t="inlineStr">
        <is>
          <t>Climate leadership</t>
        </is>
      </c>
      <c r="D113" s="50" t="inlineStr">
        <is>
          <t>Ongoing communications that evidence the University’s climate action, research and learning to inform policy, sector and community decarbonisation efforts.</t>
        </is>
      </c>
      <c r="E113" s="50" t="inlineStr">
        <is>
          <t>List and describe communications from the faculty in terms of climate action, research and learning to inform policy, sector and community decarbonisation efforts</t>
        </is>
      </c>
      <c r="F113" s="50" t="inlineStr">
        <is>
          <t>CL2(c)</t>
        </is>
      </c>
      <c r="G113" s="50" t="inlineStr">
        <is>
          <t>Confirm end-2026 target status</t>
        </is>
      </c>
      <c r="H113" s="52">
        <f>IFERROR(IF(INDEX('Faculties'!$L$10:$L$19,MATCH($F113,'Faculties'!$B$10:$B$19,0))="","Cell will autofill based on response",INDEX('Faculties'!$L$10:$L$19,MATCH($F113,'Faculties'!$B$10:$B$19,0))),"N/A")</f>
        <v/>
      </c>
      <c r="I113" s="52">
        <f>IFERROR(IF(INDEX('Faculties'!$L$26:$L$35,MATCH($F113,'Faculties'!$B$26:$B$35,0))="","Cell will autofill based on response",INDEX('Faculties'!$L$26:$L$35,MATCH($F113,'Faculties'!$B$26:$B$35,0))),"N/A")</f>
        <v/>
      </c>
      <c r="J113" s="52">
        <f>IFERROR(IF(INDEX('Faculties'!$L$42:$L$51,MATCH($F113,'Faculties'!$B$42:$B$51,0))="","Cell will autofill based on response",INDEX('Faculties'!$L$42:$L$51,MATCH($F113,'Faculties'!$B$42:$B$51,0))),"N/A")</f>
        <v/>
      </c>
      <c r="K113" s="52">
        <f>IFERROR(IF(INDEX('Faculties'!$L$58:$L$67,MATCH($F113,'Faculties'!$B$58:$B$67,0))="","Cell will autofill based on response",INDEX('Faculties'!$L$58:$L$67,MATCH($F113,'Faculties'!$B$58:$B$67,0))),"N/A")</f>
        <v/>
      </c>
      <c r="L113" s="52">
        <f>IFERROR(IF(INDEX('CI&amp;S'!$L$10:$L$15,MATCH($F113,'CI&amp;S'!$B$10:$B$15,0))="","Cell will autofill based on response",INDEX('CI&amp;S'!$L$10:$L$15,MATCH($F113,'CI&amp;S'!$B$10:$B$15,0))),"N/A")</f>
        <v/>
      </c>
      <c r="M113" s="52">
        <f>IFERROR(IF(INDEX('CI&amp;S'!$L$22:$L$36,MATCH($F113,'CI&amp;S'!$B$22:$B$36,0))="","Cell will autofill based on response",INDEX('CI&amp;S'!$L$22:$L$36,MATCH($F113,'CI&amp;S'!$B$22:$B$36,0))),"N/A")</f>
        <v/>
      </c>
      <c r="N113" s="52">
        <f>IFERROR(IF(INDEX('CFOG'!$L$10:$L$16,MATCH($F113,'CFOG'!$B$10:$B$16,0))="","Cell will autofill based on response",INDEX('CFOG'!$L$10:$L$16,MATCH($F113,'CFOG'!$B$10:$B$16,0))),"N/A")</f>
        <v/>
      </c>
      <c r="O113" s="52">
        <f>IFERROR(IF(INDEX('CFOG'!$L$23:$L$24,MATCH($F113,'CFOG'!$B$23:$B$24,0))="","Cell will autofill based on response",INDEX('CFOG'!$L$23:$L$24,MATCH($F113,'CFOG'!$B$23:$B$24,0))),"N/A")</f>
        <v/>
      </c>
      <c r="P113" s="52">
        <f>IFERROR(IF(INDEX('ESG'!$L$10:$L$17,MATCH($F113,'ESG'!$B$10:$B$17,0))="","Cell will autofill based on response",INDEX('ESG'!$L$10:$L$17,MATCH($F113,'ESG'!$B$10:$B$17,0))),"N/A")</f>
        <v/>
      </c>
      <c r="Q113" s="52">
        <f>IFERROR(IF(INDEX('CIOG'!$L$10:$L$14,MATCH($F113,'CIOG'!$B$10:$B$14,0))="","Cell will autofill based on response",INDEX('CIOG'!$L$10:$L$14,MATCH($F113,'CIOG'!$B$10:$B$14,0))),"N/A")</f>
        <v/>
      </c>
      <c r="R113" s="52">
        <f>IFERROR(IF(INDEX('MRE'!$L$10:$L$18,MATCH($F113,'MRE'!$B$10:$B$18,0))="","Cell will autofill based on response",INDEX('MRE'!$L$10:$L$18,MATCH($F113,'MRE'!$B$10:$B$18,0))),"N/A")</f>
        <v/>
      </c>
      <c r="S113" s="52">
        <f>IFERROR(IF(INDEX('AC&amp;M'!$L$10:$L$14,MATCH($F113,'AC&amp;M'!$B$10:$B$14,0))="","Cell will autofill based on response",INDEX('AC&amp;M'!$L$10:$L$14,MATCH($F113,'AC&amp;M'!$B$10:$B$14,0))),"N/A")</f>
        <v/>
      </c>
      <c r="T113" s="52">
        <f>IFERROR(IF(INDEX('GCE'!$L$10:$L$12,MATCH($F113,'GCE'!$B$10:$B$12,0))="","Cell will autofill based on response",INDEX('GCE'!$L$10:$L$12,MATCH($F113,'GCE'!$B$10:$B$12,0))),"N/A")</f>
        <v/>
      </c>
      <c r="U113" s="52">
        <f>IFERROR(IF(INDEX('Education'!$L$10:$L$13,MATCH($F113,'Education'!$B$10:$B$13,0))="","Cell will autofill based on response",INDEX('Education'!$L$10:$L$13,MATCH($F113,'Education'!$B$10:$B$13,0))),"N/A")</f>
        <v/>
      </c>
      <c r="V113" s="52">
        <f>IFERROR(IF(INDEX('SaSS'!$L$10:$L$12,MATCH($F113,'SaSS'!$B$10:$B$12,0))="","Cell will autofill based on response",INDEX('SaSS'!$L$10:$L$12,MATCH($F113,'SaSS'!$B$10:$B$12,0))),"N/A")</f>
        <v/>
      </c>
      <c r="W113" s="52">
        <f>IFERROR(IF(INDEX('Indigenous'!$L$10:$L$11,MATCH($F113,'Indigenous'!$B$10:$B$11,0))="","Cell will autofill based on response",INDEX('Indigenous'!$L$10:$L$11,MATCH($F113,'Indigenous'!$B$10:$B$11,0))),"N/A")</f>
        <v/>
      </c>
      <c r="X113" s="52">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3">
        <f>IF(AF113&gt;0,AE113/AF113,"No valid responses to date")</f>
        <v/>
      </c>
      <c r="AH113" s="10">
        <f>IF(ISNUMBER(AG113),INDEX(Lists!$G$2:$G$5,MATCH(ROUND(AG113,0),Lists!$H$2:$H$5,0)),"")</f>
        <v/>
      </c>
      <c r="AI113" s="54">
        <f>IF(AF113&gt;0,AD113/AF113,"")</f>
        <v/>
      </c>
      <c r="AJ113" s="54">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2">
        <f>IFERROR(IF(INDEX('Faculties'!$M$10:$M$19,MATCH($F114,'Faculties'!$B$10:$B$19,0))="","Cell will autofill based on response",INDEX('Faculties'!$M$10:$M$19,MATCH($F114,'Faculties'!$B$10:$B$19,0))),"N/A")</f>
        <v/>
      </c>
      <c r="I114" s="52">
        <f>IFERROR(IF(INDEX('Faculties'!$M$26:$M$35,MATCH($F114,'Faculties'!$B$26:$B$35,0))="","Cell will autofill based on response",INDEX('Faculties'!$M$26:$M$35,MATCH($F114,'Faculties'!$B$26:$B$35,0))),"N/A")</f>
        <v/>
      </c>
      <c r="J114" s="52">
        <f>IFERROR(IF(INDEX('Faculties'!$M$42:$M$51,MATCH($F114,'Faculties'!$B$42:$B$51,0))="","Cell will autofill based on response",INDEX('Faculties'!$M$42:$M$51,MATCH($F114,'Faculties'!$B$42:$B$51,0))),"N/A")</f>
        <v/>
      </c>
      <c r="K114" s="52">
        <f>IFERROR(IF(INDEX('Faculties'!$M$58:$M$67,MATCH($F114,'Faculties'!$B$58:$B$67,0))="","Cell will autofill based on response",INDEX('Faculties'!$M$58:$M$67,MATCH($F114,'Faculties'!$B$58:$B$67,0))),"N/A")</f>
        <v/>
      </c>
      <c r="L114" s="52">
        <f>IFERROR(IF(INDEX('CI&amp;S'!$M$10:$M$15,MATCH($F114,'CI&amp;S'!$B$10:$B$15,0))="","Cell will autofill based on response",INDEX('CI&amp;S'!$M$10:$M$15,MATCH($F114,'CI&amp;S'!$B$10:$B$15,0))),"N/A")</f>
        <v/>
      </c>
      <c r="M114" s="52">
        <f>IFERROR(IF(INDEX('CI&amp;S'!$M$22:$M$36,MATCH($F114,'CI&amp;S'!$B$22:$B$36,0))="","Cell will autofill based on response",INDEX('CI&amp;S'!$M$22:$M$36,MATCH($F114,'CI&amp;S'!$B$22:$B$36,0))),"N/A")</f>
        <v/>
      </c>
      <c r="N114" s="52">
        <f>IFERROR(IF(INDEX('CFOG'!$M$10:$M$16,MATCH($F114,'CFOG'!$B$10:$B$16,0))="","Cell will autofill based on response",INDEX('CFOG'!$M$10:$M$16,MATCH($F114,'CFOG'!$B$10:$B$16,0))),"N/A")</f>
        <v/>
      </c>
      <c r="O114" s="52">
        <f>IFERROR(IF(INDEX('CFOG'!$M$23:$M$24,MATCH($F114,'CFOG'!$B$23:$B$24,0))="","Cell will autofill based on response",INDEX('CFOG'!$M$23:$M$24,MATCH($F114,'CFOG'!$B$23:$B$24,0))),"N/A")</f>
        <v/>
      </c>
      <c r="P114" s="52">
        <f>IFERROR(IF(INDEX('ESG'!$M$10:$M$17,MATCH($F114,'ESG'!$B$10:$B$17,0))="","Cell will autofill based on response",INDEX('ESG'!$M$10:$M$17,MATCH($F114,'ESG'!$B$10:$B$17,0))),"N/A")</f>
        <v/>
      </c>
      <c r="Q114" s="52">
        <f>IFERROR(IF(INDEX('CIOG'!$M$10:$M$14,MATCH($F114,'CIOG'!$B$10:$B$14,0))="","Cell will autofill based on response",INDEX('CIOG'!$M$10:$M$14,MATCH($F114,'CIOG'!$B$10:$B$14,0))),"N/A")</f>
        <v/>
      </c>
      <c r="R114" s="52">
        <f>IFERROR(IF(INDEX('MRE'!$M$10:$M$18,MATCH($F114,'MRE'!$B$10:$B$18,0))="","Cell will autofill based on response",INDEX('MRE'!$M$10:$M$18,MATCH($F114,'MRE'!$B$10:$B$18,0))),"N/A")</f>
        <v/>
      </c>
      <c r="S114" s="52">
        <f>IFERROR(IF(INDEX('AC&amp;M'!$M$10:$M$14,MATCH($F114,'AC&amp;M'!$B$10:$B$14,0))="","Cell will autofill based on response",INDEX('AC&amp;M'!$M$10:$M$14,MATCH($F114,'AC&amp;M'!$B$10:$B$14,0))),"N/A")</f>
        <v/>
      </c>
      <c r="T114" s="52">
        <f>IFERROR(IF(INDEX('GCE'!$M$10:$M$12,MATCH($F114,'GCE'!$B$10:$B$12,0))="","Cell will autofill based on response",INDEX('GCE'!$M$10:$M$12,MATCH($F114,'GCE'!$B$10:$B$12,0))),"N/A")</f>
        <v/>
      </c>
      <c r="U114" s="52">
        <f>IFERROR(IF(INDEX('Education'!$M$10:$M$13,MATCH($F114,'Education'!$B$10:$B$13,0))="","Cell will autofill based on response",INDEX('Education'!$M$10:$M$13,MATCH($F114,'Education'!$B$10:$B$13,0))),"N/A")</f>
        <v/>
      </c>
      <c r="V114" s="52">
        <f>IFERROR(IF(INDEX('SaSS'!$M$10:$M$12,MATCH($F114,'SaSS'!$B$10:$B$12,0))="","Cell will autofill based on response",INDEX('SaSS'!$M$10:$M$12,MATCH($F114,'SaSS'!$B$10:$B$12,0))),"N/A")</f>
        <v/>
      </c>
      <c r="W114" s="52">
        <f>IFERROR(IF(INDEX('Indigenous'!$M$10:$M$11,MATCH($F114,'Indigenous'!$B$10:$B$11,0))="","Cell will autofill based on response",INDEX('Indigenous'!$M$10:$M$11,MATCH($F114,'Indigenous'!$B$10:$B$11,0))),"N/A")</f>
        <v/>
      </c>
      <c r="X114" s="52">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2">
        <f>IFERROR(IF(INDEX('Faculties'!$N$10:$N$19,MATCH($F115,'Faculties'!$B$10:$B$19,0))="","Cell will autofill based on response",INDEX('Faculties'!$N$10:$N$19,MATCH($F115,'Faculties'!$B$10:$B$19,0))),"N/A")</f>
        <v/>
      </c>
      <c r="I115" s="52">
        <f>IFERROR(IF(INDEX('Faculties'!$N$26:$N$35,MATCH($F115,'Faculties'!$B$26:$B$35,0))="","Cell will autofill based on response",INDEX('Faculties'!$N$26:$N$35,MATCH($F115,'Faculties'!$B$26:$B$35,0))),"N/A")</f>
        <v/>
      </c>
      <c r="J115" s="52">
        <f>IFERROR(IF(INDEX('Faculties'!$N$42:$N$51,MATCH($F115,'Faculties'!$B$42:$B$51,0))="","Cell will autofill based on response",INDEX('Faculties'!$N$42:$N$51,MATCH($F115,'Faculties'!$B$42:$B$51,0))),"N/A")</f>
        <v/>
      </c>
      <c r="K115" s="52">
        <f>IFERROR(IF(INDEX('Faculties'!$N$58:$N$67,MATCH($F115,'Faculties'!$B$58:$B$67,0))="","Cell will autofill based on response",INDEX('Faculties'!$N$58:$N$67,MATCH($F115,'Faculties'!$B$58:$B$67,0))),"N/A")</f>
        <v/>
      </c>
      <c r="L115" s="52">
        <f>IFERROR(IF(INDEX('CI&amp;S'!$N$10:$N$15,MATCH($F115,'CI&amp;S'!$B$10:$B$15,0))="","Cell will autofill based on response",INDEX('CI&amp;S'!$N$10:$N$15,MATCH($F115,'CI&amp;S'!$B$10:$B$15,0))),"N/A")</f>
        <v/>
      </c>
      <c r="M115" s="52">
        <f>IFERROR(IF(INDEX('CI&amp;S'!$N$22:$N$36,MATCH($F115,'CI&amp;S'!$B$22:$B$36,0))="","Cell will autofill based on response",INDEX('CI&amp;S'!$N$22:$N$36,MATCH($F115,'CI&amp;S'!$B$22:$B$36,0))),"N/A")</f>
        <v/>
      </c>
      <c r="N115" s="52">
        <f>IFERROR(IF(INDEX('CFOG'!$N$10:$N$16,MATCH($F115,'CFOG'!$B$10:$B$16,0))="","Cell will autofill based on response",INDEX('CFOG'!$N$10:$N$16,MATCH($F115,'CFOG'!$B$10:$B$16,0))),"N/A")</f>
        <v/>
      </c>
      <c r="O115" s="52">
        <f>IFERROR(IF(INDEX('CFOG'!$N$23:$N$24,MATCH($F115,'CFOG'!$B$23:$B$24,0))="","Cell will autofill based on response",INDEX('CFOG'!$N$23:$N$24,MATCH($F115,'CFOG'!$B$23:$B$24,0))),"N/A")</f>
        <v/>
      </c>
      <c r="P115" s="52">
        <f>IFERROR(IF(INDEX('ESG'!$N$10:$N$17,MATCH($F115,'ESG'!$B$10:$B$17,0))="","Cell will autofill based on response",INDEX('ESG'!$N$10:$N$17,MATCH($F115,'ESG'!$B$10:$B$17,0))),"N/A")</f>
        <v/>
      </c>
      <c r="Q115" s="52">
        <f>IFERROR(IF(INDEX('CIOG'!$N$10:$N$14,MATCH($F115,'CIOG'!$B$10:$B$14,0))="","Cell will autofill based on response",INDEX('CIOG'!$N$10:$N$14,MATCH($F115,'CIOG'!$B$10:$B$14,0))),"N/A")</f>
        <v/>
      </c>
      <c r="R115" s="52">
        <f>IFERROR(IF(INDEX('MRE'!$N$10:$N$18,MATCH($F115,'MRE'!$B$10:$B$18,0))="","Cell will autofill based on response",INDEX('MRE'!$N$10:$N$18,MATCH($F115,'MRE'!$B$10:$B$18,0))),"N/A")</f>
        <v/>
      </c>
      <c r="S115" s="52">
        <f>IFERROR(IF(INDEX('AC&amp;M'!$N$10:$N$14,MATCH($F115,'AC&amp;M'!$B$10:$B$14,0))="","Cell will autofill based on response",INDEX('AC&amp;M'!$N$10:$N$14,MATCH($F115,'AC&amp;M'!$B$10:$B$14,0))),"N/A")</f>
        <v/>
      </c>
      <c r="T115" s="52">
        <f>IFERROR(IF(INDEX('GCE'!$N$10:$N$12,MATCH($F115,'GCE'!$B$10:$B$12,0))="","Cell will autofill based on response",INDEX('GCE'!$N$10:$N$12,MATCH($F115,'GCE'!$B$10:$B$12,0))),"N/A")</f>
        <v/>
      </c>
      <c r="U115" s="52">
        <f>IFERROR(IF(INDEX('Education'!$N$10:$N$13,MATCH($F115,'Education'!$B$10:$B$13,0))="","Cell will autofill based on response",INDEX('Education'!$N$10:$N$13,MATCH($F115,'Education'!$B$10:$B$13,0))),"N/A")</f>
        <v/>
      </c>
      <c r="V115" s="52">
        <f>IFERROR(IF(INDEX('SaSS'!$N$10:$N$12,MATCH($F115,'SaSS'!$B$10:$B$12,0))="","Cell will autofill based on response",INDEX('SaSS'!$N$10:$N$12,MATCH($F115,'SaSS'!$B$10:$B$12,0))),"N/A")</f>
        <v/>
      </c>
      <c r="W115" s="52">
        <f>IFERROR(IF(INDEX('Indigenous'!$N$10:$N$11,MATCH($F115,'Indigenous'!$B$10:$B$11,0))="","Cell will autofill based on response",INDEX('Indigenous'!$N$10:$N$11,MATCH($F115,'Indigenous'!$B$10:$B$11,0))),"N/A")</f>
        <v/>
      </c>
      <c r="X115" s="52">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2">
        <f>IFERROR(IF(INDEX('Faculties'!$O$10:$O$19,MATCH($F116,'Faculties'!$B$10:$B$19,0))="","Cell will autofill based on response",INDEX('Faculties'!$O$10:$O$19,MATCH($F116,'Faculties'!$B$10:$B$19,0))),"N/A")</f>
        <v/>
      </c>
      <c r="I116" s="52">
        <f>IFERROR(IF(INDEX('Faculties'!$O$26:$O$35,MATCH($F116,'Faculties'!$B$26:$B$35,0))="","Cell will autofill based on response",INDEX('Faculties'!$O$26:$O$35,MATCH($F116,'Faculties'!$B$26:$B$35,0))),"N/A")</f>
        <v/>
      </c>
      <c r="J116" s="52">
        <f>IFERROR(IF(INDEX('Faculties'!$O$42:$O$51,MATCH($F116,'Faculties'!$B$42:$B$51,0))="","Cell will autofill based on response",INDEX('Faculties'!$O$42:$O$51,MATCH($F116,'Faculties'!$B$42:$B$51,0))),"N/A")</f>
        <v/>
      </c>
      <c r="K116" s="52">
        <f>IFERROR(IF(INDEX('Faculties'!$O$58:$O$67,MATCH($F116,'Faculties'!$B$58:$B$67,0))="","Cell will autofill based on response",INDEX('Faculties'!$O$58:$O$67,MATCH($F116,'Faculties'!$B$58:$B$67,0))),"N/A")</f>
        <v/>
      </c>
      <c r="L116" s="52">
        <f>IFERROR(IF(INDEX('CI&amp;S'!$O$10:$O$15,MATCH($F116,'CI&amp;S'!$B$10:$B$15,0))="","Cell will autofill based on response",INDEX('CI&amp;S'!$O$10:$O$15,MATCH($F116,'CI&amp;S'!$B$10:$B$15,0))),"N/A")</f>
        <v/>
      </c>
      <c r="M116" s="52">
        <f>IFERROR(IF(INDEX('CI&amp;S'!$O$22:$O$36,MATCH($F116,'CI&amp;S'!$B$22:$B$36,0))="","Cell will autofill based on response",INDEX('CI&amp;S'!$O$22:$O$36,MATCH($F116,'CI&amp;S'!$B$22:$B$36,0))),"N/A")</f>
        <v/>
      </c>
      <c r="N116" s="52">
        <f>IFERROR(IF(INDEX('CFOG'!$O$10:$O$16,MATCH($F116,'CFOG'!$B$10:$B$16,0))="","Cell will autofill based on response",INDEX('CFOG'!$O$10:$O$16,MATCH($F116,'CFOG'!$B$10:$B$16,0))),"N/A")</f>
        <v/>
      </c>
      <c r="O116" s="52">
        <f>IFERROR(IF(INDEX('CFOG'!$O$23:$O$24,MATCH($F116,'CFOG'!$B$23:$B$24,0))="","Cell will autofill based on response",INDEX('CFOG'!$O$23:$O$24,MATCH($F116,'CFOG'!$B$23:$B$24,0))),"N/A")</f>
        <v/>
      </c>
      <c r="P116" s="52">
        <f>IFERROR(IF(INDEX('ESG'!$O$10:$O$17,MATCH($F116,'ESG'!$B$10:$B$17,0))="","Cell will autofill based on response",INDEX('ESG'!$O$10:$O$17,MATCH($F116,'ESG'!$B$10:$B$17,0))),"N/A")</f>
        <v/>
      </c>
      <c r="Q116" s="52">
        <f>IFERROR(IF(INDEX('CIOG'!$O$10:$O$14,MATCH($F116,'CIOG'!$B$10:$B$14,0))="","Cell will autofill based on response",INDEX('CIOG'!$O$10:$O$14,MATCH($F116,'CIOG'!$B$10:$B$14,0))),"N/A")</f>
        <v/>
      </c>
      <c r="R116" s="52">
        <f>IFERROR(IF(INDEX('MRE'!$O$10:$O$18,MATCH($F116,'MRE'!$B$10:$B$18,0))="","Cell will autofill based on response",INDEX('MRE'!$O$10:$O$18,MATCH($F116,'MRE'!$B$10:$B$18,0))),"N/A")</f>
        <v/>
      </c>
      <c r="S116" s="52">
        <f>IFERROR(IF(INDEX('AC&amp;M'!$O$10:$O$14,MATCH($F116,'AC&amp;M'!$B$10:$B$14,0))="","Cell will autofill based on response",INDEX('AC&amp;M'!$O$10:$O$14,MATCH($F116,'AC&amp;M'!$B$10:$B$14,0))),"N/A")</f>
        <v/>
      </c>
      <c r="T116" s="52">
        <f>IFERROR(IF(INDEX('GCE'!$O$10:$O$12,MATCH($F116,'GCE'!$B$10:$B$12,0))="","Cell will autofill based on response",INDEX('GCE'!$O$10:$O$12,MATCH($F116,'GCE'!$B$10:$B$12,0))),"N/A")</f>
        <v/>
      </c>
      <c r="U116" s="52">
        <f>IFERROR(IF(INDEX('Education'!$O$10:$O$13,MATCH($F116,'Education'!$B$10:$B$13,0))="","Cell will autofill based on response",INDEX('Education'!$O$10:$O$13,MATCH($F116,'Education'!$B$10:$B$13,0))),"N/A")</f>
        <v/>
      </c>
      <c r="V116" s="52">
        <f>IFERROR(IF(INDEX('SaSS'!$O$10:$O$12,MATCH($F116,'SaSS'!$B$10:$B$12,0))="","Cell will autofill based on response",INDEX('SaSS'!$O$10:$O$12,MATCH($F116,'SaSS'!$B$10:$B$12,0))),"N/A")</f>
        <v/>
      </c>
      <c r="W116" s="52">
        <f>IFERROR(IF(INDEX('Indigenous'!$O$10:$O$11,MATCH($F116,'Indigenous'!$B$10:$B$11,0))="","Cell will autofill based on response",INDEX('Indigenous'!$O$10:$O$11,MATCH($F116,'Indigenous'!$B$10:$B$11,0))),"N/A")</f>
        <v/>
      </c>
      <c r="X116" s="52">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2">
        <f>IFERROR(IF(INDEX('Faculties'!$P$10:$P$19,MATCH($F117,'Faculties'!$B$10:$B$19,0))="","Cell will autofill based on response",INDEX('Faculties'!$P$10:$P$19,MATCH($F117,'Faculties'!$B$10:$B$19,0))),"N/A")</f>
        <v/>
      </c>
      <c r="I117" s="52">
        <f>IFERROR(IF(INDEX('Faculties'!$P$26:$P$35,MATCH($F117,'Faculties'!$B$26:$B$35,0))="","Cell will autofill based on response",INDEX('Faculties'!$P$26:$P$35,MATCH($F117,'Faculties'!$B$26:$B$35,0))),"N/A")</f>
        <v/>
      </c>
      <c r="J117" s="52">
        <f>IFERROR(IF(INDEX('Faculties'!$P$42:$P$51,MATCH($F117,'Faculties'!$B$42:$B$51,0))="","Cell will autofill based on response",INDEX('Faculties'!$P$42:$P$51,MATCH($F117,'Faculties'!$B$42:$B$51,0))),"N/A")</f>
        <v/>
      </c>
      <c r="K117" s="52">
        <f>IFERROR(IF(INDEX('Faculties'!$P$58:$P$67,MATCH($F117,'Faculties'!$B$58:$B$67,0))="","Cell will autofill based on response",INDEX('Faculties'!$P$58:$P$67,MATCH($F117,'Faculties'!$B$58:$B$67,0))),"N/A")</f>
        <v/>
      </c>
      <c r="L117" s="52">
        <f>IFERROR(IF(INDEX('CI&amp;S'!$P$10:$P$15,MATCH($F117,'CI&amp;S'!$B$10:$B$15,0))="","Cell will autofill based on response",INDEX('CI&amp;S'!$P$10:$P$15,MATCH($F117,'CI&amp;S'!$B$10:$B$15,0))),"N/A")</f>
        <v/>
      </c>
      <c r="M117" s="52">
        <f>IFERROR(IF(INDEX('CI&amp;S'!$P$22:$P$36,MATCH($F117,'CI&amp;S'!$B$22:$B$36,0))="","Cell will autofill based on response",INDEX('CI&amp;S'!$P$22:$P$36,MATCH($F117,'CI&amp;S'!$B$22:$B$36,0))),"N/A")</f>
        <v/>
      </c>
      <c r="N117" s="52">
        <f>IFERROR(IF(INDEX('CFOG'!$P$10:$P$16,MATCH($F117,'CFOG'!$B$10:$B$16,0))="","Cell will autofill based on response",INDEX('CFOG'!$P$10:$P$16,MATCH($F117,'CFOG'!$B$10:$B$16,0))),"N/A")</f>
        <v/>
      </c>
      <c r="O117" s="52">
        <f>IFERROR(IF(INDEX('CFOG'!$P$23:$P$24,MATCH($F117,'CFOG'!$B$23:$B$24,0))="","Cell will autofill based on response",INDEX('CFOG'!$P$23:$P$24,MATCH($F117,'CFOG'!$B$23:$B$24,0))),"N/A")</f>
        <v/>
      </c>
      <c r="P117" s="52">
        <f>IFERROR(IF(INDEX('ESG'!$P$10:$P$17,MATCH($F117,'ESG'!$B$10:$B$17,0))="","Cell will autofill based on response",INDEX('ESG'!$P$10:$P$17,MATCH($F117,'ESG'!$B$10:$B$17,0))),"N/A")</f>
        <v/>
      </c>
      <c r="Q117" s="52">
        <f>IFERROR(IF(INDEX('CIOG'!$P$10:$P$14,MATCH($F117,'CIOG'!$B$10:$B$14,0))="","Cell will autofill based on response",INDEX('CIOG'!$P$10:$P$14,MATCH($F117,'CIOG'!$B$10:$B$14,0))),"N/A")</f>
        <v/>
      </c>
      <c r="R117" s="52">
        <f>IFERROR(IF(INDEX('MRE'!$P$10:$P$18,MATCH($F117,'MRE'!$B$10:$B$18,0))="","Cell will autofill based on response",INDEX('MRE'!$P$10:$P$18,MATCH($F117,'MRE'!$B$10:$B$18,0))),"N/A")</f>
        <v/>
      </c>
      <c r="S117" s="52">
        <f>IFERROR(IF(INDEX('AC&amp;M'!$P$10:$P$14,MATCH($F117,'AC&amp;M'!$B$10:$B$14,0))="","Cell will autofill based on response",INDEX('AC&amp;M'!$P$10:$P$14,MATCH($F117,'AC&amp;M'!$B$10:$B$14,0))),"N/A")</f>
        <v/>
      </c>
      <c r="T117" s="52">
        <f>IFERROR(IF(INDEX('GCE'!$P$10:$P$12,MATCH($F117,'GCE'!$B$10:$B$12,0))="","Cell will autofill based on response",INDEX('GCE'!$P$10:$P$12,MATCH($F117,'GCE'!$B$10:$B$12,0))),"N/A")</f>
        <v/>
      </c>
      <c r="U117" s="52">
        <f>IFERROR(IF(INDEX('Education'!$P$10:$P$13,MATCH($F117,'Education'!$B$10:$B$13,0))="","Cell will autofill based on response",INDEX('Education'!$P$10:$P$13,MATCH($F117,'Education'!$B$10:$B$13,0))),"N/A")</f>
        <v/>
      </c>
      <c r="V117" s="52">
        <f>IFERROR(IF(INDEX('SaSS'!$P$10:$P$12,MATCH($F117,'SaSS'!$B$10:$B$12,0))="","Cell will autofill based on response",INDEX('SaSS'!$P$10:$P$12,MATCH($F117,'SaSS'!$B$10:$B$12,0))),"N/A")</f>
        <v/>
      </c>
      <c r="W117" s="52">
        <f>IFERROR(IF(INDEX('Indigenous'!$P$10:$P$11,MATCH($F117,'Indigenous'!$B$10:$B$11,0))="","Cell will autofill based on response",INDEX('Indigenous'!$P$10:$P$11,MATCH($F117,'Indigenous'!$B$10:$B$11,0))),"N/A")</f>
        <v/>
      </c>
      <c r="X117" s="52">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2">
        <f>IFERROR(IF(INDEX('Faculties'!$Q$10:$Q$19,MATCH($F118,'Faculties'!$B$10:$B$19,0))="","Cell will autofill based on response",INDEX('Faculties'!$Q$10:$Q$19,MATCH($F118,'Faculties'!$B$10:$B$19,0))),"N/A")</f>
        <v/>
      </c>
      <c r="I118" s="52">
        <f>IFERROR(IF(INDEX('Faculties'!$Q$26:$Q$35,MATCH($F118,'Faculties'!$B$26:$B$35,0))="","Cell will autofill based on response",INDEX('Faculties'!$Q$26:$Q$35,MATCH($F118,'Faculties'!$B$26:$B$35,0))),"N/A")</f>
        <v/>
      </c>
      <c r="J118" s="52">
        <f>IFERROR(IF(INDEX('Faculties'!$Q$42:$Q$51,MATCH($F118,'Faculties'!$B$42:$B$51,0))="","Cell will autofill based on response",INDEX('Faculties'!$Q$42:$Q$51,MATCH($F118,'Faculties'!$B$42:$B$51,0))),"N/A")</f>
        <v/>
      </c>
      <c r="K118" s="52">
        <f>IFERROR(IF(INDEX('Faculties'!$Q$58:$Q$67,MATCH($F118,'Faculties'!$B$58:$B$67,0))="","Cell will autofill based on response",INDEX('Faculties'!$Q$58:$Q$67,MATCH($F118,'Faculties'!$B$58:$B$67,0))),"N/A")</f>
        <v/>
      </c>
      <c r="L118" s="52">
        <f>IFERROR(IF(INDEX('CI&amp;S'!$Q$10:$Q$15,MATCH($F118,'CI&amp;S'!$B$10:$B$15,0))="","Cell will autofill based on response",INDEX('CI&amp;S'!$Q$10:$Q$15,MATCH($F118,'CI&amp;S'!$B$10:$B$15,0))),"N/A")</f>
        <v/>
      </c>
      <c r="M118" s="52">
        <f>IFERROR(IF(INDEX('CI&amp;S'!$Q$22:$Q$36,MATCH($F118,'CI&amp;S'!$B$22:$B$36,0))="","Cell will autofill based on response",INDEX('CI&amp;S'!$Q$22:$Q$36,MATCH($F118,'CI&amp;S'!$B$22:$B$36,0))),"N/A")</f>
        <v/>
      </c>
      <c r="N118" s="52">
        <f>IFERROR(IF(INDEX('CFOG'!$Q$10:$Q$16,MATCH($F118,'CFOG'!$B$10:$B$16,0))="","Cell will autofill based on response",INDEX('CFOG'!$Q$10:$Q$16,MATCH($F118,'CFOG'!$B$10:$B$16,0))),"N/A")</f>
        <v/>
      </c>
      <c r="O118" s="52">
        <f>IFERROR(IF(INDEX('CFOG'!$Q$23:$Q$24,MATCH($F118,'CFOG'!$B$23:$B$24,0))="","Cell will autofill based on response",INDEX('CFOG'!$Q$23:$Q$24,MATCH($F118,'CFOG'!$B$23:$B$24,0))),"N/A")</f>
        <v/>
      </c>
      <c r="P118" s="52">
        <f>IFERROR(IF(INDEX('ESG'!$Q$10:$Q$17,MATCH($F118,'ESG'!$B$10:$B$17,0))="","Cell will autofill based on response",INDEX('ESG'!$Q$10:$Q$17,MATCH($F118,'ESG'!$B$10:$B$17,0))),"N/A")</f>
        <v/>
      </c>
      <c r="Q118" s="52">
        <f>IFERROR(IF(INDEX('CIOG'!$Q$10:$Q$14,MATCH($F118,'CIOG'!$B$10:$B$14,0))="","Cell will autofill based on response",INDEX('CIOG'!$Q$10:$Q$14,MATCH($F118,'CIOG'!$B$10:$B$14,0))),"N/A")</f>
        <v/>
      </c>
      <c r="R118" s="52">
        <f>IFERROR(IF(INDEX('MRE'!$Q$10:$Q$18,MATCH($F118,'MRE'!$B$10:$B$18,0))="","Cell will autofill based on response",INDEX('MRE'!$Q$10:$Q$18,MATCH($F118,'MRE'!$B$10:$B$18,0))),"N/A")</f>
        <v/>
      </c>
      <c r="S118" s="52">
        <f>IFERROR(IF(INDEX('AC&amp;M'!$Q$10:$Q$14,MATCH($F118,'AC&amp;M'!$B$10:$B$14,0))="","Cell will autofill based on response",INDEX('AC&amp;M'!$Q$10:$Q$14,MATCH($F118,'AC&amp;M'!$B$10:$B$14,0))),"N/A")</f>
        <v/>
      </c>
      <c r="T118" s="52">
        <f>IFERROR(IF(INDEX('GCE'!$Q$10:$Q$12,MATCH($F118,'GCE'!$B$10:$B$12,0))="","Cell will autofill based on response",INDEX('GCE'!$Q$10:$Q$12,MATCH($F118,'GCE'!$B$10:$B$12,0))),"N/A")</f>
        <v/>
      </c>
      <c r="U118" s="52">
        <f>IFERROR(IF(INDEX('Education'!$Q$10:$Q$13,MATCH($F118,'Education'!$B$10:$B$13,0))="","Cell will autofill based on response",INDEX('Education'!$Q$10:$Q$13,MATCH($F118,'Education'!$B$10:$B$13,0))),"N/A")</f>
        <v/>
      </c>
      <c r="V118" s="52">
        <f>IFERROR(IF(INDEX('SaSS'!$Q$10:$Q$12,MATCH($F118,'SaSS'!$B$10:$B$12,0))="","Cell will autofill based on response",INDEX('SaSS'!$Q$10:$Q$12,MATCH($F118,'SaSS'!$B$10:$B$12,0))),"N/A")</f>
        <v/>
      </c>
      <c r="W118" s="52">
        <f>IFERROR(IF(INDEX('Indigenous'!$Q$10:$Q$11,MATCH($F118,'Indigenous'!$B$10:$B$11,0))="","Cell will autofill based on response",INDEX('Indigenous'!$Q$10:$Q$11,MATCH($F118,'Indigenous'!$B$10:$B$11,0))),"N/A")</f>
        <v/>
      </c>
      <c r="X118" s="52">
        <f>IFERROR(IF(INDEX('L&amp;R'!$Q$10:$Q$11,MATCH($F118,'L&amp;R'!$B$10:$B$11,0))="","Cell will autofill based on response",INDEX('L&amp;R'!$Q$10:$Q$11,MATCH($F118,'L&amp;R'!$B$10:$B$11,0))),"N/A")</f>
        <v/>
      </c>
    </row>
    <row r="119">
      <c r="A119">
        <f>F119&amp;"|"&amp;G119</f>
        <v/>
      </c>
      <c r="B119" s="7" t="inlineStr">
        <is>
          <t>CL3(a)</t>
        </is>
      </c>
      <c r="C119" s="50" t="inlineStr">
        <is>
          <t>Climate leadership</t>
        </is>
      </c>
      <c r="D119"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0" t="inlineStr">
        <is>
          <t>Provide update of University maturity assesment. Include maturity ratings, key gaps and priority improvement actions.when available</t>
        </is>
      </c>
      <c r="F119" s="50" t="inlineStr">
        <is>
          <t>CL3(a)</t>
        </is>
      </c>
      <c r="G119" s="50" t="inlineStr">
        <is>
          <t>Confirm end-2026 target status</t>
        </is>
      </c>
      <c r="H119" s="52">
        <f>IFERROR(IF(INDEX('Faculties'!$L$10:$L$19,MATCH($F119,'Faculties'!$B$10:$B$19,0))="","Cell will autofill based on response",INDEX('Faculties'!$L$10:$L$19,MATCH($F119,'Faculties'!$B$10:$B$19,0))),"N/A")</f>
        <v/>
      </c>
      <c r="I119" s="52">
        <f>IFERROR(IF(INDEX('Faculties'!$L$26:$L$35,MATCH($F119,'Faculties'!$B$26:$B$35,0))="","Cell will autofill based on response",INDEX('Faculties'!$L$26:$L$35,MATCH($F119,'Faculties'!$B$26:$B$35,0))),"N/A")</f>
        <v/>
      </c>
      <c r="J119" s="52">
        <f>IFERROR(IF(INDEX('Faculties'!$L$42:$L$51,MATCH($F119,'Faculties'!$B$42:$B$51,0))="","Cell will autofill based on response",INDEX('Faculties'!$L$42:$L$51,MATCH($F119,'Faculties'!$B$42:$B$51,0))),"N/A")</f>
        <v/>
      </c>
      <c r="K119" s="52">
        <f>IFERROR(IF(INDEX('Faculties'!$L$58:$L$67,MATCH($F119,'Faculties'!$B$58:$B$67,0))="","Cell will autofill based on response",INDEX('Faculties'!$L$58:$L$67,MATCH($F119,'Faculties'!$B$58:$B$67,0))),"N/A")</f>
        <v/>
      </c>
      <c r="L119" s="52">
        <f>IFERROR(IF(INDEX('CI&amp;S'!$L$10:$L$15,MATCH($F119,'CI&amp;S'!$B$10:$B$15,0))="","Cell will autofill based on response",INDEX('CI&amp;S'!$L$10:$L$15,MATCH($F119,'CI&amp;S'!$B$10:$B$15,0))),"N/A")</f>
        <v/>
      </c>
      <c r="M119" s="52">
        <f>IFERROR(IF(INDEX('CI&amp;S'!$L$22:$L$36,MATCH($F119,'CI&amp;S'!$B$22:$B$36,0))="","Cell will autofill based on response",INDEX('CI&amp;S'!$L$22:$L$36,MATCH($F119,'CI&amp;S'!$B$22:$B$36,0))),"N/A")</f>
        <v/>
      </c>
      <c r="N119" s="52">
        <f>IFERROR(IF(INDEX('CFOG'!$L$10:$L$16,MATCH($F119,'CFOG'!$B$10:$B$16,0))="","Cell will autofill based on response",INDEX('CFOG'!$L$10:$L$16,MATCH($F119,'CFOG'!$B$10:$B$16,0))),"N/A")</f>
        <v/>
      </c>
      <c r="O119" s="52">
        <f>IFERROR(IF(INDEX('CFOG'!$L$23:$L$24,MATCH($F119,'CFOG'!$B$23:$B$24,0))="","Cell will autofill based on response",INDEX('CFOG'!$L$23:$L$24,MATCH($F119,'CFOG'!$B$23:$B$24,0))),"N/A")</f>
        <v/>
      </c>
      <c r="P119" s="52">
        <f>IFERROR(IF(INDEX('ESG'!$L$10:$L$17,MATCH($F119,'ESG'!$B$10:$B$17,0))="","Cell will autofill based on response",INDEX('ESG'!$L$10:$L$17,MATCH($F119,'ESG'!$B$10:$B$17,0))),"N/A")</f>
        <v/>
      </c>
      <c r="Q119" s="52">
        <f>IFERROR(IF(INDEX('CIOG'!$L$10:$L$14,MATCH($F119,'CIOG'!$B$10:$B$14,0))="","Cell will autofill based on response",INDEX('CIOG'!$L$10:$L$14,MATCH($F119,'CIOG'!$B$10:$B$14,0))),"N/A")</f>
        <v/>
      </c>
      <c r="R119" s="52">
        <f>IFERROR(IF(INDEX('MRE'!$L$10:$L$18,MATCH($F119,'MRE'!$B$10:$B$18,0))="","Cell will autofill based on response",INDEX('MRE'!$L$10:$L$18,MATCH($F119,'MRE'!$B$10:$B$18,0))),"N/A")</f>
        <v/>
      </c>
      <c r="S119" s="52">
        <f>IFERROR(IF(INDEX('AC&amp;M'!$L$10:$L$14,MATCH($F119,'AC&amp;M'!$B$10:$B$14,0))="","Cell will autofill based on response",INDEX('AC&amp;M'!$L$10:$L$14,MATCH($F119,'AC&amp;M'!$B$10:$B$14,0))),"N/A")</f>
        <v/>
      </c>
      <c r="T119" s="52">
        <f>IFERROR(IF(INDEX('GCE'!$L$10:$L$12,MATCH($F119,'GCE'!$B$10:$B$12,0))="","Cell will autofill based on response",INDEX('GCE'!$L$10:$L$12,MATCH($F119,'GCE'!$B$10:$B$12,0))),"N/A")</f>
        <v/>
      </c>
      <c r="U119" s="52">
        <f>IFERROR(IF(INDEX('Education'!$L$10:$L$13,MATCH($F119,'Education'!$B$10:$B$13,0))="","Cell will autofill based on response",INDEX('Education'!$L$10:$L$13,MATCH($F119,'Education'!$B$10:$B$13,0))),"N/A")</f>
        <v/>
      </c>
      <c r="V119" s="52">
        <f>IFERROR(IF(INDEX('SaSS'!$L$10:$L$12,MATCH($F119,'SaSS'!$B$10:$B$12,0))="","Cell will autofill based on response",INDEX('SaSS'!$L$10:$L$12,MATCH($F119,'SaSS'!$B$10:$B$12,0))),"N/A")</f>
        <v/>
      </c>
      <c r="W119" s="52">
        <f>IFERROR(IF(INDEX('Indigenous'!$L$10:$L$11,MATCH($F119,'Indigenous'!$B$10:$B$11,0))="","Cell will autofill based on response",INDEX('Indigenous'!$L$10:$L$11,MATCH($F119,'Indigenous'!$B$10:$B$11,0))),"N/A")</f>
        <v/>
      </c>
      <c r="X119" s="52">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3">
        <f>IF(AF119&gt;0,AE119/AF119,"No valid responses to date")</f>
        <v/>
      </c>
      <c r="AH119" s="10">
        <f>IF(ISNUMBER(AG119),INDEX(Lists!$G$2:$G$5,MATCH(ROUND(AG119,0),Lists!$H$2:$H$5,0)),"")</f>
        <v/>
      </c>
      <c r="AI119" s="54">
        <f>IF(AF119&gt;0,AD119/AF119,"")</f>
        <v/>
      </c>
      <c r="AJ119" s="54">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2">
        <f>IFERROR(IF(INDEX('Faculties'!$M$10:$M$19,MATCH($F120,'Faculties'!$B$10:$B$19,0))="","Cell will autofill based on response",INDEX('Faculties'!$M$10:$M$19,MATCH($F120,'Faculties'!$B$10:$B$19,0))),"N/A")</f>
        <v/>
      </c>
      <c r="I120" s="52">
        <f>IFERROR(IF(INDEX('Faculties'!$M$26:$M$35,MATCH($F120,'Faculties'!$B$26:$B$35,0))="","Cell will autofill based on response",INDEX('Faculties'!$M$26:$M$35,MATCH($F120,'Faculties'!$B$26:$B$35,0))),"N/A")</f>
        <v/>
      </c>
      <c r="J120" s="52">
        <f>IFERROR(IF(INDEX('Faculties'!$M$42:$M$51,MATCH($F120,'Faculties'!$B$42:$B$51,0))="","Cell will autofill based on response",INDEX('Faculties'!$M$42:$M$51,MATCH($F120,'Faculties'!$B$42:$B$51,0))),"N/A")</f>
        <v/>
      </c>
      <c r="K120" s="52">
        <f>IFERROR(IF(INDEX('Faculties'!$M$58:$M$67,MATCH($F120,'Faculties'!$B$58:$B$67,0))="","Cell will autofill based on response",INDEX('Faculties'!$M$58:$M$67,MATCH($F120,'Faculties'!$B$58:$B$67,0))),"N/A")</f>
        <v/>
      </c>
      <c r="L120" s="52">
        <f>IFERROR(IF(INDEX('CI&amp;S'!$M$10:$M$15,MATCH($F120,'CI&amp;S'!$B$10:$B$15,0))="","Cell will autofill based on response",INDEX('CI&amp;S'!$M$10:$M$15,MATCH($F120,'CI&amp;S'!$B$10:$B$15,0))),"N/A")</f>
        <v/>
      </c>
      <c r="M120" s="52">
        <f>IFERROR(IF(INDEX('CI&amp;S'!$M$22:$M$36,MATCH($F120,'CI&amp;S'!$B$22:$B$36,0))="","Cell will autofill based on response",INDEX('CI&amp;S'!$M$22:$M$36,MATCH($F120,'CI&amp;S'!$B$22:$B$36,0))),"N/A")</f>
        <v/>
      </c>
      <c r="N120" s="52">
        <f>IFERROR(IF(INDEX('CFOG'!$M$10:$M$16,MATCH($F120,'CFOG'!$B$10:$B$16,0))="","Cell will autofill based on response",INDEX('CFOG'!$M$10:$M$16,MATCH($F120,'CFOG'!$B$10:$B$16,0))),"N/A")</f>
        <v/>
      </c>
      <c r="O120" s="52">
        <f>IFERROR(IF(INDEX('CFOG'!$M$23:$M$24,MATCH($F120,'CFOG'!$B$23:$B$24,0))="","Cell will autofill based on response",INDEX('CFOG'!$M$23:$M$24,MATCH($F120,'CFOG'!$B$23:$B$24,0))),"N/A")</f>
        <v/>
      </c>
      <c r="P120" s="52">
        <f>IFERROR(IF(INDEX('ESG'!$M$10:$M$17,MATCH($F120,'ESG'!$B$10:$B$17,0))="","Cell will autofill based on response",INDEX('ESG'!$M$10:$M$17,MATCH($F120,'ESG'!$B$10:$B$17,0))),"N/A")</f>
        <v/>
      </c>
      <c r="Q120" s="52">
        <f>IFERROR(IF(INDEX('CIOG'!$M$10:$M$14,MATCH($F120,'CIOG'!$B$10:$B$14,0))="","Cell will autofill based on response",INDEX('CIOG'!$M$10:$M$14,MATCH($F120,'CIOG'!$B$10:$B$14,0))),"N/A")</f>
        <v/>
      </c>
      <c r="R120" s="52">
        <f>IFERROR(IF(INDEX('MRE'!$M$10:$M$18,MATCH($F120,'MRE'!$B$10:$B$18,0))="","Cell will autofill based on response",INDEX('MRE'!$M$10:$M$18,MATCH($F120,'MRE'!$B$10:$B$18,0))),"N/A")</f>
        <v/>
      </c>
      <c r="S120" s="52">
        <f>IFERROR(IF(INDEX('AC&amp;M'!$M$10:$M$14,MATCH($F120,'AC&amp;M'!$B$10:$B$14,0))="","Cell will autofill based on response",INDEX('AC&amp;M'!$M$10:$M$14,MATCH($F120,'AC&amp;M'!$B$10:$B$14,0))),"N/A")</f>
        <v/>
      </c>
      <c r="T120" s="52">
        <f>IFERROR(IF(INDEX('GCE'!$M$10:$M$12,MATCH($F120,'GCE'!$B$10:$B$12,0))="","Cell will autofill based on response",INDEX('GCE'!$M$10:$M$12,MATCH($F120,'GCE'!$B$10:$B$12,0))),"N/A")</f>
        <v/>
      </c>
      <c r="U120" s="52">
        <f>IFERROR(IF(INDEX('Education'!$M$10:$M$13,MATCH($F120,'Education'!$B$10:$B$13,0))="","Cell will autofill based on response",INDEX('Education'!$M$10:$M$13,MATCH($F120,'Education'!$B$10:$B$13,0))),"N/A")</f>
        <v/>
      </c>
      <c r="V120" s="52">
        <f>IFERROR(IF(INDEX('SaSS'!$M$10:$M$12,MATCH($F120,'SaSS'!$B$10:$B$12,0))="","Cell will autofill based on response",INDEX('SaSS'!$M$10:$M$12,MATCH($F120,'SaSS'!$B$10:$B$12,0))),"N/A")</f>
        <v/>
      </c>
      <c r="W120" s="52">
        <f>IFERROR(IF(INDEX('Indigenous'!$M$10:$M$11,MATCH($F120,'Indigenous'!$B$10:$B$11,0))="","Cell will autofill based on response",INDEX('Indigenous'!$M$10:$M$11,MATCH($F120,'Indigenous'!$B$10:$B$11,0))),"N/A")</f>
        <v/>
      </c>
      <c r="X120" s="52">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2">
        <f>IFERROR(IF(INDEX('Faculties'!$N$10:$N$19,MATCH($F121,'Faculties'!$B$10:$B$19,0))="","Cell will autofill based on response",INDEX('Faculties'!$N$10:$N$19,MATCH($F121,'Faculties'!$B$10:$B$19,0))),"N/A")</f>
        <v/>
      </c>
      <c r="I121" s="52">
        <f>IFERROR(IF(INDEX('Faculties'!$N$26:$N$35,MATCH($F121,'Faculties'!$B$26:$B$35,0))="","Cell will autofill based on response",INDEX('Faculties'!$N$26:$N$35,MATCH($F121,'Faculties'!$B$26:$B$35,0))),"N/A")</f>
        <v/>
      </c>
      <c r="J121" s="52">
        <f>IFERROR(IF(INDEX('Faculties'!$N$42:$N$51,MATCH($F121,'Faculties'!$B$42:$B$51,0))="","Cell will autofill based on response",INDEX('Faculties'!$N$42:$N$51,MATCH($F121,'Faculties'!$B$42:$B$51,0))),"N/A")</f>
        <v/>
      </c>
      <c r="K121" s="52">
        <f>IFERROR(IF(INDEX('Faculties'!$N$58:$N$67,MATCH($F121,'Faculties'!$B$58:$B$67,0))="","Cell will autofill based on response",INDEX('Faculties'!$N$58:$N$67,MATCH($F121,'Faculties'!$B$58:$B$67,0))),"N/A")</f>
        <v/>
      </c>
      <c r="L121" s="52">
        <f>IFERROR(IF(INDEX('CI&amp;S'!$N$10:$N$15,MATCH($F121,'CI&amp;S'!$B$10:$B$15,0))="","Cell will autofill based on response",INDEX('CI&amp;S'!$N$10:$N$15,MATCH($F121,'CI&amp;S'!$B$10:$B$15,0))),"N/A")</f>
        <v/>
      </c>
      <c r="M121" s="52">
        <f>IFERROR(IF(INDEX('CI&amp;S'!$N$22:$N$36,MATCH($F121,'CI&amp;S'!$B$22:$B$36,0))="","Cell will autofill based on response",INDEX('CI&amp;S'!$N$22:$N$36,MATCH($F121,'CI&amp;S'!$B$22:$B$36,0))),"N/A")</f>
        <v/>
      </c>
      <c r="N121" s="52">
        <f>IFERROR(IF(INDEX('CFOG'!$N$10:$N$16,MATCH($F121,'CFOG'!$B$10:$B$16,0))="","Cell will autofill based on response",INDEX('CFOG'!$N$10:$N$16,MATCH($F121,'CFOG'!$B$10:$B$16,0))),"N/A")</f>
        <v/>
      </c>
      <c r="O121" s="52">
        <f>IFERROR(IF(INDEX('CFOG'!$N$23:$N$24,MATCH($F121,'CFOG'!$B$23:$B$24,0))="","Cell will autofill based on response",INDEX('CFOG'!$N$23:$N$24,MATCH($F121,'CFOG'!$B$23:$B$24,0))),"N/A")</f>
        <v/>
      </c>
      <c r="P121" s="52">
        <f>IFERROR(IF(INDEX('ESG'!$N$10:$N$17,MATCH($F121,'ESG'!$B$10:$B$17,0))="","Cell will autofill based on response",INDEX('ESG'!$N$10:$N$17,MATCH($F121,'ESG'!$B$10:$B$17,0))),"N/A")</f>
        <v/>
      </c>
      <c r="Q121" s="52">
        <f>IFERROR(IF(INDEX('CIOG'!$N$10:$N$14,MATCH($F121,'CIOG'!$B$10:$B$14,0))="","Cell will autofill based on response",INDEX('CIOG'!$N$10:$N$14,MATCH($F121,'CIOG'!$B$10:$B$14,0))),"N/A")</f>
        <v/>
      </c>
      <c r="R121" s="52">
        <f>IFERROR(IF(INDEX('MRE'!$N$10:$N$18,MATCH($F121,'MRE'!$B$10:$B$18,0))="","Cell will autofill based on response",INDEX('MRE'!$N$10:$N$18,MATCH($F121,'MRE'!$B$10:$B$18,0))),"N/A")</f>
        <v/>
      </c>
      <c r="S121" s="52">
        <f>IFERROR(IF(INDEX('AC&amp;M'!$N$10:$N$14,MATCH($F121,'AC&amp;M'!$B$10:$B$14,0))="","Cell will autofill based on response",INDEX('AC&amp;M'!$N$10:$N$14,MATCH($F121,'AC&amp;M'!$B$10:$B$14,0))),"N/A")</f>
        <v/>
      </c>
      <c r="T121" s="52">
        <f>IFERROR(IF(INDEX('GCE'!$N$10:$N$12,MATCH($F121,'GCE'!$B$10:$B$12,0))="","Cell will autofill based on response",INDEX('GCE'!$N$10:$N$12,MATCH($F121,'GCE'!$B$10:$B$12,0))),"N/A")</f>
        <v/>
      </c>
      <c r="U121" s="52">
        <f>IFERROR(IF(INDEX('Education'!$N$10:$N$13,MATCH($F121,'Education'!$B$10:$B$13,0))="","Cell will autofill based on response",INDEX('Education'!$N$10:$N$13,MATCH($F121,'Education'!$B$10:$B$13,0))),"N/A")</f>
        <v/>
      </c>
      <c r="V121" s="52">
        <f>IFERROR(IF(INDEX('SaSS'!$N$10:$N$12,MATCH($F121,'SaSS'!$B$10:$B$12,0))="","Cell will autofill based on response",INDEX('SaSS'!$N$10:$N$12,MATCH($F121,'SaSS'!$B$10:$B$12,0))),"N/A")</f>
        <v/>
      </c>
      <c r="W121" s="52">
        <f>IFERROR(IF(INDEX('Indigenous'!$N$10:$N$11,MATCH($F121,'Indigenous'!$B$10:$B$11,0))="","Cell will autofill based on response",INDEX('Indigenous'!$N$10:$N$11,MATCH($F121,'Indigenous'!$B$10:$B$11,0))),"N/A")</f>
        <v/>
      </c>
      <c r="X121" s="52">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2">
        <f>IFERROR(IF(INDEX('Faculties'!$O$10:$O$19,MATCH($F122,'Faculties'!$B$10:$B$19,0))="","Cell will autofill based on response",INDEX('Faculties'!$O$10:$O$19,MATCH($F122,'Faculties'!$B$10:$B$19,0))),"N/A")</f>
        <v/>
      </c>
      <c r="I122" s="52">
        <f>IFERROR(IF(INDEX('Faculties'!$O$26:$O$35,MATCH($F122,'Faculties'!$B$26:$B$35,0))="","Cell will autofill based on response",INDEX('Faculties'!$O$26:$O$35,MATCH($F122,'Faculties'!$B$26:$B$35,0))),"N/A")</f>
        <v/>
      </c>
      <c r="J122" s="52">
        <f>IFERROR(IF(INDEX('Faculties'!$O$42:$O$51,MATCH($F122,'Faculties'!$B$42:$B$51,0))="","Cell will autofill based on response",INDEX('Faculties'!$O$42:$O$51,MATCH($F122,'Faculties'!$B$42:$B$51,0))),"N/A")</f>
        <v/>
      </c>
      <c r="K122" s="52">
        <f>IFERROR(IF(INDEX('Faculties'!$O$58:$O$67,MATCH($F122,'Faculties'!$B$58:$B$67,0))="","Cell will autofill based on response",INDEX('Faculties'!$O$58:$O$67,MATCH($F122,'Faculties'!$B$58:$B$67,0))),"N/A")</f>
        <v/>
      </c>
      <c r="L122" s="52">
        <f>IFERROR(IF(INDEX('CI&amp;S'!$O$10:$O$15,MATCH($F122,'CI&amp;S'!$B$10:$B$15,0))="","Cell will autofill based on response",INDEX('CI&amp;S'!$O$10:$O$15,MATCH($F122,'CI&amp;S'!$B$10:$B$15,0))),"N/A")</f>
        <v/>
      </c>
      <c r="M122" s="52">
        <f>IFERROR(IF(INDEX('CI&amp;S'!$O$22:$O$36,MATCH($F122,'CI&amp;S'!$B$22:$B$36,0))="","Cell will autofill based on response",INDEX('CI&amp;S'!$O$22:$O$36,MATCH($F122,'CI&amp;S'!$B$22:$B$36,0))),"N/A")</f>
        <v/>
      </c>
      <c r="N122" s="52">
        <f>IFERROR(IF(INDEX('CFOG'!$O$10:$O$16,MATCH($F122,'CFOG'!$B$10:$B$16,0))="","Cell will autofill based on response",INDEX('CFOG'!$O$10:$O$16,MATCH($F122,'CFOG'!$B$10:$B$16,0))),"N/A")</f>
        <v/>
      </c>
      <c r="O122" s="52">
        <f>IFERROR(IF(INDEX('CFOG'!$O$23:$O$24,MATCH($F122,'CFOG'!$B$23:$B$24,0))="","Cell will autofill based on response",INDEX('CFOG'!$O$23:$O$24,MATCH($F122,'CFOG'!$B$23:$B$24,0))),"N/A")</f>
        <v/>
      </c>
      <c r="P122" s="52">
        <f>IFERROR(IF(INDEX('ESG'!$O$10:$O$17,MATCH($F122,'ESG'!$B$10:$B$17,0))="","Cell will autofill based on response",INDEX('ESG'!$O$10:$O$17,MATCH($F122,'ESG'!$B$10:$B$17,0))),"N/A")</f>
        <v/>
      </c>
      <c r="Q122" s="52">
        <f>IFERROR(IF(INDEX('CIOG'!$O$10:$O$14,MATCH($F122,'CIOG'!$B$10:$B$14,0))="","Cell will autofill based on response",INDEX('CIOG'!$O$10:$O$14,MATCH($F122,'CIOG'!$B$10:$B$14,0))),"N/A")</f>
        <v/>
      </c>
      <c r="R122" s="52">
        <f>IFERROR(IF(INDEX('MRE'!$O$10:$O$18,MATCH($F122,'MRE'!$B$10:$B$18,0))="","Cell will autofill based on response",INDEX('MRE'!$O$10:$O$18,MATCH($F122,'MRE'!$B$10:$B$18,0))),"N/A")</f>
        <v/>
      </c>
      <c r="S122" s="52">
        <f>IFERROR(IF(INDEX('AC&amp;M'!$O$10:$O$14,MATCH($F122,'AC&amp;M'!$B$10:$B$14,0))="","Cell will autofill based on response",INDEX('AC&amp;M'!$O$10:$O$14,MATCH($F122,'AC&amp;M'!$B$10:$B$14,0))),"N/A")</f>
        <v/>
      </c>
      <c r="T122" s="52">
        <f>IFERROR(IF(INDEX('GCE'!$O$10:$O$12,MATCH($F122,'GCE'!$B$10:$B$12,0))="","Cell will autofill based on response",INDEX('GCE'!$O$10:$O$12,MATCH($F122,'GCE'!$B$10:$B$12,0))),"N/A")</f>
        <v/>
      </c>
      <c r="U122" s="52">
        <f>IFERROR(IF(INDEX('Education'!$O$10:$O$13,MATCH($F122,'Education'!$B$10:$B$13,0))="","Cell will autofill based on response",INDEX('Education'!$O$10:$O$13,MATCH($F122,'Education'!$B$10:$B$13,0))),"N/A")</f>
        <v/>
      </c>
      <c r="V122" s="52">
        <f>IFERROR(IF(INDEX('SaSS'!$O$10:$O$12,MATCH($F122,'SaSS'!$B$10:$B$12,0))="","Cell will autofill based on response",INDEX('SaSS'!$O$10:$O$12,MATCH($F122,'SaSS'!$B$10:$B$12,0))),"N/A")</f>
        <v/>
      </c>
      <c r="W122" s="52">
        <f>IFERROR(IF(INDEX('Indigenous'!$O$10:$O$11,MATCH($F122,'Indigenous'!$B$10:$B$11,0))="","Cell will autofill based on response",INDEX('Indigenous'!$O$10:$O$11,MATCH($F122,'Indigenous'!$B$10:$B$11,0))),"N/A")</f>
        <v/>
      </c>
      <c r="X122" s="52">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2">
        <f>IFERROR(IF(INDEX('Faculties'!$P$10:$P$19,MATCH($F123,'Faculties'!$B$10:$B$19,0))="","Cell will autofill based on response",INDEX('Faculties'!$P$10:$P$19,MATCH($F123,'Faculties'!$B$10:$B$19,0))),"N/A")</f>
        <v/>
      </c>
      <c r="I123" s="52">
        <f>IFERROR(IF(INDEX('Faculties'!$P$26:$P$35,MATCH($F123,'Faculties'!$B$26:$B$35,0))="","Cell will autofill based on response",INDEX('Faculties'!$P$26:$P$35,MATCH($F123,'Faculties'!$B$26:$B$35,0))),"N/A")</f>
        <v/>
      </c>
      <c r="J123" s="52">
        <f>IFERROR(IF(INDEX('Faculties'!$P$42:$P$51,MATCH($F123,'Faculties'!$B$42:$B$51,0))="","Cell will autofill based on response",INDEX('Faculties'!$P$42:$P$51,MATCH($F123,'Faculties'!$B$42:$B$51,0))),"N/A")</f>
        <v/>
      </c>
      <c r="K123" s="52">
        <f>IFERROR(IF(INDEX('Faculties'!$P$58:$P$67,MATCH($F123,'Faculties'!$B$58:$B$67,0))="","Cell will autofill based on response",INDEX('Faculties'!$P$58:$P$67,MATCH($F123,'Faculties'!$B$58:$B$67,0))),"N/A")</f>
        <v/>
      </c>
      <c r="L123" s="52">
        <f>IFERROR(IF(INDEX('CI&amp;S'!$P$10:$P$15,MATCH($F123,'CI&amp;S'!$B$10:$B$15,0))="","Cell will autofill based on response",INDEX('CI&amp;S'!$P$10:$P$15,MATCH($F123,'CI&amp;S'!$B$10:$B$15,0))),"N/A")</f>
        <v/>
      </c>
      <c r="M123" s="52">
        <f>IFERROR(IF(INDEX('CI&amp;S'!$P$22:$P$36,MATCH($F123,'CI&amp;S'!$B$22:$B$36,0))="","Cell will autofill based on response",INDEX('CI&amp;S'!$P$22:$P$36,MATCH($F123,'CI&amp;S'!$B$22:$B$36,0))),"N/A")</f>
        <v/>
      </c>
      <c r="N123" s="52">
        <f>IFERROR(IF(INDEX('CFOG'!$P$10:$P$16,MATCH($F123,'CFOG'!$B$10:$B$16,0))="","Cell will autofill based on response",INDEX('CFOG'!$P$10:$P$16,MATCH($F123,'CFOG'!$B$10:$B$16,0))),"N/A")</f>
        <v/>
      </c>
      <c r="O123" s="52">
        <f>IFERROR(IF(INDEX('CFOG'!$P$23:$P$24,MATCH($F123,'CFOG'!$B$23:$B$24,0))="","Cell will autofill based on response",INDEX('CFOG'!$P$23:$P$24,MATCH($F123,'CFOG'!$B$23:$B$24,0))),"N/A")</f>
        <v/>
      </c>
      <c r="P123" s="52">
        <f>IFERROR(IF(INDEX('ESG'!$P$10:$P$17,MATCH($F123,'ESG'!$B$10:$B$17,0))="","Cell will autofill based on response",INDEX('ESG'!$P$10:$P$17,MATCH($F123,'ESG'!$B$10:$B$17,0))),"N/A")</f>
        <v/>
      </c>
      <c r="Q123" s="52">
        <f>IFERROR(IF(INDEX('CIOG'!$P$10:$P$14,MATCH($F123,'CIOG'!$B$10:$B$14,0))="","Cell will autofill based on response",INDEX('CIOG'!$P$10:$P$14,MATCH($F123,'CIOG'!$B$10:$B$14,0))),"N/A")</f>
        <v/>
      </c>
      <c r="R123" s="52">
        <f>IFERROR(IF(INDEX('MRE'!$P$10:$P$18,MATCH($F123,'MRE'!$B$10:$B$18,0))="","Cell will autofill based on response",INDEX('MRE'!$P$10:$P$18,MATCH($F123,'MRE'!$B$10:$B$18,0))),"N/A")</f>
        <v/>
      </c>
      <c r="S123" s="52">
        <f>IFERROR(IF(INDEX('AC&amp;M'!$P$10:$P$14,MATCH($F123,'AC&amp;M'!$B$10:$B$14,0))="","Cell will autofill based on response",INDEX('AC&amp;M'!$P$10:$P$14,MATCH($F123,'AC&amp;M'!$B$10:$B$14,0))),"N/A")</f>
        <v/>
      </c>
      <c r="T123" s="52">
        <f>IFERROR(IF(INDEX('GCE'!$P$10:$P$12,MATCH($F123,'GCE'!$B$10:$B$12,0))="","Cell will autofill based on response",INDEX('GCE'!$P$10:$P$12,MATCH($F123,'GCE'!$B$10:$B$12,0))),"N/A")</f>
        <v/>
      </c>
      <c r="U123" s="52">
        <f>IFERROR(IF(INDEX('Education'!$P$10:$P$13,MATCH($F123,'Education'!$B$10:$B$13,0))="","Cell will autofill based on response",INDEX('Education'!$P$10:$P$13,MATCH($F123,'Education'!$B$10:$B$13,0))),"N/A")</f>
        <v/>
      </c>
      <c r="V123" s="52">
        <f>IFERROR(IF(INDEX('SaSS'!$P$10:$P$12,MATCH($F123,'SaSS'!$B$10:$B$12,0))="","Cell will autofill based on response",INDEX('SaSS'!$P$10:$P$12,MATCH($F123,'SaSS'!$B$10:$B$12,0))),"N/A")</f>
        <v/>
      </c>
      <c r="W123" s="52">
        <f>IFERROR(IF(INDEX('Indigenous'!$P$10:$P$11,MATCH($F123,'Indigenous'!$B$10:$B$11,0))="","Cell will autofill based on response",INDEX('Indigenous'!$P$10:$P$11,MATCH($F123,'Indigenous'!$B$10:$B$11,0))),"N/A")</f>
        <v/>
      </c>
      <c r="X123" s="52">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2">
        <f>IFERROR(IF(INDEX('Faculties'!$Q$10:$Q$19,MATCH($F124,'Faculties'!$B$10:$B$19,0))="","Cell will autofill based on response",INDEX('Faculties'!$Q$10:$Q$19,MATCH($F124,'Faculties'!$B$10:$B$19,0))),"N/A")</f>
        <v/>
      </c>
      <c r="I124" s="52">
        <f>IFERROR(IF(INDEX('Faculties'!$Q$26:$Q$35,MATCH($F124,'Faculties'!$B$26:$B$35,0))="","Cell will autofill based on response",INDEX('Faculties'!$Q$26:$Q$35,MATCH($F124,'Faculties'!$B$26:$B$35,0))),"N/A")</f>
        <v/>
      </c>
      <c r="J124" s="52">
        <f>IFERROR(IF(INDEX('Faculties'!$Q$42:$Q$51,MATCH($F124,'Faculties'!$B$42:$B$51,0))="","Cell will autofill based on response",INDEX('Faculties'!$Q$42:$Q$51,MATCH($F124,'Faculties'!$B$42:$B$51,0))),"N/A")</f>
        <v/>
      </c>
      <c r="K124" s="52">
        <f>IFERROR(IF(INDEX('Faculties'!$Q$58:$Q$67,MATCH($F124,'Faculties'!$B$58:$B$67,0))="","Cell will autofill based on response",INDEX('Faculties'!$Q$58:$Q$67,MATCH($F124,'Faculties'!$B$58:$B$67,0))),"N/A")</f>
        <v/>
      </c>
      <c r="L124" s="52">
        <f>IFERROR(IF(INDEX('CI&amp;S'!$Q$10:$Q$15,MATCH($F124,'CI&amp;S'!$B$10:$B$15,0))="","Cell will autofill based on response",INDEX('CI&amp;S'!$Q$10:$Q$15,MATCH($F124,'CI&amp;S'!$B$10:$B$15,0))),"N/A")</f>
        <v/>
      </c>
      <c r="M124" s="52">
        <f>IFERROR(IF(INDEX('CI&amp;S'!$Q$22:$Q$36,MATCH($F124,'CI&amp;S'!$B$22:$B$36,0))="","Cell will autofill based on response",INDEX('CI&amp;S'!$Q$22:$Q$36,MATCH($F124,'CI&amp;S'!$B$22:$B$36,0))),"N/A")</f>
        <v/>
      </c>
      <c r="N124" s="52">
        <f>IFERROR(IF(INDEX('CFOG'!$Q$10:$Q$16,MATCH($F124,'CFOG'!$B$10:$B$16,0))="","Cell will autofill based on response",INDEX('CFOG'!$Q$10:$Q$16,MATCH($F124,'CFOG'!$B$10:$B$16,0))),"N/A")</f>
        <v/>
      </c>
      <c r="O124" s="52">
        <f>IFERROR(IF(INDEX('CFOG'!$Q$23:$Q$24,MATCH($F124,'CFOG'!$B$23:$B$24,0))="","Cell will autofill based on response",INDEX('CFOG'!$Q$23:$Q$24,MATCH($F124,'CFOG'!$B$23:$B$24,0))),"N/A")</f>
        <v/>
      </c>
      <c r="P124" s="52">
        <f>IFERROR(IF(INDEX('ESG'!$Q$10:$Q$17,MATCH($F124,'ESG'!$B$10:$B$17,0))="","Cell will autofill based on response",INDEX('ESG'!$Q$10:$Q$17,MATCH($F124,'ESG'!$B$10:$B$17,0))),"N/A")</f>
        <v/>
      </c>
      <c r="Q124" s="52">
        <f>IFERROR(IF(INDEX('CIOG'!$Q$10:$Q$14,MATCH($F124,'CIOG'!$B$10:$B$14,0))="","Cell will autofill based on response",INDEX('CIOG'!$Q$10:$Q$14,MATCH($F124,'CIOG'!$B$10:$B$14,0))),"N/A")</f>
        <v/>
      </c>
      <c r="R124" s="52">
        <f>IFERROR(IF(INDEX('MRE'!$Q$10:$Q$18,MATCH($F124,'MRE'!$B$10:$B$18,0))="","Cell will autofill based on response",INDEX('MRE'!$Q$10:$Q$18,MATCH($F124,'MRE'!$B$10:$B$18,0))),"N/A")</f>
        <v/>
      </c>
      <c r="S124" s="52">
        <f>IFERROR(IF(INDEX('AC&amp;M'!$Q$10:$Q$14,MATCH($F124,'AC&amp;M'!$B$10:$B$14,0))="","Cell will autofill based on response",INDEX('AC&amp;M'!$Q$10:$Q$14,MATCH($F124,'AC&amp;M'!$B$10:$B$14,0))),"N/A")</f>
        <v/>
      </c>
      <c r="T124" s="52">
        <f>IFERROR(IF(INDEX('GCE'!$Q$10:$Q$12,MATCH($F124,'GCE'!$B$10:$B$12,0))="","Cell will autofill based on response",INDEX('GCE'!$Q$10:$Q$12,MATCH($F124,'GCE'!$B$10:$B$12,0))),"N/A")</f>
        <v/>
      </c>
      <c r="U124" s="52">
        <f>IFERROR(IF(INDEX('Education'!$Q$10:$Q$13,MATCH($F124,'Education'!$B$10:$B$13,0))="","Cell will autofill based on response",INDEX('Education'!$Q$10:$Q$13,MATCH($F124,'Education'!$B$10:$B$13,0))),"N/A")</f>
        <v/>
      </c>
      <c r="V124" s="52">
        <f>IFERROR(IF(INDEX('SaSS'!$Q$10:$Q$12,MATCH($F124,'SaSS'!$B$10:$B$12,0))="","Cell will autofill based on response",INDEX('SaSS'!$Q$10:$Q$12,MATCH($F124,'SaSS'!$B$10:$B$12,0))),"N/A")</f>
        <v/>
      </c>
      <c r="W124" s="52">
        <f>IFERROR(IF(INDEX('Indigenous'!$Q$10:$Q$11,MATCH($F124,'Indigenous'!$B$10:$B$11,0))="","Cell will autofill based on response",INDEX('Indigenous'!$Q$10:$Q$11,MATCH($F124,'Indigenous'!$B$10:$B$11,0))),"N/A")</f>
        <v/>
      </c>
      <c r="X124" s="52">
        <f>IFERROR(IF(INDEX('L&amp;R'!$Q$10:$Q$11,MATCH($F124,'L&amp;R'!$B$10:$B$11,0))="","Cell will autofill based on response",INDEX('L&amp;R'!$Q$10:$Q$11,MATCH($F124,'L&amp;R'!$B$10:$B$11,0))),"N/A")</f>
        <v/>
      </c>
    </row>
    <row r="125">
      <c r="A125">
        <f>F125&amp;"|"&amp;G125</f>
        <v/>
      </c>
      <c r="B125" s="7" t="inlineStr">
        <is>
          <t>NB1(b)</t>
        </is>
      </c>
      <c r="C125" s="50" t="inlineStr">
        <is>
          <t>Nature and biodiversity</t>
        </is>
      </c>
      <c r="D125" s="50" t="inlineStr">
        <is>
          <t>Size, health and diversity of remnant vegetation at the Dookie and Creswick campuses</t>
        </is>
      </c>
      <c r="E125" s="50" t="inlineStr"/>
      <c r="F125" s="50" t="inlineStr">
        <is>
          <t>NB1(b)</t>
        </is>
      </c>
      <c r="G125" s="50" t="inlineStr">
        <is>
          <t>Confirm end-2026 target status</t>
        </is>
      </c>
      <c r="H125" s="52">
        <f>IFERROR(IF(INDEX('Faculties'!$L$10:$L$19,MATCH($F125,'Faculties'!$B$10:$B$19,0))="","Cell will autofill based on response",INDEX('Faculties'!$L$10:$L$19,MATCH($F125,'Faculties'!$B$10:$B$19,0))),"N/A")</f>
        <v/>
      </c>
      <c r="I125" s="52">
        <f>IFERROR(IF(INDEX('Faculties'!$L$26:$L$35,MATCH($F125,'Faculties'!$B$26:$B$35,0))="","Cell will autofill based on response",INDEX('Faculties'!$L$26:$L$35,MATCH($F125,'Faculties'!$B$26:$B$35,0))),"N/A")</f>
        <v/>
      </c>
      <c r="J125" s="52">
        <f>IFERROR(IF(INDEX('Faculties'!$L$42:$L$51,MATCH($F125,'Faculties'!$B$42:$B$51,0))="","Cell will autofill based on response",INDEX('Faculties'!$L$42:$L$51,MATCH($F125,'Faculties'!$B$42:$B$51,0))),"N/A")</f>
        <v/>
      </c>
      <c r="K125" s="52">
        <f>IFERROR(IF(INDEX('Faculties'!$L$58:$L$67,MATCH($F125,'Faculties'!$B$58:$B$67,0))="","Cell will autofill based on response",INDEX('Faculties'!$L$58:$L$67,MATCH($F125,'Faculties'!$B$58:$B$67,0))),"N/A")</f>
        <v/>
      </c>
      <c r="L125" s="52">
        <f>IFERROR(IF(INDEX('CI&amp;S'!$L$10:$L$15,MATCH($F125,'CI&amp;S'!$B$10:$B$15,0))="","Cell will autofill based on response",INDEX('CI&amp;S'!$L$10:$L$15,MATCH($F125,'CI&amp;S'!$B$10:$B$15,0))),"N/A")</f>
        <v/>
      </c>
      <c r="M125" s="52">
        <f>IFERROR(IF(INDEX('CI&amp;S'!$L$22:$L$36,MATCH($F125,'CI&amp;S'!$B$22:$B$36,0))="","Cell will autofill based on response",INDEX('CI&amp;S'!$L$22:$L$36,MATCH($F125,'CI&amp;S'!$B$22:$B$36,0))),"N/A")</f>
        <v/>
      </c>
      <c r="N125" s="52">
        <f>IFERROR(IF(INDEX('CFOG'!$L$10:$L$16,MATCH($F125,'CFOG'!$B$10:$B$16,0))="","Cell will autofill based on response",INDEX('CFOG'!$L$10:$L$16,MATCH($F125,'CFOG'!$B$10:$B$16,0))),"N/A")</f>
        <v/>
      </c>
      <c r="O125" s="52">
        <f>IFERROR(IF(INDEX('CFOG'!$L$23:$L$24,MATCH($F125,'CFOG'!$B$23:$B$24,0))="","Cell will autofill based on response",INDEX('CFOG'!$L$23:$L$24,MATCH($F125,'CFOG'!$B$23:$B$24,0))),"N/A")</f>
        <v/>
      </c>
      <c r="P125" s="52">
        <f>IFERROR(IF(INDEX('ESG'!$L$10:$L$17,MATCH($F125,'ESG'!$B$10:$B$17,0))="","Cell will autofill based on response",INDEX('ESG'!$L$10:$L$17,MATCH($F125,'ESG'!$B$10:$B$17,0))),"N/A")</f>
        <v/>
      </c>
      <c r="Q125" s="52">
        <f>IFERROR(IF(INDEX('CIOG'!$L$10:$L$14,MATCH($F125,'CIOG'!$B$10:$B$14,0))="","Cell will autofill based on response",INDEX('CIOG'!$L$10:$L$14,MATCH($F125,'CIOG'!$B$10:$B$14,0))),"N/A")</f>
        <v/>
      </c>
      <c r="R125" s="52">
        <f>IFERROR(IF(INDEX('MRE'!$L$10:$L$18,MATCH($F125,'MRE'!$B$10:$B$18,0))="","Cell will autofill based on response",INDEX('MRE'!$L$10:$L$18,MATCH($F125,'MRE'!$B$10:$B$18,0))),"N/A")</f>
        <v/>
      </c>
      <c r="S125" s="52">
        <f>IFERROR(IF(INDEX('AC&amp;M'!$L$10:$L$14,MATCH($F125,'AC&amp;M'!$B$10:$B$14,0))="","Cell will autofill based on response",INDEX('AC&amp;M'!$L$10:$L$14,MATCH($F125,'AC&amp;M'!$B$10:$B$14,0))),"N/A")</f>
        <v/>
      </c>
      <c r="T125" s="52">
        <f>IFERROR(IF(INDEX('GCE'!$L$10:$L$12,MATCH($F125,'GCE'!$B$10:$B$12,0))="","Cell will autofill based on response",INDEX('GCE'!$L$10:$L$12,MATCH($F125,'GCE'!$B$10:$B$12,0))),"N/A")</f>
        <v/>
      </c>
      <c r="U125" s="52">
        <f>IFERROR(IF(INDEX('Education'!$L$10:$L$13,MATCH($F125,'Education'!$B$10:$B$13,0))="","Cell will autofill based on response",INDEX('Education'!$L$10:$L$13,MATCH($F125,'Education'!$B$10:$B$13,0))),"N/A")</f>
        <v/>
      </c>
      <c r="V125" s="52">
        <f>IFERROR(IF(INDEX('SaSS'!$L$10:$L$12,MATCH($F125,'SaSS'!$B$10:$B$12,0))="","Cell will autofill based on response",INDEX('SaSS'!$L$10:$L$12,MATCH($F125,'SaSS'!$B$10:$B$12,0))),"N/A")</f>
        <v/>
      </c>
      <c r="W125" s="52">
        <f>IFERROR(IF(INDEX('Indigenous'!$L$10:$L$11,MATCH($F125,'Indigenous'!$B$10:$B$11,0))="","Cell will autofill based on response",INDEX('Indigenous'!$L$10:$L$11,MATCH($F125,'Indigenous'!$B$10:$B$11,0))),"N/A")</f>
        <v/>
      </c>
      <c r="X125" s="52">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3">
        <f>IF(AF125&gt;0,AE125/AF125,"No valid responses to date")</f>
        <v/>
      </c>
      <c r="AH125" s="10">
        <f>IF(ISNUMBER(AG125),INDEX(Lists!$G$2:$G$5,MATCH(ROUND(AG125,0),Lists!$H$2:$H$5,0)),"")</f>
        <v/>
      </c>
      <c r="AI125" s="54">
        <f>IF(AF125&gt;0,AD125/AF125,"")</f>
        <v/>
      </c>
      <c r="AJ125" s="54">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2">
        <f>IFERROR(IF(INDEX('Faculties'!$M$10:$M$19,MATCH($F126,'Faculties'!$B$10:$B$19,0))="","Cell will autofill based on response",INDEX('Faculties'!$M$10:$M$19,MATCH($F126,'Faculties'!$B$10:$B$19,0))),"N/A")</f>
        <v/>
      </c>
      <c r="I126" s="52">
        <f>IFERROR(IF(INDEX('Faculties'!$M$26:$M$35,MATCH($F126,'Faculties'!$B$26:$B$35,0))="","Cell will autofill based on response",INDEX('Faculties'!$M$26:$M$35,MATCH($F126,'Faculties'!$B$26:$B$35,0))),"N/A")</f>
        <v/>
      </c>
      <c r="J126" s="52">
        <f>IFERROR(IF(INDEX('Faculties'!$M$42:$M$51,MATCH($F126,'Faculties'!$B$42:$B$51,0))="","Cell will autofill based on response",INDEX('Faculties'!$M$42:$M$51,MATCH($F126,'Faculties'!$B$42:$B$51,0))),"N/A")</f>
        <v/>
      </c>
      <c r="K126" s="52">
        <f>IFERROR(IF(INDEX('Faculties'!$M$58:$M$67,MATCH($F126,'Faculties'!$B$58:$B$67,0))="","Cell will autofill based on response",INDEX('Faculties'!$M$58:$M$67,MATCH($F126,'Faculties'!$B$58:$B$67,0))),"N/A")</f>
        <v/>
      </c>
      <c r="L126" s="52">
        <f>IFERROR(IF(INDEX('CI&amp;S'!$M$10:$M$15,MATCH($F126,'CI&amp;S'!$B$10:$B$15,0))="","Cell will autofill based on response",INDEX('CI&amp;S'!$M$10:$M$15,MATCH($F126,'CI&amp;S'!$B$10:$B$15,0))),"N/A")</f>
        <v/>
      </c>
      <c r="M126" s="52">
        <f>IFERROR(IF(INDEX('CI&amp;S'!$M$22:$M$36,MATCH($F126,'CI&amp;S'!$B$22:$B$36,0))="","Cell will autofill based on response",INDEX('CI&amp;S'!$M$22:$M$36,MATCH($F126,'CI&amp;S'!$B$22:$B$36,0))),"N/A")</f>
        <v/>
      </c>
      <c r="N126" s="52">
        <f>IFERROR(IF(INDEX('CFOG'!$M$10:$M$16,MATCH($F126,'CFOG'!$B$10:$B$16,0))="","Cell will autofill based on response",INDEX('CFOG'!$M$10:$M$16,MATCH($F126,'CFOG'!$B$10:$B$16,0))),"N/A")</f>
        <v/>
      </c>
      <c r="O126" s="52">
        <f>IFERROR(IF(INDEX('CFOG'!$M$23:$M$24,MATCH($F126,'CFOG'!$B$23:$B$24,0))="","Cell will autofill based on response",INDEX('CFOG'!$M$23:$M$24,MATCH($F126,'CFOG'!$B$23:$B$24,0))),"N/A")</f>
        <v/>
      </c>
      <c r="P126" s="52">
        <f>IFERROR(IF(INDEX('ESG'!$M$10:$M$17,MATCH($F126,'ESG'!$B$10:$B$17,0))="","Cell will autofill based on response",INDEX('ESG'!$M$10:$M$17,MATCH($F126,'ESG'!$B$10:$B$17,0))),"N/A")</f>
        <v/>
      </c>
      <c r="Q126" s="52">
        <f>IFERROR(IF(INDEX('CIOG'!$M$10:$M$14,MATCH($F126,'CIOG'!$B$10:$B$14,0))="","Cell will autofill based on response",INDEX('CIOG'!$M$10:$M$14,MATCH($F126,'CIOG'!$B$10:$B$14,0))),"N/A")</f>
        <v/>
      </c>
      <c r="R126" s="52">
        <f>IFERROR(IF(INDEX('MRE'!$M$10:$M$18,MATCH($F126,'MRE'!$B$10:$B$18,0))="","Cell will autofill based on response",INDEX('MRE'!$M$10:$M$18,MATCH($F126,'MRE'!$B$10:$B$18,0))),"N/A")</f>
        <v/>
      </c>
      <c r="S126" s="52">
        <f>IFERROR(IF(INDEX('AC&amp;M'!$M$10:$M$14,MATCH($F126,'AC&amp;M'!$B$10:$B$14,0))="","Cell will autofill based on response",INDEX('AC&amp;M'!$M$10:$M$14,MATCH($F126,'AC&amp;M'!$B$10:$B$14,0))),"N/A")</f>
        <v/>
      </c>
      <c r="T126" s="52">
        <f>IFERROR(IF(INDEX('GCE'!$M$10:$M$12,MATCH($F126,'GCE'!$B$10:$B$12,0))="","Cell will autofill based on response",INDEX('GCE'!$M$10:$M$12,MATCH($F126,'GCE'!$B$10:$B$12,0))),"N/A")</f>
        <v/>
      </c>
      <c r="U126" s="52">
        <f>IFERROR(IF(INDEX('Education'!$M$10:$M$13,MATCH($F126,'Education'!$B$10:$B$13,0))="","Cell will autofill based on response",INDEX('Education'!$M$10:$M$13,MATCH($F126,'Education'!$B$10:$B$13,0))),"N/A")</f>
        <v/>
      </c>
      <c r="V126" s="52">
        <f>IFERROR(IF(INDEX('SaSS'!$M$10:$M$12,MATCH($F126,'SaSS'!$B$10:$B$12,0))="","Cell will autofill based on response",INDEX('SaSS'!$M$10:$M$12,MATCH($F126,'SaSS'!$B$10:$B$12,0))),"N/A")</f>
        <v/>
      </c>
      <c r="W126" s="52">
        <f>IFERROR(IF(INDEX('Indigenous'!$M$10:$M$11,MATCH($F126,'Indigenous'!$B$10:$B$11,0))="","Cell will autofill based on response",INDEX('Indigenous'!$M$10:$M$11,MATCH($F126,'Indigenous'!$B$10:$B$11,0))),"N/A")</f>
        <v/>
      </c>
      <c r="X126" s="52">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2">
        <f>IFERROR(IF(INDEX('Faculties'!$N$10:$N$19,MATCH($F127,'Faculties'!$B$10:$B$19,0))="","Cell will autofill based on response",INDEX('Faculties'!$N$10:$N$19,MATCH($F127,'Faculties'!$B$10:$B$19,0))),"N/A")</f>
        <v/>
      </c>
      <c r="I127" s="52">
        <f>IFERROR(IF(INDEX('Faculties'!$N$26:$N$35,MATCH($F127,'Faculties'!$B$26:$B$35,0))="","Cell will autofill based on response",INDEX('Faculties'!$N$26:$N$35,MATCH($F127,'Faculties'!$B$26:$B$35,0))),"N/A")</f>
        <v/>
      </c>
      <c r="J127" s="52">
        <f>IFERROR(IF(INDEX('Faculties'!$N$42:$N$51,MATCH($F127,'Faculties'!$B$42:$B$51,0))="","Cell will autofill based on response",INDEX('Faculties'!$N$42:$N$51,MATCH($F127,'Faculties'!$B$42:$B$51,0))),"N/A")</f>
        <v/>
      </c>
      <c r="K127" s="52">
        <f>IFERROR(IF(INDEX('Faculties'!$N$58:$N$67,MATCH($F127,'Faculties'!$B$58:$B$67,0))="","Cell will autofill based on response",INDEX('Faculties'!$N$58:$N$67,MATCH($F127,'Faculties'!$B$58:$B$67,0))),"N/A")</f>
        <v/>
      </c>
      <c r="L127" s="52">
        <f>IFERROR(IF(INDEX('CI&amp;S'!$N$10:$N$15,MATCH($F127,'CI&amp;S'!$B$10:$B$15,0))="","Cell will autofill based on response",INDEX('CI&amp;S'!$N$10:$N$15,MATCH($F127,'CI&amp;S'!$B$10:$B$15,0))),"N/A")</f>
        <v/>
      </c>
      <c r="M127" s="52">
        <f>IFERROR(IF(INDEX('CI&amp;S'!$N$22:$N$36,MATCH($F127,'CI&amp;S'!$B$22:$B$36,0))="","Cell will autofill based on response",INDEX('CI&amp;S'!$N$22:$N$36,MATCH($F127,'CI&amp;S'!$B$22:$B$36,0))),"N/A")</f>
        <v/>
      </c>
      <c r="N127" s="52">
        <f>IFERROR(IF(INDEX('CFOG'!$N$10:$N$16,MATCH($F127,'CFOG'!$B$10:$B$16,0))="","Cell will autofill based on response",INDEX('CFOG'!$N$10:$N$16,MATCH($F127,'CFOG'!$B$10:$B$16,0))),"N/A")</f>
        <v/>
      </c>
      <c r="O127" s="52">
        <f>IFERROR(IF(INDEX('CFOG'!$N$23:$N$24,MATCH($F127,'CFOG'!$B$23:$B$24,0))="","Cell will autofill based on response",INDEX('CFOG'!$N$23:$N$24,MATCH($F127,'CFOG'!$B$23:$B$24,0))),"N/A")</f>
        <v/>
      </c>
      <c r="P127" s="52">
        <f>IFERROR(IF(INDEX('ESG'!$N$10:$N$17,MATCH($F127,'ESG'!$B$10:$B$17,0))="","Cell will autofill based on response",INDEX('ESG'!$N$10:$N$17,MATCH($F127,'ESG'!$B$10:$B$17,0))),"N/A")</f>
        <v/>
      </c>
      <c r="Q127" s="52">
        <f>IFERROR(IF(INDEX('CIOG'!$N$10:$N$14,MATCH($F127,'CIOG'!$B$10:$B$14,0))="","Cell will autofill based on response",INDEX('CIOG'!$N$10:$N$14,MATCH($F127,'CIOG'!$B$10:$B$14,0))),"N/A")</f>
        <v/>
      </c>
      <c r="R127" s="52">
        <f>IFERROR(IF(INDEX('MRE'!$N$10:$N$18,MATCH($F127,'MRE'!$B$10:$B$18,0))="","Cell will autofill based on response",INDEX('MRE'!$N$10:$N$18,MATCH($F127,'MRE'!$B$10:$B$18,0))),"N/A")</f>
        <v/>
      </c>
      <c r="S127" s="52">
        <f>IFERROR(IF(INDEX('AC&amp;M'!$N$10:$N$14,MATCH($F127,'AC&amp;M'!$B$10:$B$14,0))="","Cell will autofill based on response",INDEX('AC&amp;M'!$N$10:$N$14,MATCH($F127,'AC&amp;M'!$B$10:$B$14,0))),"N/A")</f>
        <v/>
      </c>
      <c r="T127" s="52">
        <f>IFERROR(IF(INDEX('GCE'!$N$10:$N$12,MATCH($F127,'GCE'!$B$10:$B$12,0))="","Cell will autofill based on response",INDEX('GCE'!$N$10:$N$12,MATCH($F127,'GCE'!$B$10:$B$12,0))),"N/A")</f>
        <v/>
      </c>
      <c r="U127" s="52">
        <f>IFERROR(IF(INDEX('Education'!$N$10:$N$13,MATCH($F127,'Education'!$B$10:$B$13,0))="","Cell will autofill based on response",INDEX('Education'!$N$10:$N$13,MATCH($F127,'Education'!$B$10:$B$13,0))),"N/A")</f>
        <v/>
      </c>
      <c r="V127" s="52">
        <f>IFERROR(IF(INDEX('SaSS'!$N$10:$N$12,MATCH($F127,'SaSS'!$B$10:$B$12,0))="","Cell will autofill based on response",INDEX('SaSS'!$N$10:$N$12,MATCH($F127,'SaSS'!$B$10:$B$12,0))),"N/A")</f>
        <v/>
      </c>
      <c r="W127" s="52">
        <f>IFERROR(IF(INDEX('Indigenous'!$N$10:$N$11,MATCH($F127,'Indigenous'!$B$10:$B$11,0))="","Cell will autofill based on response",INDEX('Indigenous'!$N$10:$N$11,MATCH($F127,'Indigenous'!$B$10:$B$11,0))),"N/A")</f>
        <v/>
      </c>
      <c r="X127" s="52">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2">
        <f>IFERROR(IF(INDEX('Faculties'!$O$10:$O$19,MATCH($F128,'Faculties'!$B$10:$B$19,0))="","Cell will autofill based on response",INDEX('Faculties'!$O$10:$O$19,MATCH($F128,'Faculties'!$B$10:$B$19,0))),"N/A")</f>
        <v/>
      </c>
      <c r="I128" s="52">
        <f>IFERROR(IF(INDEX('Faculties'!$O$26:$O$35,MATCH($F128,'Faculties'!$B$26:$B$35,0))="","Cell will autofill based on response",INDEX('Faculties'!$O$26:$O$35,MATCH($F128,'Faculties'!$B$26:$B$35,0))),"N/A")</f>
        <v/>
      </c>
      <c r="J128" s="52">
        <f>IFERROR(IF(INDEX('Faculties'!$O$42:$O$51,MATCH($F128,'Faculties'!$B$42:$B$51,0))="","Cell will autofill based on response",INDEX('Faculties'!$O$42:$O$51,MATCH($F128,'Faculties'!$B$42:$B$51,0))),"N/A")</f>
        <v/>
      </c>
      <c r="K128" s="52">
        <f>IFERROR(IF(INDEX('Faculties'!$O$58:$O$67,MATCH($F128,'Faculties'!$B$58:$B$67,0))="","Cell will autofill based on response",INDEX('Faculties'!$O$58:$O$67,MATCH($F128,'Faculties'!$B$58:$B$67,0))),"N/A")</f>
        <v/>
      </c>
      <c r="L128" s="52">
        <f>IFERROR(IF(INDEX('CI&amp;S'!$O$10:$O$15,MATCH($F128,'CI&amp;S'!$B$10:$B$15,0))="","Cell will autofill based on response",INDEX('CI&amp;S'!$O$10:$O$15,MATCH($F128,'CI&amp;S'!$B$10:$B$15,0))),"N/A")</f>
        <v/>
      </c>
      <c r="M128" s="52">
        <f>IFERROR(IF(INDEX('CI&amp;S'!$O$22:$O$36,MATCH($F128,'CI&amp;S'!$B$22:$B$36,0))="","Cell will autofill based on response",INDEX('CI&amp;S'!$O$22:$O$36,MATCH($F128,'CI&amp;S'!$B$22:$B$36,0))),"N/A")</f>
        <v/>
      </c>
      <c r="N128" s="52">
        <f>IFERROR(IF(INDEX('CFOG'!$O$10:$O$16,MATCH($F128,'CFOG'!$B$10:$B$16,0))="","Cell will autofill based on response",INDEX('CFOG'!$O$10:$O$16,MATCH($F128,'CFOG'!$B$10:$B$16,0))),"N/A")</f>
        <v/>
      </c>
      <c r="O128" s="52">
        <f>IFERROR(IF(INDEX('CFOG'!$O$23:$O$24,MATCH($F128,'CFOG'!$B$23:$B$24,0))="","Cell will autofill based on response",INDEX('CFOG'!$O$23:$O$24,MATCH($F128,'CFOG'!$B$23:$B$24,0))),"N/A")</f>
        <v/>
      </c>
      <c r="P128" s="52">
        <f>IFERROR(IF(INDEX('ESG'!$O$10:$O$17,MATCH($F128,'ESG'!$B$10:$B$17,0))="","Cell will autofill based on response",INDEX('ESG'!$O$10:$O$17,MATCH($F128,'ESG'!$B$10:$B$17,0))),"N/A")</f>
        <v/>
      </c>
      <c r="Q128" s="52">
        <f>IFERROR(IF(INDEX('CIOG'!$O$10:$O$14,MATCH($F128,'CIOG'!$B$10:$B$14,0))="","Cell will autofill based on response",INDEX('CIOG'!$O$10:$O$14,MATCH($F128,'CIOG'!$B$10:$B$14,0))),"N/A")</f>
        <v/>
      </c>
      <c r="R128" s="52">
        <f>IFERROR(IF(INDEX('MRE'!$O$10:$O$18,MATCH($F128,'MRE'!$B$10:$B$18,0))="","Cell will autofill based on response",INDEX('MRE'!$O$10:$O$18,MATCH($F128,'MRE'!$B$10:$B$18,0))),"N/A")</f>
        <v/>
      </c>
      <c r="S128" s="52">
        <f>IFERROR(IF(INDEX('AC&amp;M'!$O$10:$O$14,MATCH($F128,'AC&amp;M'!$B$10:$B$14,0))="","Cell will autofill based on response",INDEX('AC&amp;M'!$O$10:$O$14,MATCH($F128,'AC&amp;M'!$B$10:$B$14,0))),"N/A")</f>
        <v/>
      </c>
      <c r="T128" s="52">
        <f>IFERROR(IF(INDEX('GCE'!$O$10:$O$12,MATCH($F128,'GCE'!$B$10:$B$12,0))="","Cell will autofill based on response",INDEX('GCE'!$O$10:$O$12,MATCH($F128,'GCE'!$B$10:$B$12,0))),"N/A")</f>
        <v/>
      </c>
      <c r="U128" s="52">
        <f>IFERROR(IF(INDEX('Education'!$O$10:$O$13,MATCH($F128,'Education'!$B$10:$B$13,0))="","Cell will autofill based on response",INDEX('Education'!$O$10:$O$13,MATCH($F128,'Education'!$B$10:$B$13,0))),"N/A")</f>
        <v/>
      </c>
      <c r="V128" s="52">
        <f>IFERROR(IF(INDEX('SaSS'!$O$10:$O$12,MATCH($F128,'SaSS'!$B$10:$B$12,0))="","Cell will autofill based on response",INDEX('SaSS'!$O$10:$O$12,MATCH($F128,'SaSS'!$B$10:$B$12,0))),"N/A")</f>
        <v/>
      </c>
      <c r="W128" s="52">
        <f>IFERROR(IF(INDEX('Indigenous'!$O$10:$O$11,MATCH($F128,'Indigenous'!$B$10:$B$11,0))="","Cell will autofill based on response",INDEX('Indigenous'!$O$10:$O$11,MATCH($F128,'Indigenous'!$B$10:$B$11,0))),"N/A")</f>
        <v/>
      </c>
      <c r="X128" s="52">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2">
        <f>IFERROR(IF(INDEX('Faculties'!$P$10:$P$19,MATCH($F129,'Faculties'!$B$10:$B$19,0))="","Cell will autofill based on response",INDEX('Faculties'!$P$10:$P$19,MATCH($F129,'Faculties'!$B$10:$B$19,0))),"N/A")</f>
        <v/>
      </c>
      <c r="I129" s="52">
        <f>IFERROR(IF(INDEX('Faculties'!$P$26:$P$35,MATCH($F129,'Faculties'!$B$26:$B$35,0))="","Cell will autofill based on response",INDEX('Faculties'!$P$26:$P$35,MATCH($F129,'Faculties'!$B$26:$B$35,0))),"N/A")</f>
        <v/>
      </c>
      <c r="J129" s="52">
        <f>IFERROR(IF(INDEX('Faculties'!$P$42:$P$51,MATCH($F129,'Faculties'!$B$42:$B$51,0))="","Cell will autofill based on response",INDEX('Faculties'!$P$42:$P$51,MATCH($F129,'Faculties'!$B$42:$B$51,0))),"N/A")</f>
        <v/>
      </c>
      <c r="K129" s="52">
        <f>IFERROR(IF(INDEX('Faculties'!$P$58:$P$67,MATCH($F129,'Faculties'!$B$58:$B$67,0))="","Cell will autofill based on response",INDEX('Faculties'!$P$58:$P$67,MATCH($F129,'Faculties'!$B$58:$B$67,0))),"N/A")</f>
        <v/>
      </c>
      <c r="L129" s="52">
        <f>IFERROR(IF(INDEX('CI&amp;S'!$P$10:$P$15,MATCH($F129,'CI&amp;S'!$B$10:$B$15,0))="","Cell will autofill based on response",INDEX('CI&amp;S'!$P$10:$P$15,MATCH($F129,'CI&amp;S'!$B$10:$B$15,0))),"N/A")</f>
        <v/>
      </c>
      <c r="M129" s="52">
        <f>IFERROR(IF(INDEX('CI&amp;S'!$P$22:$P$36,MATCH($F129,'CI&amp;S'!$B$22:$B$36,0))="","Cell will autofill based on response",INDEX('CI&amp;S'!$P$22:$P$36,MATCH($F129,'CI&amp;S'!$B$22:$B$36,0))),"N/A")</f>
        <v/>
      </c>
      <c r="N129" s="52">
        <f>IFERROR(IF(INDEX('CFOG'!$P$10:$P$16,MATCH($F129,'CFOG'!$B$10:$B$16,0))="","Cell will autofill based on response",INDEX('CFOG'!$P$10:$P$16,MATCH($F129,'CFOG'!$B$10:$B$16,0))),"N/A")</f>
        <v/>
      </c>
      <c r="O129" s="52">
        <f>IFERROR(IF(INDEX('CFOG'!$P$23:$P$24,MATCH($F129,'CFOG'!$B$23:$B$24,0))="","Cell will autofill based on response",INDEX('CFOG'!$P$23:$P$24,MATCH($F129,'CFOG'!$B$23:$B$24,0))),"N/A")</f>
        <v/>
      </c>
      <c r="P129" s="52">
        <f>IFERROR(IF(INDEX('ESG'!$P$10:$P$17,MATCH($F129,'ESG'!$B$10:$B$17,0))="","Cell will autofill based on response",INDEX('ESG'!$P$10:$P$17,MATCH($F129,'ESG'!$B$10:$B$17,0))),"N/A")</f>
        <v/>
      </c>
      <c r="Q129" s="52">
        <f>IFERROR(IF(INDEX('CIOG'!$P$10:$P$14,MATCH($F129,'CIOG'!$B$10:$B$14,0))="","Cell will autofill based on response",INDEX('CIOG'!$P$10:$P$14,MATCH($F129,'CIOG'!$B$10:$B$14,0))),"N/A")</f>
        <v/>
      </c>
      <c r="R129" s="52">
        <f>IFERROR(IF(INDEX('MRE'!$P$10:$P$18,MATCH($F129,'MRE'!$B$10:$B$18,0))="","Cell will autofill based on response",INDEX('MRE'!$P$10:$P$18,MATCH($F129,'MRE'!$B$10:$B$18,0))),"N/A")</f>
        <v/>
      </c>
      <c r="S129" s="52">
        <f>IFERROR(IF(INDEX('AC&amp;M'!$P$10:$P$14,MATCH($F129,'AC&amp;M'!$B$10:$B$14,0))="","Cell will autofill based on response",INDEX('AC&amp;M'!$P$10:$P$14,MATCH($F129,'AC&amp;M'!$B$10:$B$14,0))),"N/A")</f>
        <v/>
      </c>
      <c r="T129" s="52">
        <f>IFERROR(IF(INDEX('GCE'!$P$10:$P$12,MATCH($F129,'GCE'!$B$10:$B$12,0))="","Cell will autofill based on response",INDEX('GCE'!$P$10:$P$12,MATCH($F129,'GCE'!$B$10:$B$12,0))),"N/A")</f>
        <v/>
      </c>
      <c r="U129" s="52">
        <f>IFERROR(IF(INDEX('Education'!$P$10:$P$13,MATCH($F129,'Education'!$B$10:$B$13,0))="","Cell will autofill based on response",INDEX('Education'!$P$10:$P$13,MATCH($F129,'Education'!$B$10:$B$13,0))),"N/A")</f>
        <v/>
      </c>
      <c r="V129" s="52">
        <f>IFERROR(IF(INDEX('SaSS'!$P$10:$P$12,MATCH($F129,'SaSS'!$B$10:$B$12,0))="","Cell will autofill based on response",INDEX('SaSS'!$P$10:$P$12,MATCH($F129,'SaSS'!$B$10:$B$12,0))),"N/A")</f>
        <v/>
      </c>
      <c r="W129" s="52">
        <f>IFERROR(IF(INDEX('Indigenous'!$P$10:$P$11,MATCH($F129,'Indigenous'!$B$10:$B$11,0))="","Cell will autofill based on response",INDEX('Indigenous'!$P$10:$P$11,MATCH($F129,'Indigenous'!$B$10:$B$11,0))),"N/A")</f>
        <v/>
      </c>
      <c r="X129" s="52">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2">
        <f>IFERROR(IF(INDEX('Faculties'!$Q$10:$Q$19,MATCH($F130,'Faculties'!$B$10:$B$19,0))="","Cell will autofill based on response",INDEX('Faculties'!$Q$10:$Q$19,MATCH($F130,'Faculties'!$B$10:$B$19,0))),"N/A")</f>
        <v/>
      </c>
      <c r="I130" s="52">
        <f>IFERROR(IF(INDEX('Faculties'!$Q$26:$Q$35,MATCH($F130,'Faculties'!$B$26:$B$35,0))="","Cell will autofill based on response",INDEX('Faculties'!$Q$26:$Q$35,MATCH($F130,'Faculties'!$B$26:$B$35,0))),"N/A")</f>
        <v/>
      </c>
      <c r="J130" s="52">
        <f>IFERROR(IF(INDEX('Faculties'!$Q$42:$Q$51,MATCH($F130,'Faculties'!$B$42:$B$51,0))="","Cell will autofill based on response",INDEX('Faculties'!$Q$42:$Q$51,MATCH($F130,'Faculties'!$B$42:$B$51,0))),"N/A")</f>
        <v/>
      </c>
      <c r="K130" s="52">
        <f>IFERROR(IF(INDEX('Faculties'!$Q$58:$Q$67,MATCH($F130,'Faculties'!$B$58:$B$67,0))="","Cell will autofill based on response",INDEX('Faculties'!$Q$58:$Q$67,MATCH($F130,'Faculties'!$B$58:$B$67,0))),"N/A")</f>
        <v/>
      </c>
      <c r="L130" s="52">
        <f>IFERROR(IF(INDEX('CI&amp;S'!$Q$10:$Q$15,MATCH($F130,'CI&amp;S'!$B$10:$B$15,0))="","Cell will autofill based on response",INDEX('CI&amp;S'!$Q$10:$Q$15,MATCH($F130,'CI&amp;S'!$B$10:$B$15,0))),"N/A")</f>
        <v/>
      </c>
      <c r="M130" s="52">
        <f>IFERROR(IF(INDEX('CI&amp;S'!$Q$22:$Q$36,MATCH($F130,'CI&amp;S'!$B$22:$B$36,0))="","Cell will autofill based on response",INDEX('CI&amp;S'!$Q$22:$Q$36,MATCH($F130,'CI&amp;S'!$B$22:$B$36,0))),"N/A")</f>
        <v/>
      </c>
      <c r="N130" s="52">
        <f>IFERROR(IF(INDEX('CFOG'!$Q$10:$Q$16,MATCH($F130,'CFOG'!$B$10:$B$16,0))="","Cell will autofill based on response",INDEX('CFOG'!$Q$10:$Q$16,MATCH($F130,'CFOG'!$B$10:$B$16,0))),"N/A")</f>
        <v/>
      </c>
      <c r="O130" s="52">
        <f>IFERROR(IF(INDEX('CFOG'!$Q$23:$Q$24,MATCH($F130,'CFOG'!$B$23:$B$24,0))="","Cell will autofill based on response",INDEX('CFOG'!$Q$23:$Q$24,MATCH($F130,'CFOG'!$B$23:$B$24,0))),"N/A")</f>
        <v/>
      </c>
      <c r="P130" s="52">
        <f>IFERROR(IF(INDEX('ESG'!$Q$10:$Q$17,MATCH($F130,'ESG'!$B$10:$B$17,0))="","Cell will autofill based on response",INDEX('ESG'!$Q$10:$Q$17,MATCH($F130,'ESG'!$B$10:$B$17,0))),"N/A")</f>
        <v/>
      </c>
      <c r="Q130" s="52">
        <f>IFERROR(IF(INDEX('CIOG'!$Q$10:$Q$14,MATCH($F130,'CIOG'!$B$10:$B$14,0))="","Cell will autofill based on response",INDEX('CIOG'!$Q$10:$Q$14,MATCH($F130,'CIOG'!$B$10:$B$14,0))),"N/A")</f>
        <v/>
      </c>
      <c r="R130" s="52">
        <f>IFERROR(IF(INDEX('MRE'!$Q$10:$Q$18,MATCH($F130,'MRE'!$B$10:$B$18,0))="","Cell will autofill based on response",INDEX('MRE'!$Q$10:$Q$18,MATCH($F130,'MRE'!$B$10:$B$18,0))),"N/A")</f>
        <v/>
      </c>
      <c r="S130" s="52">
        <f>IFERROR(IF(INDEX('AC&amp;M'!$Q$10:$Q$14,MATCH($F130,'AC&amp;M'!$B$10:$B$14,0))="","Cell will autofill based on response",INDEX('AC&amp;M'!$Q$10:$Q$14,MATCH($F130,'AC&amp;M'!$B$10:$B$14,0))),"N/A")</f>
        <v/>
      </c>
      <c r="T130" s="52">
        <f>IFERROR(IF(INDEX('GCE'!$Q$10:$Q$12,MATCH($F130,'GCE'!$B$10:$B$12,0))="","Cell will autofill based on response",INDEX('GCE'!$Q$10:$Q$12,MATCH($F130,'GCE'!$B$10:$B$12,0))),"N/A")</f>
        <v/>
      </c>
      <c r="U130" s="52">
        <f>IFERROR(IF(INDEX('Education'!$Q$10:$Q$13,MATCH($F130,'Education'!$B$10:$B$13,0))="","Cell will autofill based on response",INDEX('Education'!$Q$10:$Q$13,MATCH($F130,'Education'!$B$10:$B$13,0))),"N/A")</f>
        <v/>
      </c>
      <c r="V130" s="52">
        <f>IFERROR(IF(INDEX('SaSS'!$Q$10:$Q$12,MATCH($F130,'SaSS'!$B$10:$B$12,0))="","Cell will autofill based on response",INDEX('SaSS'!$Q$10:$Q$12,MATCH($F130,'SaSS'!$B$10:$B$12,0))),"N/A")</f>
        <v/>
      </c>
      <c r="W130" s="52">
        <f>IFERROR(IF(INDEX('Indigenous'!$Q$10:$Q$11,MATCH($F130,'Indigenous'!$B$10:$B$11,0))="","Cell will autofill based on response",INDEX('Indigenous'!$Q$10:$Q$11,MATCH($F130,'Indigenous'!$B$10:$B$11,0))),"N/A")</f>
        <v/>
      </c>
      <c r="X130" s="52">
        <f>IFERROR(IF(INDEX('L&amp;R'!$Q$10:$Q$11,MATCH($F130,'L&amp;R'!$B$10:$B$11,0))="","Cell will autofill based on response",INDEX('L&amp;R'!$Q$10:$Q$11,MATCH($F130,'L&amp;R'!$B$10:$B$11,0))),"N/A")</f>
        <v/>
      </c>
    </row>
    <row r="131">
      <c r="A131">
        <f>F131&amp;"|"&amp;G131</f>
        <v/>
      </c>
      <c r="B131" s="7" t="inlineStr">
        <is>
          <t>NB1(c)</t>
        </is>
      </c>
      <c r="C131" s="50" t="inlineStr">
        <is>
          <t>Nature and biodiversity</t>
        </is>
      </c>
      <c r="D131" s="50" t="inlineStr">
        <is>
          <t>Defined quality measurement framework</t>
        </is>
      </c>
      <c r="E131" s="50" t="inlineStr"/>
      <c r="F131" s="50" t="inlineStr">
        <is>
          <t>NB1(c)</t>
        </is>
      </c>
      <c r="G131" s="50" t="inlineStr">
        <is>
          <t>Confirm end-2026 target status</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3">
        <f>IF(AF131&gt;0,AE131/AF131,"No valid responses to date")</f>
        <v/>
      </c>
      <c r="AH131" s="10">
        <f>IF(ISNUMBER(AG131),INDEX(Lists!$G$2:$G$5,MATCH(ROUND(AG131,0),Lists!$H$2:$H$5,0)),"")</f>
        <v/>
      </c>
      <c r="AI131" s="54">
        <f>IF(AF131&gt;0,AD131/AF131,"")</f>
        <v/>
      </c>
      <c r="AJ131" s="54">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2">
        <f>IFERROR(IF(INDEX('Faculties'!$Q$10:$Q$19,MATCH($F136,'Faculties'!$B$10:$B$19,0))="","Cell will autofill based on response",INDEX('Faculties'!$Q$10:$Q$19,MATCH($F136,'Faculties'!$B$10:$B$19,0))),"N/A")</f>
        <v/>
      </c>
      <c r="I136" s="52">
        <f>IFERROR(IF(INDEX('Faculties'!$Q$26:$Q$35,MATCH($F136,'Faculties'!$B$26:$B$35,0))="","Cell will autofill based on response",INDEX('Faculties'!$Q$26:$Q$35,MATCH($F136,'Faculties'!$B$26:$B$35,0))),"N/A")</f>
        <v/>
      </c>
      <c r="J136" s="52">
        <f>IFERROR(IF(INDEX('Faculties'!$Q$42:$Q$51,MATCH($F136,'Faculties'!$B$42:$B$51,0))="","Cell will autofill based on response",INDEX('Faculties'!$Q$42:$Q$51,MATCH($F136,'Faculties'!$B$42:$B$51,0))),"N/A")</f>
        <v/>
      </c>
      <c r="K136" s="52">
        <f>IFERROR(IF(INDEX('Faculties'!$Q$58:$Q$67,MATCH($F136,'Faculties'!$B$58:$B$67,0))="","Cell will autofill based on response",INDEX('Faculties'!$Q$58:$Q$67,MATCH($F136,'Faculties'!$B$58:$B$67,0))),"N/A")</f>
        <v/>
      </c>
      <c r="L136" s="52">
        <f>IFERROR(IF(INDEX('CI&amp;S'!$Q$10:$Q$15,MATCH($F136,'CI&amp;S'!$B$10:$B$15,0))="","Cell will autofill based on response",INDEX('CI&amp;S'!$Q$10:$Q$15,MATCH($F136,'CI&amp;S'!$B$10:$B$15,0))),"N/A")</f>
        <v/>
      </c>
      <c r="M136" s="52">
        <f>IFERROR(IF(INDEX('CI&amp;S'!$Q$22:$Q$36,MATCH($F136,'CI&amp;S'!$B$22:$B$36,0))="","Cell will autofill based on response",INDEX('CI&amp;S'!$Q$22:$Q$36,MATCH($F136,'CI&amp;S'!$B$22:$B$36,0))),"N/A")</f>
        <v/>
      </c>
      <c r="N136" s="52">
        <f>IFERROR(IF(INDEX('CFOG'!$Q$10:$Q$16,MATCH($F136,'CFOG'!$B$10:$B$16,0))="","Cell will autofill based on response",INDEX('CFOG'!$Q$10:$Q$16,MATCH($F136,'CFOG'!$B$10:$B$16,0))),"N/A")</f>
        <v/>
      </c>
      <c r="O136" s="52">
        <f>IFERROR(IF(INDEX('CFOG'!$Q$23:$Q$24,MATCH($F136,'CFOG'!$B$23:$B$24,0))="","Cell will autofill based on response",INDEX('CFOG'!$Q$23:$Q$24,MATCH($F136,'CFOG'!$B$23:$B$24,0))),"N/A")</f>
        <v/>
      </c>
      <c r="P136" s="52">
        <f>IFERROR(IF(INDEX('ESG'!$Q$10:$Q$17,MATCH($F136,'ESG'!$B$10:$B$17,0))="","Cell will autofill based on response",INDEX('ESG'!$Q$10:$Q$17,MATCH($F136,'ESG'!$B$10:$B$17,0))),"N/A")</f>
        <v/>
      </c>
      <c r="Q136" s="52">
        <f>IFERROR(IF(INDEX('CIOG'!$Q$10:$Q$14,MATCH($F136,'CIOG'!$B$10:$B$14,0))="","Cell will autofill based on response",INDEX('CIOG'!$Q$10:$Q$14,MATCH($F136,'CIOG'!$B$10:$B$14,0))),"N/A")</f>
        <v/>
      </c>
      <c r="R136" s="52">
        <f>IFERROR(IF(INDEX('MRE'!$Q$10:$Q$18,MATCH($F136,'MRE'!$B$10:$B$18,0))="","Cell will autofill based on response",INDEX('MRE'!$Q$10:$Q$18,MATCH($F136,'MRE'!$B$10:$B$18,0))),"N/A")</f>
        <v/>
      </c>
      <c r="S136" s="52">
        <f>IFERROR(IF(INDEX('AC&amp;M'!$Q$10:$Q$14,MATCH($F136,'AC&amp;M'!$B$10:$B$14,0))="","Cell will autofill based on response",INDEX('AC&amp;M'!$Q$10:$Q$14,MATCH($F136,'AC&amp;M'!$B$10:$B$14,0))),"N/A")</f>
        <v/>
      </c>
      <c r="T136" s="52">
        <f>IFERROR(IF(INDEX('GCE'!$Q$10:$Q$12,MATCH($F136,'GCE'!$B$10:$B$12,0))="","Cell will autofill based on response",INDEX('GCE'!$Q$10:$Q$12,MATCH($F136,'GCE'!$B$10:$B$12,0))),"N/A")</f>
        <v/>
      </c>
      <c r="U136" s="52">
        <f>IFERROR(IF(INDEX('Education'!$Q$10:$Q$13,MATCH($F136,'Education'!$B$10:$B$13,0))="","Cell will autofill based on response",INDEX('Education'!$Q$10:$Q$13,MATCH($F136,'Education'!$B$10:$B$13,0))),"N/A")</f>
        <v/>
      </c>
      <c r="V136" s="52">
        <f>IFERROR(IF(INDEX('SaSS'!$Q$10:$Q$12,MATCH($F136,'SaSS'!$B$10:$B$12,0))="","Cell will autofill based on response",INDEX('SaSS'!$Q$10:$Q$12,MATCH($F136,'SaSS'!$B$10:$B$12,0))),"N/A")</f>
        <v/>
      </c>
      <c r="W136" s="52">
        <f>IFERROR(IF(INDEX('Indigenous'!$Q$10:$Q$11,MATCH($F136,'Indigenous'!$B$10:$B$11,0))="","Cell will autofill based on response",INDEX('Indigenous'!$Q$10:$Q$11,MATCH($F136,'Indigenous'!$B$10:$B$11,0))),"N/A")</f>
        <v/>
      </c>
      <c r="X136" s="52">
        <f>IFERROR(IF(INDEX('L&amp;R'!$Q$10:$Q$11,MATCH($F136,'L&amp;R'!$B$10:$B$11,0))="","Cell will autofill based on response",INDEX('L&amp;R'!$Q$10:$Q$11,MATCH($F136,'L&amp;R'!$B$10:$B$11,0))),"N/A")</f>
        <v/>
      </c>
    </row>
    <row r="137">
      <c r="A137">
        <f>F137&amp;"|"&amp;G137</f>
        <v/>
      </c>
      <c r="B137" s="7" t="inlineStr">
        <is>
          <t>NB1(d)</t>
        </is>
      </c>
      <c r="C137" s="50" t="inlineStr">
        <is>
          <t>Nature and biodiversity</t>
        </is>
      </c>
      <c r="D137" s="50" t="inlineStr">
        <is>
          <t>Defined and quantified campus connectivity</t>
        </is>
      </c>
      <c r="E137" s="50" t="inlineStr">
        <is>
          <t>Please provide the current definition and quantified assessment of campus ecological connectivity, could include the methodology used, campuses covered, baseline or benchmark values, and any material change over the reporting period.</t>
        </is>
      </c>
      <c r="F137" s="50" t="inlineStr">
        <is>
          <t>NB1(d)</t>
        </is>
      </c>
      <c r="G137" s="50" t="inlineStr">
        <is>
          <t>Confirm end-2026 target status</t>
        </is>
      </c>
      <c r="H137" s="52">
        <f>IFERROR(IF(INDEX('Faculties'!$L$10:$L$19,MATCH($F137,'Faculties'!$B$10:$B$19,0))="","Cell will autofill based on response",INDEX('Faculties'!$L$10:$L$19,MATCH($F137,'Faculties'!$B$10:$B$19,0))),"N/A")</f>
        <v/>
      </c>
      <c r="I137" s="52">
        <f>IFERROR(IF(INDEX('Faculties'!$L$26:$L$35,MATCH($F137,'Faculties'!$B$26:$B$35,0))="","Cell will autofill based on response",INDEX('Faculties'!$L$26:$L$35,MATCH($F137,'Faculties'!$B$26:$B$35,0))),"N/A")</f>
        <v/>
      </c>
      <c r="J137" s="52">
        <f>IFERROR(IF(INDEX('Faculties'!$L$42:$L$51,MATCH($F137,'Faculties'!$B$42:$B$51,0))="","Cell will autofill based on response",INDEX('Faculties'!$L$42:$L$51,MATCH($F137,'Faculties'!$B$42:$B$51,0))),"N/A")</f>
        <v/>
      </c>
      <c r="K137" s="52">
        <f>IFERROR(IF(INDEX('Faculties'!$L$58:$L$67,MATCH($F137,'Faculties'!$B$58:$B$67,0))="","Cell will autofill based on response",INDEX('Faculties'!$L$58:$L$67,MATCH($F137,'Faculties'!$B$58:$B$67,0))),"N/A")</f>
        <v/>
      </c>
      <c r="L137" s="52">
        <f>IFERROR(IF(INDEX('CI&amp;S'!$L$10:$L$15,MATCH($F137,'CI&amp;S'!$B$10:$B$15,0))="","Cell will autofill based on response",INDEX('CI&amp;S'!$L$10:$L$15,MATCH($F137,'CI&amp;S'!$B$10:$B$15,0))),"N/A")</f>
        <v/>
      </c>
      <c r="M137" s="52">
        <f>IFERROR(IF(INDEX('CI&amp;S'!$L$22:$L$36,MATCH($F137,'CI&amp;S'!$B$22:$B$36,0))="","Cell will autofill based on response",INDEX('CI&amp;S'!$L$22:$L$36,MATCH($F137,'CI&amp;S'!$B$22:$B$36,0))),"N/A")</f>
        <v/>
      </c>
      <c r="N137" s="52">
        <f>IFERROR(IF(INDEX('CFOG'!$L$10:$L$16,MATCH($F137,'CFOG'!$B$10:$B$16,0))="","Cell will autofill based on response",INDEX('CFOG'!$L$10:$L$16,MATCH($F137,'CFOG'!$B$10:$B$16,0))),"N/A")</f>
        <v/>
      </c>
      <c r="O137" s="52">
        <f>IFERROR(IF(INDEX('CFOG'!$L$23:$L$24,MATCH($F137,'CFOG'!$B$23:$B$24,0))="","Cell will autofill based on response",INDEX('CFOG'!$L$23:$L$24,MATCH($F137,'CFOG'!$B$23:$B$24,0))),"N/A")</f>
        <v/>
      </c>
      <c r="P137" s="52">
        <f>IFERROR(IF(INDEX('ESG'!$L$10:$L$17,MATCH($F137,'ESG'!$B$10:$B$17,0))="","Cell will autofill based on response",INDEX('ESG'!$L$10:$L$17,MATCH($F137,'ESG'!$B$10:$B$17,0))),"N/A")</f>
        <v/>
      </c>
      <c r="Q137" s="52">
        <f>IFERROR(IF(INDEX('CIOG'!$L$10:$L$14,MATCH($F137,'CIOG'!$B$10:$B$14,0))="","Cell will autofill based on response",INDEX('CIOG'!$L$10:$L$14,MATCH($F137,'CIOG'!$B$10:$B$14,0))),"N/A")</f>
        <v/>
      </c>
      <c r="R137" s="52">
        <f>IFERROR(IF(INDEX('MRE'!$L$10:$L$18,MATCH($F137,'MRE'!$B$10:$B$18,0))="","Cell will autofill based on response",INDEX('MRE'!$L$10:$L$18,MATCH($F137,'MRE'!$B$10:$B$18,0))),"N/A")</f>
        <v/>
      </c>
      <c r="S137" s="52">
        <f>IFERROR(IF(INDEX('AC&amp;M'!$L$10:$L$14,MATCH($F137,'AC&amp;M'!$B$10:$B$14,0))="","Cell will autofill based on response",INDEX('AC&amp;M'!$L$10:$L$14,MATCH($F137,'AC&amp;M'!$B$10:$B$14,0))),"N/A")</f>
        <v/>
      </c>
      <c r="T137" s="52">
        <f>IFERROR(IF(INDEX('GCE'!$L$10:$L$12,MATCH($F137,'GCE'!$B$10:$B$12,0))="","Cell will autofill based on response",INDEX('GCE'!$L$10:$L$12,MATCH($F137,'GCE'!$B$10:$B$12,0))),"N/A")</f>
        <v/>
      </c>
      <c r="U137" s="52">
        <f>IFERROR(IF(INDEX('Education'!$L$10:$L$13,MATCH($F137,'Education'!$B$10:$B$13,0))="","Cell will autofill based on response",INDEX('Education'!$L$10:$L$13,MATCH($F137,'Education'!$B$10:$B$13,0))),"N/A")</f>
        <v/>
      </c>
      <c r="V137" s="52">
        <f>IFERROR(IF(INDEX('SaSS'!$L$10:$L$12,MATCH($F137,'SaSS'!$B$10:$B$12,0))="","Cell will autofill based on response",INDEX('SaSS'!$L$10:$L$12,MATCH($F137,'SaSS'!$B$10:$B$12,0))),"N/A")</f>
        <v/>
      </c>
      <c r="W137" s="52">
        <f>IFERROR(IF(INDEX('Indigenous'!$L$10:$L$11,MATCH($F137,'Indigenous'!$B$10:$B$11,0))="","Cell will autofill based on response",INDEX('Indigenous'!$L$10:$L$11,MATCH($F137,'Indigenous'!$B$10:$B$11,0))),"N/A")</f>
        <v/>
      </c>
      <c r="X137" s="52">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3">
        <f>IF(AF137&gt;0,AE137/AF137,"No valid responses to date")</f>
        <v/>
      </c>
      <c r="AH137" s="10">
        <f>IF(ISNUMBER(AG137),INDEX(Lists!$G$2:$G$5,MATCH(ROUND(AG137,0),Lists!$H$2:$H$5,0)),"")</f>
        <v/>
      </c>
      <c r="AI137" s="54">
        <f>IF(AF137&gt;0,AD137/AF137,"")</f>
        <v/>
      </c>
      <c r="AJ137" s="54">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2">
        <f>IFERROR(IF(INDEX('Faculties'!$M$10:$M$19,MATCH($F138,'Faculties'!$B$10:$B$19,0))="","Cell will autofill based on response",INDEX('Faculties'!$M$10:$M$19,MATCH($F138,'Faculties'!$B$10:$B$19,0))),"N/A")</f>
        <v/>
      </c>
      <c r="I138" s="52">
        <f>IFERROR(IF(INDEX('Faculties'!$M$26:$M$35,MATCH($F138,'Faculties'!$B$26:$B$35,0))="","Cell will autofill based on response",INDEX('Faculties'!$M$26:$M$35,MATCH($F138,'Faculties'!$B$26:$B$35,0))),"N/A")</f>
        <v/>
      </c>
      <c r="J138" s="52">
        <f>IFERROR(IF(INDEX('Faculties'!$M$42:$M$51,MATCH($F138,'Faculties'!$B$42:$B$51,0))="","Cell will autofill based on response",INDEX('Faculties'!$M$42:$M$51,MATCH($F138,'Faculties'!$B$42:$B$51,0))),"N/A")</f>
        <v/>
      </c>
      <c r="K138" s="52">
        <f>IFERROR(IF(INDEX('Faculties'!$M$58:$M$67,MATCH($F138,'Faculties'!$B$58:$B$67,0))="","Cell will autofill based on response",INDEX('Faculties'!$M$58:$M$67,MATCH($F138,'Faculties'!$B$58:$B$67,0))),"N/A")</f>
        <v/>
      </c>
      <c r="L138" s="52">
        <f>IFERROR(IF(INDEX('CI&amp;S'!$M$10:$M$15,MATCH($F138,'CI&amp;S'!$B$10:$B$15,0))="","Cell will autofill based on response",INDEX('CI&amp;S'!$M$10:$M$15,MATCH($F138,'CI&amp;S'!$B$10:$B$15,0))),"N/A")</f>
        <v/>
      </c>
      <c r="M138" s="52">
        <f>IFERROR(IF(INDEX('CI&amp;S'!$M$22:$M$36,MATCH($F138,'CI&amp;S'!$B$22:$B$36,0))="","Cell will autofill based on response",INDEX('CI&amp;S'!$M$22:$M$36,MATCH($F138,'CI&amp;S'!$B$22:$B$36,0))),"N/A")</f>
        <v/>
      </c>
      <c r="N138" s="52">
        <f>IFERROR(IF(INDEX('CFOG'!$M$10:$M$16,MATCH($F138,'CFOG'!$B$10:$B$16,0))="","Cell will autofill based on response",INDEX('CFOG'!$M$10:$M$16,MATCH($F138,'CFOG'!$B$10:$B$16,0))),"N/A")</f>
        <v/>
      </c>
      <c r="O138" s="52">
        <f>IFERROR(IF(INDEX('CFOG'!$M$23:$M$24,MATCH($F138,'CFOG'!$B$23:$B$24,0))="","Cell will autofill based on response",INDEX('CFOG'!$M$23:$M$24,MATCH($F138,'CFOG'!$B$23:$B$24,0))),"N/A")</f>
        <v/>
      </c>
      <c r="P138" s="52">
        <f>IFERROR(IF(INDEX('ESG'!$M$10:$M$17,MATCH($F138,'ESG'!$B$10:$B$17,0))="","Cell will autofill based on response",INDEX('ESG'!$M$10:$M$17,MATCH($F138,'ESG'!$B$10:$B$17,0))),"N/A")</f>
        <v/>
      </c>
      <c r="Q138" s="52">
        <f>IFERROR(IF(INDEX('CIOG'!$M$10:$M$14,MATCH($F138,'CIOG'!$B$10:$B$14,0))="","Cell will autofill based on response",INDEX('CIOG'!$M$10:$M$14,MATCH($F138,'CIOG'!$B$10:$B$14,0))),"N/A")</f>
        <v/>
      </c>
      <c r="R138" s="52">
        <f>IFERROR(IF(INDEX('MRE'!$M$10:$M$18,MATCH($F138,'MRE'!$B$10:$B$18,0))="","Cell will autofill based on response",INDEX('MRE'!$M$10:$M$18,MATCH($F138,'MRE'!$B$10:$B$18,0))),"N/A")</f>
        <v/>
      </c>
      <c r="S138" s="52">
        <f>IFERROR(IF(INDEX('AC&amp;M'!$M$10:$M$14,MATCH($F138,'AC&amp;M'!$B$10:$B$14,0))="","Cell will autofill based on response",INDEX('AC&amp;M'!$M$10:$M$14,MATCH($F138,'AC&amp;M'!$B$10:$B$14,0))),"N/A")</f>
        <v/>
      </c>
      <c r="T138" s="52">
        <f>IFERROR(IF(INDEX('GCE'!$M$10:$M$12,MATCH($F138,'GCE'!$B$10:$B$12,0))="","Cell will autofill based on response",INDEX('GCE'!$M$10:$M$12,MATCH($F138,'GCE'!$B$10:$B$12,0))),"N/A")</f>
        <v/>
      </c>
      <c r="U138" s="52">
        <f>IFERROR(IF(INDEX('Education'!$M$10:$M$13,MATCH($F138,'Education'!$B$10:$B$13,0))="","Cell will autofill based on response",INDEX('Education'!$M$10:$M$13,MATCH($F138,'Education'!$B$10:$B$13,0))),"N/A")</f>
        <v/>
      </c>
      <c r="V138" s="52">
        <f>IFERROR(IF(INDEX('SaSS'!$M$10:$M$12,MATCH($F138,'SaSS'!$B$10:$B$12,0))="","Cell will autofill based on response",INDEX('SaSS'!$M$10:$M$12,MATCH($F138,'SaSS'!$B$10:$B$12,0))),"N/A")</f>
        <v/>
      </c>
      <c r="W138" s="52">
        <f>IFERROR(IF(INDEX('Indigenous'!$M$10:$M$11,MATCH($F138,'Indigenous'!$B$10:$B$11,0))="","Cell will autofill based on response",INDEX('Indigenous'!$M$10:$M$11,MATCH($F138,'Indigenous'!$B$10:$B$11,0))),"N/A")</f>
        <v/>
      </c>
      <c r="X138" s="52">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2">
        <f>IFERROR(IF(INDEX('Faculties'!$N$10:$N$19,MATCH($F139,'Faculties'!$B$10:$B$19,0))="","Cell will autofill based on response",INDEX('Faculties'!$N$10:$N$19,MATCH($F139,'Faculties'!$B$10:$B$19,0))),"N/A")</f>
        <v/>
      </c>
      <c r="I139" s="52">
        <f>IFERROR(IF(INDEX('Faculties'!$N$26:$N$35,MATCH($F139,'Faculties'!$B$26:$B$35,0))="","Cell will autofill based on response",INDEX('Faculties'!$N$26:$N$35,MATCH($F139,'Faculties'!$B$26:$B$35,0))),"N/A")</f>
        <v/>
      </c>
      <c r="J139" s="52">
        <f>IFERROR(IF(INDEX('Faculties'!$N$42:$N$51,MATCH($F139,'Faculties'!$B$42:$B$51,0))="","Cell will autofill based on response",INDEX('Faculties'!$N$42:$N$51,MATCH($F139,'Faculties'!$B$42:$B$51,0))),"N/A")</f>
        <v/>
      </c>
      <c r="K139" s="52">
        <f>IFERROR(IF(INDEX('Faculties'!$N$58:$N$67,MATCH($F139,'Faculties'!$B$58:$B$67,0))="","Cell will autofill based on response",INDEX('Faculties'!$N$58:$N$67,MATCH($F139,'Faculties'!$B$58:$B$67,0))),"N/A")</f>
        <v/>
      </c>
      <c r="L139" s="52">
        <f>IFERROR(IF(INDEX('CI&amp;S'!$N$10:$N$15,MATCH($F139,'CI&amp;S'!$B$10:$B$15,0))="","Cell will autofill based on response",INDEX('CI&amp;S'!$N$10:$N$15,MATCH($F139,'CI&amp;S'!$B$10:$B$15,0))),"N/A")</f>
        <v/>
      </c>
      <c r="M139" s="52">
        <f>IFERROR(IF(INDEX('CI&amp;S'!$N$22:$N$36,MATCH($F139,'CI&amp;S'!$B$22:$B$36,0))="","Cell will autofill based on response",INDEX('CI&amp;S'!$N$22:$N$36,MATCH($F139,'CI&amp;S'!$B$22:$B$36,0))),"N/A")</f>
        <v/>
      </c>
      <c r="N139" s="52">
        <f>IFERROR(IF(INDEX('CFOG'!$N$10:$N$16,MATCH($F139,'CFOG'!$B$10:$B$16,0))="","Cell will autofill based on response",INDEX('CFOG'!$N$10:$N$16,MATCH($F139,'CFOG'!$B$10:$B$16,0))),"N/A")</f>
        <v/>
      </c>
      <c r="O139" s="52">
        <f>IFERROR(IF(INDEX('CFOG'!$N$23:$N$24,MATCH($F139,'CFOG'!$B$23:$B$24,0))="","Cell will autofill based on response",INDEX('CFOG'!$N$23:$N$24,MATCH($F139,'CFOG'!$B$23:$B$24,0))),"N/A")</f>
        <v/>
      </c>
      <c r="P139" s="52">
        <f>IFERROR(IF(INDEX('ESG'!$N$10:$N$17,MATCH($F139,'ESG'!$B$10:$B$17,0))="","Cell will autofill based on response",INDEX('ESG'!$N$10:$N$17,MATCH($F139,'ESG'!$B$10:$B$17,0))),"N/A")</f>
        <v/>
      </c>
      <c r="Q139" s="52">
        <f>IFERROR(IF(INDEX('CIOG'!$N$10:$N$14,MATCH($F139,'CIOG'!$B$10:$B$14,0))="","Cell will autofill based on response",INDEX('CIOG'!$N$10:$N$14,MATCH($F139,'CIOG'!$B$10:$B$14,0))),"N/A")</f>
        <v/>
      </c>
      <c r="R139" s="52">
        <f>IFERROR(IF(INDEX('MRE'!$N$10:$N$18,MATCH($F139,'MRE'!$B$10:$B$18,0))="","Cell will autofill based on response",INDEX('MRE'!$N$10:$N$18,MATCH($F139,'MRE'!$B$10:$B$18,0))),"N/A")</f>
        <v/>
      </c>
      <c r="S139" s="52">
        <f>IFERROR(IF(INDEX('AC&amp;M'!$N$10:$N$14,MATCH($F139,'AC&amp;M'!$B$10:$B$14,0))="","Cell will autofill based on response",INDEX('AC&amp;M'!$N$10:$N$14,MATCH($F139,'AC&amp;M'!$B$10:$B$14,0))),"N/A")</f>
        <v/>
      </c>
      <c r="T139" s="52">
        <f>IFERROR(IF(INDEX('GCE'!$N$10:$N$12,MATCH($F139,'GCE'!$B$10:$B$12,0))="","Cell will autofill based on response",INDEX('GCE'!$N$10:$N$12,MATCH($F139,'GCE'!$B$10:$B$12,0))),"N/A")</f>
        <v/>
      </c>
      <c r="U139" s="52">
        <f>IFERROR(IF(INDEX('Education'!$N$10:$N$13,MATCH($F139,'Education'!$B$10:$B$13,0))="","Cell will autofill based on response",INDEX('Education'!$N$10:$N$13,MATCH($F139,'Education'!$B$10:$B$13,0))),"N/A")</f>
        <v/>
      </c>
      <c r="V139" s="52">
        <f>IFERROR(IF(INDEX('SaSS'!$N$10:$N$12,MATCH($F139,'SaSS'!$B$10:$B$12,0))="","Cell will autofill based on response",INDEX('SaSS'!$N$10:$N$12,MATCH($F139,'SaSS'!$B$10:$B$12,0))),"N/A")</f>
        <v/>
      </c>
      <c r="W139" s="52">
        <f>IFERROR(IF(INDEX('Indigenous'!$N$10:$N$11,MATCH($F139,'Indigenous'!$B$10:$B$11,0))="","Cell will autofill based on response",INDEX('Indigenous'!$N$10:$N$11,MATCH($F139,'Indigenous'!$B$10:$B$11,0))),"N/A")</f>
        <v/>
      </c>
      <c r="X139" s="52">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2">
        <f>IFERROR(IF(INDEX('Faculties'!$O$10:$O$19,MATCH($F140,'Faculties'!$B$10:$B$19,0))="","Cell will autofill based on response",INDEX('Faculties'!$O$10:$O$19,MATCH($F140,'Faculties'!$B$10:$B$19,0))),"N/A")</f>
        <v/>
      </c>
      <c r="I140" s="52">
        <f>IFERROR(IF(INDEX('Faculties'!$O$26:$O$35,MATCH($F140,'Faculties'!$B$26:$B$35,0))="","Cell will autofill based on response",INDEX('Faculties'!$O$26:$O$35,MATCH($F140,'Faculties'!$B$26:$B$35,0))),"N/A")</f>
        <v/>
      </c>
      <c r="J140" s="52">
        <f>IFERROR(IF(INDEX('Faculties'!$O$42:$O$51,MATCH($F140,'Faculties'!$B$42:$B$51,0))="","Cell will autofill based on response",INDEX('Faculties'!$O$42:$O$51,MATCH($F140,'Faculties'!$B$42:$B$51,0))),"N/A")</f>
        <v/>
      </c>
      <c r="K140" s="52">
        <f>IFERROR(IF(INDEX('Faculties'!$O$58:$O$67,MATCH($F140,'Faculties'!$B$58:$B$67,0))="","Cell will autofill based on response",INDEX('Faculties'!$O$58:$O$67,MATCH($F140,'Faculties'!$B$58:$B$67,0))),"N/A")</f>
        <v/>
      </c>
      <c r="L140" s="52">
        <f>IFERROR(IF(INDEX('CI&amp;S'!$O$10:$O$15,MATCH($F140,'CI&amp;S'!$B$10:$B$15,0))="","Cell will autofill based on response",INDEX('CI&amp;S'!$O$10:$O$15,MATCH($F140,'CI&amp;S'!$B$10:$B$15,0))),"N/A")</f>
        <v/>
      </c>
      <c r="M140" s="52">
        <f>IFERROR(IF(INDEX('CI&amp;S'!$O$22:$O$36,MATCH($F140,'CI&amp;S'!$B$22:$B$36,0))="","Cell will autofill based on response",INDEX('CI&amp;S'!$O$22:$O$36,MATCH($F140,'CI&amp;S'!$B$22:$B$36,0))),"N/A")</f>
        <v/>
      </c>
      <c r="N140" s="52">
        <f>IFERROR(IF(INDEX('CFOG'!$O$10:$O$16,MATCH($F140,'CFOG'!$B$10:$B$16,0))="","Cell will autofill based on response",INDEX('CFOG'!$O$10:$O$16,MATCH($F140,'CFOG'!$B$10:$B$16,0))),"N/A")</f>
        <v/>
      </c>
      <c r="O140" s="52">
        <f>IFERROR(IF(INDEX('CFOG'!$O$23:$O$24,MATCH($F140,'CFOG'!$B$23:$B$24,0))="","Cell will autofill based on response",INDEX('CFOG'!$O$23:$O$24,MATCH($F140,'CFOG'!$B$23:$B$24,0))),"N/A")</f>
        <v/>
      </c>
      <c r="P140" s="52">
        <f>IFERROR(IF(INDEX('ESG'!$O$10:$O$17,MATCH($F140,'ESG'!$B$10:$B$17,0))="","Cell will autofill based on response",INDEX('ESG'!$O$10:$O$17,MATCH($F140,'ESG'!$B$10:$B$17,0))),"N/A")</f>
        <v/>
      </c>
      <c r="Q140" s="52">
        <f>IFERROR(IF(INDEX('CIOG'!$O$10:$O$14,MATCH($F140,'CIOG'!$B$10:$B$14,0))="","Cell will autofill based on response",INDEX('CIOG'!$O$10:$O$14,MATCH($F140,'CIOG'!$B$10:$B$14,0))),"N/A")</f>
        <v/>
      </c>
      <c r="R140" s="52">
        <f>IFERROR(IF(INDEX('MRE'!$O$10:$O$18,MATCH($F140,'MRE'!$B$10:$B$18,0))="","Cell will autofill based on response",INDEX('MRE'!$O$10:$O$18,MATCH($F140,'MRE'!$B$10:$B$18,0))),"N/A")</f>
        <v/>
      </c>
      <c r="S140" s="52">
        <f>IFERROR(IF(INDEX('AC&amp;M'!$O$10:$O$14,MATCH($F140,'AC&amp;M'!$B$10:$B$14,0))="","Cell will autofill based on response",INDEX('AC&amp;M'!$O$10:$O$14,MATCH($F140,'AC&amp;M'!$B$10:$B$14,0))),"N/A")</f>
        <v/>
      </c>
      <c r="T140" s="52">
        <f>IFERROR(IF(INDEX('GCE'!$O$10:$O$12,MATCH($F140,'GCE'!$B$10:$B$12,0))="","Cell will autofill based on response",INDEX('GCE'!$O$10:$O$12,MATCH($F140,'GCE'!$B$10:$B$12,0))),"N/A")</f>
        <v/>
      </c>
      <c r="U140" s="52">
        <f>IFERROR(IF(INDEX('Education'!$O$10:$O$13,MATCH($F140,'Education'!$B$10:$B$13,0))="","Cell will autofill based on response",INDEX('Education'!$O$10:$O$13,MATCH($F140,'Education'!$B$10:$B$13,0))),"N/A")</f>
        <v/>
      </c>
      <c r="V140" s="52">
        <f>IFERROR(IF(INDEX('SaSS'!$O$10:$O$12,MATCH($F140,'SaSS'!$B$10:$B$12,0))="","Cell will autofill based on response",INDEX('SaSS'!$O$10:$O$12,MATCH($F140,'SaSS'!$B$10:$B$12,0))),"N/A")</f>
        <v/>
      </c>
      <c r="W140" s="52">
        <f>IFERROR(IF(INDEX('Indigenous'!$O$10:$O$11,MATCH($F140,'Indigenous'!$B$10:$B$11,0))="","Cell will autofill based on response",INDEX('Indigenous'!$O$10:$O$11,MATCH($F140,'Indigenous'!$B$10:$B$11,0))),"N/A")</f>
        <v/>
      </c>
      <c r="X140" s="52">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2">
        <f>IFERROR(IF(INDEX('Faculties'!$P$10:$P$19,MATCH($F141,'Faculties'!$B$10:$B$19,0))="","Cell will autofill based on response",INDEX('Faculties'!$P$10:$P$19,MATCH($F141,'Faculties'!$B$10:$B$19,0))),"N/A")</f>
        <v/>
      </c>
      <c r="I141" s="52">
        <f>IFERROR(IF(INDEX('Faculties'!$P$26:$P$35,MATCH($F141,'Faculties'!$B$26:$B$35,0))="","Cell will autofill based on response",INDEX('Faculties'!$P$26:$P$35,MATCH($F141,'Faculties'!$B$26:$B$35,0))),"N/A")</f>
        <v/>
      </c>
      <c r="J141" s="52">
        <f>IFERROR(IF(INDEX('Faculties'!$P$42:$P$51,MATCH($F141,'Faculties'!$B$42:$B$51,0))="","Cell will autofill based on response",INDEX('Faculties'!$P$42:$P$51,MATCH($F141,'Faculties'!$B$42:$B$51,0))),"N/A")</f>
        <v/>
      </c>
      <c r="K141" s="52">
        <f>IFERROR(IF(INDEX('Faculties'!$P$58:$P$67,MATCH($F141,'Faculties'!$B$58:$B$67,0))="","Cell will autofill based on response",INDEX('Faculties'!$P$58:$P$67,MATCH($F141,'Faculties'!$B$58:$B$67,0))),"N/A")</f>
        <v/>
      </c>
      <c r="L141" s="52">
        <f>IFERROR(IF(INDEX('CI&amp;S'!$P$10:$P$15,MATCH($F141,'CI&amp;S'!$B$10:$B$15,0))="","Cell will autofill based on response",INDEX('CI&amp;S'!$P$10:$P$15,MATCH($F141,'CI&amp;S'!$B$10:$B$15,0))),"N/A")</f>
        <v/>
      </c>
      <c r="M141" s="52">
        <f>IFERROR(IF(INDEX('CI&amp;S'!$P$22:$P$36,MATCH($F141,'CI&amp;S'!$B$22:$B$36,0))="","Cell will autofill based on response",INDEX('CI&amp;S'!$P$22:$P$36,MATCH($F141,'CI&amp;S'!$B$22:$B$36,0))),"N/A")</f>
        <v/>
      </c>
      <c r="N141" s="52">
        <f>IFERROR(IF(INDEX('CFOG'!$P$10:$P$16,MATCH($F141,'CFOG'!$B$10:$B$16,0))="","Cell will autofill based on response",INDEX('CFOG'!$P$10:$P$16,MATCH($F141,'CFOG'!$B$10:$B$16,0))),"N/A")</f>
        <v/>
      </c>
      <c r="O141" s="52">
        <f>IFERROR(IF(INDEX('CFOG'!$P$23:$P$24,MATCH($F141,'CFOG'!$B$23:$B$24,0))="","Cell will autofill based on response",INDEX('CFOG'!$P$23:$P$24,MATCH($F141,'CFOG'!$B$23:$B$24,0))),"N/A")</f>
        <v/>
      </c>
      <c r="P141" s="52">
        <f>IFERROR(IF(INDEX('ESG'!$P$10:$P$17,MATCH($F141,'ESG'!$B$10:$B$17,0))="","Cell will autofill based on response",INDEX('ESG'!$P$10:$P$17,MATCH($F141,'ESG'!$B$10:$B$17,0))),"N/A")</f>
        <v/>
      </c>
      <c r="Q141" s="52">
        <f>IFERROR(IF(INDEX('CIOG'!$P$10:$P$14,MATCH($F141,'CIOG'!$B$10:$B$14,0))="","Cell will autofill based on response",INDEX('CIOG'!$P$10:$P$14,MATCH($F141,'CIOG'!$B$10:$B$14,0))),"N/A")</f>
        <v/>
      </c>
      <c r="R141" s="52">
        <f>IFERROR(IF(INDEX('MRE'!$P$10:$P$18,MATCH($F141,'MRE'!$B$10:$B$18,0))="","Cell will autofill based on response",INDEX('MRE'!$P$10:$P$18,MATCH($F141,'MRE'!$B$10:$B$18,0))),"N/A")</f>
        <v/>
      </c>
      <c r="S141" s="52">
        <f>IFERROR(IF(INDEX('AC&amp;M'!$P$10:$P$14,MATCH($F141,'AC&amp;M'!$B$10:$B$14,0))="","Cell will autofill based on response",INDEX('AC&amp;M'!$P$10:$P$14,MATCH($F141,'AC&amp;M'!$B$10:$B$14,0))),"N/A")</f>
        <v/>
      </c>
      <c r="T141" s="52">
        <f>IFERROR(IF(INDEX('GCE'!$P$10:$P$12,MATCH($F141,'GCE'!$B$10:$B$12,0))="","Cell will autofill based on response",INDEX('GCE'!$P$10:$P$12,MATCH($F141,'GCE'!$B$10:$B$12,0))),"N/A")</f>
        <v/>
      </c>
      <c r="U141" s="52">
        <f>IFERROR(IF(INDEX('Education'!$P$10:$P$13,MATCH($F141,'Education'!$B$10:$B$13,0))="","Cell will autofill based on response",INDEX('Education'!$P$10:$P$13,MATCH($F141,'Education'!$B$10:$B$13,0))),"N/A")</f>
        <v/>
      </c>
      <c r="V141" s="52">
        <f>IFERROR(IF(INDEX('SaSS'!$P$10:$P$12,MATCH($F141,'SaSS'!$B$10:$B$12,0))="","Cell will autofill based on response",INDEX('SaSS'!$P$10:$P$12,MATCH($F141,'SaSS'!$B$10:$B$12,0))),"N/A")</f>
        <v/>
      </c>
      <c r="W141" s="52">
        <f>IFERROR(IF(INDEX('Indigenous'!$P$10:$P$11,MATCH($F141,'Indigenous'!$B$10:$B$11,0))="","Cell will autofill based on response",INDEX('Indigenous'!$P$10:$P$11,MATCH($F141,'Indigenous'!$B$10:$B$11,0))),"N/A")</f>
        <v/>
      </c>
      <c r="X141" s="52">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2">
        <f>IFERROR(IF(INDEX('Faculties'!$Q$10:$Q$19,MATCH($F142,'Faculties'!$B$10:$B$19,0))="","Cell will autofill based on response",INDEX('Faculties'!$Q$10:$Q$19,MATCH($F142,'Faculties'!$B$10:$B$19,0))),"N/A")</f>
        <v/>
      </c>
      <c r="I142" s="52">
        <f>IFERROR(IF(INDEX('Faculties'!$Q$26:$Q$35,MATCH($F142,'Faculties'!$B$26:$B$35,0))="","Cell will autofill based on response",INDEX('Faculties'!$Q$26:$Q$35,MATCH($F142,'Faculties'!$B$26:$B$35,0))),"N/A")</f>
        <v/>
      </c>
      <c r="J142" s="52">
        <f>IFERROR(IF(INDEX('Faculties'!$Q$42:$Q$51,MATCH($F142,'Faculties'!$B$42:$B$51,0))="","Cell will autofill based on response",INDEX('Faculties'!$Q$42:$Q$51,MATCH($F142,'Faculties'!$B$42:$B$51,0))),"N/A")</f>
        <v/>
      </c>
      <c r="K142" s="52">
        <f>IFERROR(IF(INDEX('Faculties'!$Q$58:$Q$67,MATCH($F142,'Faculties'!$B$58:$B$67,0))="","Cell will autofill based on response",INDEX('Faculties'!$Q$58:$Q$67,MATCH($F142,'Faculties'!$B$58:$B$67,0))),"N/A")</f>
        <v/>
      </c>
      <c r="L142" s="52">
        <f>IFERROR(IF(INDEX('CI&amp;S'!$Q$10:$Q$15,MATCH($F142,'CI&amp;S'!$B$10:$B$15,0))="","Cell will autofill based on response",INDEX('CI&amp;S'!$Q$10:$Q$15,MATCH($F142,'CI&amp;S'!$B$10:$B$15,0))),"N/A")</f>
        <v/>
      </c>
      <c r="M142" s="52">
        <f>IFERROR(IF(INDEX('CI&amp;S'!$Q$22:$Q$36,MATCH($F142,'CI&amp;S'!$B$22:$B$36,0))="","Cell will autofill based on response",INDEX('CI&amp;S'!$Q$22:$Q$36,MATCH($F142,'CI&amp;S'!$B$22:$B$36,0))),"N/A")</f>
        <v/>
      </c>
      <c r="N142" s="52">
        <f>IFERROR(IF(INDEX('CFOG'!$Q$10:$Q$16,MATCH($F142,'CFOG'!$B$10:$B$16,0))="","Cell will autofill based on response",INDEX('CFOG'!$Q$10:$Q$16,MATCH($F142,'CFOG'!$B$10:$B$16,0))),"N/A")</f>
        <v/>
      </c>
      <c r="O142" s="52">
        <f>IFERROR(IF(INDEX('CFOG'!$Q$23:$Q$24,MATCH($F142,'CFOG'!$B$23:$B$24,0))="","Cell will autofill based on response",INDEX('CFOG'!$Q$23:$Q$24,MATCH($F142,'CFOG'!$B$23:$B$24,0))),"N/A")</f>
        <v/>
      </c>
      <c r="P142" s="52">
        <f>IFERROR(IF(INDEX('ESG'!$Q$10:$Q$17,MATCH($F142,'ESG'!$B$10:$B$17,0))="","Cell will autofill based on response",INDEX('ESG'!$Q$10:$Q$17,MATCH($F142,'ESG'!$B$10:$B$17,0))),"N/A")</f>
        <v/>
      </c>
      <c r="Q142" s="52">
        <f>IFERROR(IF(INDEX('CIOG'!$Q$10:$Q$14,MATCH($F142,'CIOG'!$B$10:$B$14,0))="","Cell will autofill based on response",INDEX('CIOG'!$Q$10:$Q$14,MATCH($F142,'CIOG'!$B$10:$B$14,0))),"N/A")</f>
        <v/>
      </c>
      <c r="R142" s="52">
        <f>IFERROR(IF(INDEX('MRE'!$Q$10:$Q$18,MATCH($F142,'MRE'!$B$10:$B$18,0))="","Cell will autofill based on response",INDEX('MRE'!$Q$10:$Q$18,MATCH($F142,'MRE'!$B$10:$B$18,0))),"N/A")</f>
        <v/>
      </c>
      <c r="S142" s="52">
        <f>IFERROR(IF(INDEX('AC&amp;M'!$Q$10:$Q$14,MATCH($F142,'AC&amp;M'!$B$10:$B$14,0))="","Cell will autofill based on response",INDEX('AC&amp;M'!$Q$10:$Q$14,MATCH($F142,'AC&amp;M'!$B$10:$B$14,0))),"N/A")</f>
        <v/>
      </c>
      <c r="T142" s="52">
        <f>IFERROR(IF(INDEX('GCE'!$Q$10:$Q$12,MATCH($F142,'GCE'!$B$10:$B$12,0))="","Cell will autofill based on response",INDEX('GCE'!$Q$10:$Q$12,MATCH($F142,'GCE'!$B$10:$B$12,0))),"N/A")</f>
        <v/>
      </c>
      <c r="U142" s="52">
        <f>IFERROR(IF(INDEX('Education'!$Q$10:$Q$13,MATCH($F142,'Education'!$B$10:$B$13,0))="","Cell will autofill based on response",INDEX('Education'!$Q$10:$Q$13,MATCH($F142,'Education'!$B$10:$B$13,0))),"N/A")</f>
        <v/>
      </c>
      <c r="V142" s="52">
        <f>IFERROR(IF(INDEX('SaSS'!$Q$10:$Q$12,MATCH($F142,'SaSS'!$B$10:$B$12,0))="","Cell will autofill based on response",INDEX('SaSS'!$Q$10:$Q$12,MATCH($F142,'SaSS'!$B$10:$B$12,0))),"N/A")</f>
        <v/>
      </c>
      <c r="W142" s="52">
        <f>IFERROR(IF(INDEX('Indigenous'!$Q$10:$Q$11,MATCH($F142,'Indigenous'!$B$10:$B$11,0))="","Cell will autofill based on response",INDEX('Indigenous'!$Q$10:$Q$11,MATCH($F142,'Indigenous'!$B$10:$B$11,0))),"N/A")</f>
        <v/>
      </c>
      <c r="X142" s="52">
        <f>IFERROR(IF(INDEX('L&amp;R'!$Q$10:$Q$11,MATCH($F142,'L&amp;R'!$B$10:$B$11,0))="","Cell will autofill based on response",INDEX('L&amp;R'!$Q$10:$Q$11,MATCH($F142,'L&amp;R'!$B$10:$B$11,0))),"N/A")</f>
        <v/>
      </c>
    </row>
    <row r="143">
      <c r="A143">
        <f>F143&amp;"|"&amp;G143</f>
        <v/>
      </c>
      <c r="B143" s="7" t="inlineStr">
        <is>
          <t>NB2(a)</t>
        </is>
      </c>
      <c r="C143" s="50" t="inlineStr">
        <is>
          <t>Nature and biodiversity</t>
        </is>
      </c>
      <c r="D143" s="50" t="inlineStr">
        <is>
          <t>Documented baseline nature footprint analysis</t>
        </is>
      </c>
      <c r="E143" s="50" t="inlineStr">
        <is>
          <t>Impact Encore Measurement</t>
        </is>
      </c>
      <c r="F143" s="50" t="inlineStr">
        <is>
          <t>NB2(a)</t>
        </is>
      </c>
      <c r="G143" s="50" t="inlineStr">
        <is>
          <t>Confirm end-2026 target status</t>
        </is>
      </c>
      <c r="H143" s="52">
        <f>IFERROR(IF(INDEX('Faculties'!$L$10:$L$19,MATCH($F143,'Faculties'!$B$10:$B$19,0))="","Cell will autofill based on response",INDEX('Faculties'!$L$10:$L$19,MATCH($F143,'Faculties'!$B$10:$B$19,0))),"N/A")</f>
        <v/>
      </c>
      <c r="I143" s="52">
        <f>IFERROR(IF(INDEX('Faculties'!$L$26:$L$35,MATCH($F143,'Faculties'!$B$26:$B$35,0))="","Cell will autofill based on response",INDEX('Faculties'!$L$26:$L$35,MATCH($F143,'Faculties'!$B$26:$B$35,0))),"N/A")</f>
        <v/>
      </c>
      <c r="J143" s="52">
        <f>IFERROR(IF(INDEX('Faculties'!$L$42:$L$51,MATCH($F143,'Faculties'!$B$42:$B$51,0))="","Cell will autofill based on response",INDEX('Faculties'!$L$42:$L$51,MATCH($F143,'Faculties'!$B$42:$B$51,0))),"N/A")</f>
        <v/>
      </c>
      <c r="K143" s="52">
        <f>IFERROR(IF(INDEX('Faculties'!$L$58:$L$67,MATCH($F143,'Faculties'!$B$58:$B$67,0))="","Cell will autofill based on response",INDEX('Faculties'!$L$58:$L$67,MATCH($F143,'Faculties'!$B$58:$B$67,0))),"N/A")</f>
        <v/>
      </c>
      <c r="L143" s="52">
        <f>IFERROR(IF(INDEX('CI&amp;S'!$L$10:$L$15,MATCH($F143,'CI&amp;S'!$B$10:$B$15,0))="","Cell will autofill based on response",INDEX('CI&amp;S'!$L$10:$L$15,MATCH($F143,'CI&amp;S'!$B$10:$B$15,0))),"N/A")</f>
        <v/>
      </c>
      <c r="M143" s="52">
        <f>IFERROR(IF(INDEX('CI&amp;S'!$L$22:$L$36,MATCH($F143,'CI&amp;S'!$B$22:$B$36,0))="","Cell will autofill based on response",INDEX('CI&amp;S'!$L$22:$L$36,MATCH($F143,'CI&amp;S'!$B$22:$B$36,0))),"N/A")</f>
        <v/>
      </c>
      <c r="N143" s="52">
        <f>IFERROR(IF(INDEX('CFOG'!$L$10:$L$16,MATCH($F143,'CFOG'!$B$10:$B$16,0))="","Cell will autofill based on response",INDEX('CFOG'!$L$10:$L$16,MATCH($F143,'CFOG'!$B$10:$B$16,0))),"N/A")</f>
        <v/>
      </c>
      <c r="O143" s="52">
        <f>IFERROR(IF(INDEX('CFOG'!$L$23:$L$24,MATCH($F143,'CFOG'!$B$23:$B$24,0))="","Cell will autofill based on response",INDEX('CFOG'!$L$23:$L$24,MATCH($F143,'CFOG'!$B$23:$B$24,0))),"N/A")</f>
        <v/>
      </c>
      <c r="P143" s="52">
        <f>IFERROR(IF(INDEX('ESG'!$L$10:$L$17,MATCH($F143,'ESG'!$B$10:$B$17,0))="","Cell will autofill based on response",INDEX('ESG'!$L$10:$L$17,MATCH($F143,'ESG'!$B$10:$B$17,0))),"N/A")</f>
        <v/>
      </c>
      <c r="Q143" s="52">
        <f>IFERROR(IF(INDEX('CIOG'!$L$10:$L$14,MATCH($F143,'CIOG'!$B$10:$B$14,0))="","Cell will autofill based on response",INDEX('CIOG'!$L$10:$L$14,MATCH($F143,'CIOG'!$B$10:$B$14,0))),"N/A")</f>
        <v/>
      </c>
      <c r="R143" s="52">
        <f>IFERROR(IF(INDEX('MRE'!$L$10:$L$18,MATCH($F143,'MRE'!$B$10:$B$18,0))="","Cell will autofill based on response",INDEX('MRE'!$L$10:$L$18,MATCH($F143,'MRE'!$B$10:$B$18,0))),"N/A")</f>
        <v/>
      </c>
      <c r="S143" s="52">
        <f>IFERROR(IF(INDEX('AC&amp;M'!$L$10:$L$14,MATCH($F143,'AC&amp;M'!$B$10:$B$14,0))="","Cell will autofill based on response",INDEX('AC&amp;M'!$L$10:$L$14,MATCH($F143,'AC&amp;M'!$B$10:$B$14,0))),"N/A")</f>
        <v/>
      </c>
      <c r="T143" s="52">
        <f>IFERROR(IF(INDEX('GCE'!$L$10:$L$12,MATCH($F143,'GCE'!$B$10:$B$12,0))="","Cell will autofill based on response",INDEX('GCE'!$L$10:$L$12,MATCH($F143,'GCE'!$B$10:$B$12,0))),"N/A")</f>
        <v/>
      </c>
      <c r="U143" s="52">
        <f>IFERROR(IF(INDEX('Education'!$L$10:$L$13,MATCH($F143,'Education'!$B$10:$B$13,0))="","Cell will autofill based on response",INDEX('Education'!$L$10:$L$13,MATCH($F143,'Education'!$B$10:$B$13,0))),"N/A")</f>
        <v/>
      </c>
      <c r="V143" s="52">
        <f>IFERROR(IF(INDEX('SaSS'!$L$10:$L$12,MATCH($F143,'SaSS'!$B$10:$B$12,0))="","Cell will autofill based on response",INDEX('SaSS'!$L$10:$L$12,MATCH($F143,'SaSS'!$B$10:$B$12,0))),"N/A")</f>
        <v/>
      </c>
      <c r="W143" s="52">
        <f>IFERROR(IF(INDEX('Indigenous'!$L$10:$L$11,MATCH($F143,'Indigenous'!$B$10:$B$11,0))="","Cell will autofill based on response",INDEX('Indigenous'!$L$10:$L$11,MATCH($F143,'Indigenous'!$B$10:$B$11,0))),"N/A")</f>
        <v/>
      </c>
      <c r="X143" s="52">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3">
        <f>IF(AF143&gt;0,AE143/AF143,"No valid responses to date")</f>
        <v/>
      </c>
      <c r="AH143" s="10">
        <f>IF(ISNUMBER(AG143),INDEX(Lists!$G$2:$G$5,MATCH(ROUND(AG143,0),Lists!$H$2:$H$5,0)),"")</f>
        <v/>
      </c>
      <c r="AI143" s="54">
        <f>IF(AF143&gt;0,AD143/AF143,"")</f>
        <v/>
      </c>
      <c r="AJ143" s="54">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2">
        <f>IFERROR(IF(INDEX('Faculties'!$M$10:$M$19,MATCH($F144,'Faculties'!$B$10:$B$19,0))="","Cell will autofill based on response",INDEX('Faculties'!$M$10:$M$19,MATCH($F144,'Faculties'!$B$10:$B$19,0))),"N/A")</f>
        <v/>
      </c>
      <c r="I144" s="52">
        <f>IFERROR(IF(INDEX('Faculties'!$M$26:$M$35,MATCH($F144,'Faculties'!$B$26:$B$35,0))="","Cell will autofill based on response",INDEX('Faculties'!$M$26:$M$35,MATCH($F144,'Faculties'!$B$26:$B$35,0))),"N/A")</f>
        <v/>
      </c>
      <c r="J144" s="52">
        <f>IFERROR(IF(INDEX('Faculties'!$M$42:$M$51,MATCH($F144,'Faculties'!$B$42:$B$51,0))="","Cell will autofill based on response",INDEX('Faculties'!$M$42:$M$51,MATCH($F144,'Faculties'!$B$42:$B$51,0))),"N/A")</f>
        <v/>
      </c>
      <c r="K144" s="52">
        <f>IFERROR(IF(INDEX('Faculties'!$M$58:$M$67,MATCH($F144,'Faculties'!$B$58:$B$67,0))="","Cell will autofill based on response",INDEX('Faculties'!$M$58:$M$67,MATCH($F144,'Faculties'!$B$58:$B$67,0))),"N/A")</f>
        <v/>
      </c>
      <c r="L144" s="52">
        <f>IFERROR(IF(INDEX('CI&amp;S'!$M$10:$M$15,MATCH($F144,'CI&amp;S'!$B$10:$B$15,0))="","Cell will autofill based on response",INDEX('CI&amp;S'!$M$10:$M$15,MATCH($F144,'CI&amp;S'!$B$10:$B$15,0))),"N/A")</f>
        <v/>
      </c>
      <c r="M144" s="52">
        <f>IFERROR(IF(INDEX('CI&amp;S'!$M$22:$M$36,MATCH($F144,'CI&amp;S'!$B$22:$B$36,0))="","Cell will autofill based on response",INDEX('CI&amp;S'!$M$22:$M$36,MATCH($F144,'CI&amp;S'!$B$22:$B$36,0))),"N/A")</f>
        <v/>
      </c>
      <c r="N144" s="52">
        <f>IFERROR(IF(INDEX('CFOG'!$M$10:$M$16,MATCH($F144,'CFOG'!$B$10:$B$16,0))="","Cell will autofill based on response",INDEX('CFOG'!$M$10:$M$16,MATCH($F144,'CFOG'!$B$10:$B$16,0))),"N/A")</f>
        <v/>
      </c>
      <c r="O144" s="52">
        <f>IFERROR(IF(INDEX('CFOG'!$M$23:$M$24,MATCH($F144,'CFOG'!$B$23:$B$24,0))="","Cell will autofill based on response",INDEX('CFOG'!$M$23:$M$24,MATCH($F144,'CFOG'!$B$23:$B$24,0))),"N/A")</f>
        <v/>
      </c>
      <c r="P144" s="52">
        <f>IFERROR(IF(INDEX('ESG'!$M$10:$M$17,MATCH($F144,'ESG'!$B$10:$B$17,0))="","Cell will autofill based on response",INDEX('ESG'!$M$10:$M$17,MATCH($F144,'ESG'!$B$10:$B$17,0))),"N/A")</f>
        <v/>
      </c>
      <c r="Q144" s="52">
        <f>IFERROR(IF(INDEX('CIOG'!$M$10:$M$14,MATCH($F144,'CIOG'!$B$10:$B$14,0))="","Cell will autofill based on response",INDEX('CIOG'!$M$10:$M$14,MATCH($F144,'CIOG'!$B$10:$B$14,0))),"N/A")</f>
        <v/>
      </c>
      <c r="R144" s="52">
        <f>IFERROR(IF(INDEX('MRE'!$M$10:$M$18,MATCH($F144,'MRE'!$B$10:$B$18,0))="","Cell will autofill based on response",INDEX('MRE'!$M$10:$M$18,MATCH($F144,'MRE'!$B$10:$B$18,0))),"N/A")</f>
        <v/>
      </c>
      <c r="S144" s="52">
        <f>IFERROR(IF(INDEX('AC&amp;M'!$M$10:$M$14,MATCH($F144,'AC&amp;M'!$B$10:$B$14,0))="","Cell will autofill based on response",INDEX('AC&amp;M'!$M$10:$M$14,MATCH($F144,'AC&amp;M'!$B$10:$B$14,0))),"N/A")</f>
        <v/>
      </c>
      <c r="T144" s="52">
        <f>IFERROR(IF(INDEX('GCE'!$M$10:$M$12,MATCH($F144,'GCE'!$B$10:$B$12,0))="","Cell will autofill based on response",INDEX('GCE'!$M$10:$M$12,MATCH($F144,'GCE'!$B$10:$B$12,0))),"N/A")</f>
        <v/>
      </c>
      <c r="U144" s="52">
        <f>IFERROR(IF(INDEX('Education'!$M$10:$M$13,MATCH($F144,'Education'!$B$10:$B$13,0))="","Cell will autofill based on response",INDEX('Education'!$M$10:$M$13,MATCH($F144,'Education'!$B$10:$B$13,0))),"N/A")</f>
        <v/>
      </c>
      <c r="V144" s="52">
        <f>IFERROR(IF(INDEX('SaSS'!$M$10:$M$12,MATCH($F144,'SaSS'!$B$10:$B$12,0))="","Cell will autofill based on response",INDEX('SaSS'!$M$10:$M$12,MATCH($F144,'SaSS'!$B$10:$B$12,0))),"N/A")</f>
        <v/>
      </c>
      <c r="W144" s="52">
        <f>IFERROR(IF(INDEX('Indigenous'!$M$10:$M$11,MATCH($F144,'Indigenous'!$B$10:$B$11,0))="","Cell will autofill based on response",INDEX('Indigenous'!$M$10:$M$11,MATCH($F144,'Indigenous'!$B$10:$B$11,0))),"N/A")</f>
        <v/>
      </c>
      <c r="X144" s="52">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2">
        <f>IFERROR(IF(INDEX('Faculties'!$N$10:$N$19,MATCH($F145,'Faculties'!$B$10:$B$19,0))="","Cell will autofill based on response",INDEX('Faculties'!$N$10:$N$19,MATCH($F145,'Faculties'!$B$10:$B$19,0))),"N/A")</f>
        <v/>
      </c>
      <c r="I145" s="52">
        <f>IFERROR(IF(INDEX('Faculties'!$N$26:$N$35,MATCH($F145,'Faculties'!$B$26:$B$35,0))="","Cell will autofill based on response",INDEX('Faculties'!$N$26:$N$35,MATCH($F145,'Faculties'!$B$26:$B$35,0))),"N/A")</f>
        <v/>
      </c>
      <c r="J145" s="52">
        <f>IFERROR(IF(INDEX('Faculties'!$N$42:$N$51,MATCH($F145,'Faculties'!$B$42:$B$51,0))="","Cell will autofill based on response",INDEX('Faculties'!$N$42:$N$51,MATCH($F145,'Faculties'!$B$42:$B$51,0))),"N/A")</f>
        <v/>
      </c>
      <c r="K145" s="52">
        <f>IFERROR(IF(INDEX('Faculties'!$N$58:$N$67,MATCH($F145,'Faculties'!$B$58:$B$67,0))="","Cell will autofill based on response",INDEX('Faculties'!$N$58:$N$67,MATCH($F145,'Faculties'!$B$58:$B$67,0))),"N/A")</f>
        <v/>
      </c>
      <c r="L145" s="52">
        <f>IFERROR(IF(INDEX('CI&amp;S'!$N$10:$N$15,MATCH($F145,'CI&amp;S'!$B$10:$B$15,0))="","Cell will autofill based on response",INDEX('CI&amp;S'!$N$10:$N$15,MATCH($F145,'CI&amp;S'!$B$10:$B$15,0))),"N/A")</f>
        <v/>
      </c>
      <c r="M145" s="52">
        <f>IFERROR(IF(INDEX('CI&amp;S'!$N$22:$N$36,MATCH($F145,'CI&amp;S'!$B$22:$B$36,0))="","Cell will autofill based on response",INDEX('CI&amp;S'!$N$22:$N$36,MATCH($F145,'CI&amp;S'!$B$22:$B$36,0))),"N/A")</f>
        <v/>
      </c>
      <c r="N145" s="52">
        <f>IFERROR(IF(INDEX('CFOG'!$N$10:$N$16,MATCH($F145,'CFOG'!$B$10:$B$16,0))="","Cell will autofill based on response",INDEX('CFOG'!$N$10:$N$16,MATCH($F145,'CFOG'!$B$10:$B$16,0))),"N/A")</f>
        <v/>
      </c>
      <c r="O145" s="52">
        <f>IFERROR(IF(INDEX('CFOG'!$N$23:$N$24,MATCH($F145,'CFOG'!$B$23:$B$24,0))="","Cell will autofill based on response",INDEX('CFOG'!$N$23:$N$24,MATCH($F145,'CFOG'!$B$23:$B$24,0))),"N/A")</f>
        <v/>
      </c>
      <c r="P145" s="52">
        <f>IFERROR(IF(INDEX('ESG'!$N$10:$N$17,MATCH($F145,'ESG'!$B$10:$B$17,0))="","Cell will autofill based on response",INDEX('ESG'!$N$10:$N$17,MATCH($F145,'ESG'!$B$10:$B$17,0))),"N/A")</f>
        <v/>
      </c>
      <c r="Q145" s="52">
        <f>IFERROR(IF(INDEX('CIOG'!$N$10:$N$14,MATCH($F145,'CIOG'!$B$10:$B$14,0))="","Cell will autofill based on response",INDEX('CIOG'!$N$10:$N$14,MATCH($F145,'CIOG'!$B$10:$B$14,0))),"N/A")</f>
        <v/>
      </c>
      <c r="R145" s="52">
        <f>IFERROR(IF(INDEX('MRE'!$N$10:$N$18,MATCH($F145,'MRE'!$B$10:$B$18,0))="","Cell will autofill based on response",INDEX('MRE'!$N$10:$N$18,MATCH($F145,'MRE'!$B$10:$B$18,0))),"N/A")</f>
        <v/>
      </c>
      <c r="S145" s="52">
        <f>IFERROR(IF(INDEX('AC&amp;M'!$N$10:$N$14,MATCH($F145,'AC&amp;M'!$B$10:$B$14,0))="","Cell will autofill based on response",INDEX('AC&amp;M'!$N$10:$N$14,MATCH($F145,'AC&amp;M'!$B$10:$B$14,0))),"N/A")</f>
        <v/>
      </c>
      <c r="T145" s="52">
        <f>IFERROR(IF(INDEX('GCE'!$N$10:$N$12,MATCH($F145,'GCE'!$B$10:$B$12,0))="","Cell will autofill based on response",INDEX('GCE'!$N$10:$N$12,MATCH($F145,'GCE'!$B$10:$B$12,0))),"N/A")</f>
        <v/>
      </c>
      <c r="U145" s="52">
        <f>IFERROR(IF(INDEX('Education'!$N$10:$N$13,MATCH($F145,'Education'!$B$10:$B$13,0))="","Cell will autofill based on response",INDEX('Education'!$N$10:$N$13,MATCH($F145,'Education'!$B$10:$B$13,0))),"N/A")</f>
        <v/>
      </c>
      <c r="V145" s="52">
        <f>IFERROR(IF(INDEX('SaSS'!$N$10:$N$12,MATCH($F145,'SaSS'!$B$10:$B$12,0))="","Cell will autofill based on response",INDEX('SaSS'!$N$10:$N$12,MATCH($F145,'SaSS'!$B$10:$B$12,0))),"N/A")</f>
        <v/>
      </c>
      <c r="W145" s="52">
        <f>IFERROR(IF(INDEX('Indigenous'!$N$10:$N$11,MATCH($F145,'Indigenous'!$B$10:$B$11,0))="","Cell will autofill based on response",INDEX('Indigenous'!$N$10:$N$11,MATCH($F145,'Indigenous'!$B$10:$B$11,0))),"N/A")</f>
        <v/>
      </c>
      <c r="X145" s="52">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2">
        <f>IFERROR(IF(INDEX('Faculties'!$O$10:$O$19,MATCH($F146,'Faculties'!$B$10:$B$19,0))="","Cell will autofill based on response",INDEX('Faculties'!$O$10:$O$19,MATCH($F146,'Faculties'!$B$10:$B$19,0))),"N/A")</f>
        <v/>
      </c>
      <c r="I146" s="52">
        <f>IFERROR(IF(INDEX('Faculties'!$O$26:$O$35,MATCH($F146,'Faculties'!$B$26:$B$35,0))="","Cell will autofill based on response",INDEX('Faculties'!$O$26:$O$35,MATCH($F146,'Faculties'!$B$26:$B$35,0))),"N/A")</f>
        <v/>
      </c>
      <c r="J146" s="52">
        <f>IFERROR(IF(INDEX('Faculties'!$O$42:$O$51,MATCH($F146,'Faculties'!$B$42:$B$51,0))="","Cell will autofill based on response",INDEX('Faculties'!$O$42:$O$51,MATCH($F146,'Faculties'!$B$42:$B$51,0))),"N/A")</f>
        <v/>
      </c>
      <c r="K146" s="52">
        <f>IFERROR(IF(INDEX('Faculties'!$O$58:$O$67,MATCH($F146,'Faculties'!$B$58:$B$67,0))="","Cell will autofill based on response",INDEX('Faculties'!$O$58:$O$67,MATCH($F146,'Faculties'!$B$58:$B$67,0))),"N/A")</f>
        <v/>
      </c>
      <c r="L146" s="52">
        <f>IFERROR(IF(INDEX('CI&amp;S'!$O$10:$O$15,MATCH($F146,'CI&amp;S'!$B$10:$B$15,0))="","Cell will autofill based on response",INDEX('CI&amp;S'!$O$10:$O$15,MATCH($F146,'CI&amp;S'!$B$10:$B$15,0))),"N/A")</f>
        <v/>
      </c>
      <c r="M146" s="52">
        <f>IFERROR(IF(INDEX('CI&amp;S'!$O$22:$O$36,MATCH($F146,'CI&amp;S'!$B$22:$B$36,0))="","Cell will autofill based on response",INDEX('CI&amp;S'!$O$22:$O$36,MATCH($F146,'CI&amp;S'!$B$22:$B$36,0))),"N/A")</f>
        <v/>
      </c>
      <c r="N146" s="52">
        <f>IFERROR(IF(INDEX('CFOG'!$O$10:$O$16,MATCH($F146,'CFOG'!$B$10:$B$16,0))="","Cell will autofill based on response",INDEX('CFOG'!$O$10:$O$16,MATCH($F146,'CFOG'!$B$10:$B$16,0))),"N/A")</f>
        <v/>
      </c>
      <c r="O146" s="52">
        <f>IFERROR(IF(INDEX('CFOG'!$O$23:$O$24,MATCH($F146,'CFOG'!$B$23:$B$24,0))="","Cell will autofill based on response",INDEX('CFOG'!$O$23:$O$24,MATCH($F146,'CFOG'!$B$23:$B$24,0))),"N/A")</f>
        <v/>
      </c>
      <c r="P146" s="52">
        <f>IFERROR(IF(INDEX('ESG'!$O$10:$O$17,MATCH($F146,'ESG'!$B$10:$B$17,0))="","Cell will autofill based on response",INDEX('ESG'!$O$10:$O$17,MATCH($F146,'ESG'!$B$10:$B$17,0))),"N/A")</f>
        <v/>
      </c>
      <c r="Q146" s="52">
        <f>IFERROR(IF(INDEX('CIOG'!$O$10:$O$14,MATCH($F146,'CIOG'!$B$10:$B$14,0))="","Cell will autofill based on response",INDEX('CIOG'!$O$10:$O$14,MATCH($F146,'CIOG'!$B$10:$B$14,0))),"N/A")</f>
        <v/>
      </c>
      <c r="R146" s="52">
        <f>IFERROR(IF(INDEX('MRE'!$O$10:$O$18,MATCH($F146,'MRE'!$B$10:$B$18,0))="","Cell will autofill based on response",INDEX('MRE'!$O$10:$O$18,MATCH($F146,'MRE'!$B$10:$B$18,0))),"N/A")</f>
        <v/>
      </c>
      <c r="S146" s="52">
        <f>IFERROR(IF(INDEX('AC&amp;M'!$O$10:$O$14,MATCH($F146,'AC&amp;M'!$B$10:$B$14,0))="","Cell will autofill based on response",INDEX('AC&amp;M'!$O$10:$O$14,MATCH($F146,'AC&amp;M'!$B$10:$B$14,0))),"N/A")</f>
        <v/>
      </c>
      <c r="T146" s="52">
        <f>IFERROR(IF(INDEX('GCE'!$O$10:$O$12,MATCH($F146,'GCE'!$B$10:$B$12,0))="","Cell will autofill based on response",INDEX('GCE'!$O$10:$O$12,MATCH($F146,'GCE'!$B$10:$B$12,0))),"N/A")</f>
        <v/>
      </c>
      <c r="U146" s="52">
        <f>IFERROR(IF(INDEX('Education'!$O$10:$O$13,MATCH($F146,'Education'!$B$10:$B$13,0))="","Cell will autofill based on response",INDEX('Education'!$O$10:$O$13,MATCH($F146,'Education'!$B$10:$B$13,0))),"N/A")</f>
        <v/>
      </c>
      <c r="V146" s="52">
        <f>IFERROR(IF(INDEX('SaSS'!$O$10:$O$12,MATCH($F146,'SaSS'!$B$10:$B$12,0))="","Cell will autofill based on response",INDEX('SaSS'!$O$10:$O$12,MATCH($F146,'SaSS'!$B$10:$B$12,0))),"N/A")</f>
        <v/>
      </c>
      <c r="W146" s="52">
        <f>IFERROR(IF(INDEX('Indigenous'!$O$10:$O$11,MATCH($F146,'Indigenous'!$B$10:$B$11,0))="","Cell will autofill based on response",INDEX('Indigenous'!$O$10:$O$11,MATCH($F146,'Indigenous'!$B$10:$B$11,0))),"N/A")</f>
        <v/>
      </c>
      <c r="X146" s="52">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2">
        <f>IFERROR(IF(INDEX('Faculties'!$P$10:$P$19,MATCH($F147,'Faculties'!$B$10:$B$19,0))="","Cell will autofill based on response",INDEX('Faculties'!$P$10:$P$19,MATCH($F147,'Faculties'!$B$10:$B$19,0))),"N/A")</f>
        <v/>
      </c>
      <c r="I147" s="52">
        <f>IFERROR(IF(INDEX('Faculties'!$P$26:$P$35,MATCH($F147,'Faculties'!$B$26:$B$35,0))="","Cell will autofill based on response",INDEX('Faculties'!$P$26:$P$35,MATCH($F147,'Faculties'!$B$26:$B$35,0))),"N/A")</f>
        <v/>
      </c>
      <c r="J147" s="52">
        <f>IFERROR(IF(INDEX('Faculties'!$P$42:$P$51,MATCH($F147,'Faculties'!$B$42:$B$51,0))="","Cell will autofill based on response",INDEX('Faculties'!$P$42:$P$51,MATCH($F147,'Faculties'!$B$42:$B$51,0))),"N/A")</f>
        <v/>
      </c>
      <c r="K147" s="52">
        <f>IFERROR(IF(INDEX('Faculties'!$P$58:$P$67,MATCH($F147,'Faculties'!$B$58:$B$67,0))="","Cell will autofill based on response",INDEX('Faculties'!$P$58:$P$67,MATCH($F147,'Faculties'!$B$58:$B$67,0))),"N/A")</f>
        <v/>
      </c>
      <c r="L147" s="52">
        <f>IFERROR(IF(INDEX('CI&amp;S'!$P$10:$P$15,MATCH($F147,'CI&amp;S'!$B$10:$B$15,0))="","Cell will autofill based on response",INDEX('CI&amp;S'!$P$10:$P$15,MATCH($F147,'CI&amp;S'!$B$10:$B$15,0))),"N/A")</f>
        <v/>
      </c>
      <c r="M147" s="52">
        <f>IFERROR(IF(INDEX('CI&amp;S'!$P$22:$P$36,MATCH($F147,'CI&amp;S'!$B$22:$B$36,0))="","Cell will autofill based on response",INDEX('CI&amp;S'!$P$22:$P$36,MATCH($F147,'CI&amp;S'!$B$22:$B$36,0))),"N/A")</f>
        <v/>
      </c>
      <c r="N147" s="52">
        <f>IFERROR(IF(INDEX('CFOG'!$P$10:$P$16,MATCH($F147,'CFOG'!$B$10:$B$16,0))="","Cell will autofill based on response",INDEX('CFOG'!$P$10:$P$16,MATCH($F147,'CFOG'!$B$10:$B$16,0))),"N/A")</f>
        <v/>
      </c>
      <c r="O147" s="52">
        <f>IFERROR(IF(INDEX('CFOG'!$P$23:$P$24,MATCH($F147,'CFOG'!$B$23:$B$24,0))="","Cell will autofill based on response",INDEX('CFOG'!$P$23:$P$24,MATCH($F147,'CFOG'!$B$23:$B$24,0))),"N/A")</f>
        <v/>
      </c>
      <c r="P147" s="52">
        <f>IFERROR(IF(INDEX('ESG'!$P$10:$P$17,MATCH($F147,'ESG'!$B$10:$B$17,0))="","Cell will autofill based on response",INDEX('ESG'!$P$10:$P$17,MATCH($F147,'ESG'!$B$10:$B$17,0))),"N/A")</f>
        <v/>
      </c>
      <c r="Q147" s="52">
        <f>IFERROR(IF(INDEX('CIOG'!$P$10:$P$14,MATCH($F147,'CIOG'!$B$10:$B$14,0))="","Cell will autofill based on response",INDEX('CIOG'!$P$10:$P$14,MATCH($F147,'CIOG'!$B$10:$B$14,0))),"N/A")</f>
        <v/>
      </c>
      <c r="R147" s="52">
        <f>IFERROR(IF(INDEX('MRE'!$P$10:$P$18,MATCH($F147,'MRE'!$B$10:$B$18,0))="","Cell will autofill based on response",INDEX('MRE'!$P$10:$P$18,MATCH($F147,'MRE'!$B$10:$B$18,0))),"N/A")</f>
        <v/>
      </c>
      <c r="S147" s="52">
        <f>IFERROR(IF(INDEX('AC&amp;M'!$P$10:$P$14,MATCH($F147,'AC&amp;M'!$B$10:$B$14,0))="","Cell will autofill based on response",INDEX('AC&amp;M'!$P$10:$P$14,MATCH($F147,'AC&amp;M'!$B$10:$B$14,0))),"N/A")</f>
        <v/>
      </c>
      <c r="T147" s="52">
        <f>IFERROR(IF(INDEX('GCE'!$P$10:$P$12,MATCH($F147,'GCE'!$B$10:$B$12,0))="","Cell will autofill based on response",INDEX('GCE'!$P$10:$P$12,MATCH($F147,'GCE'!$B$10:$B$12,0))),"N/A")</f>
        <v/>
      </c>
      <c r="U147" s="52">
        <f>IFERROR(IF(INDEX('Education'!$P$10:$P$13,MATCH($F147,'Education'!$B$10:$B$13,0))="","Cell will autofill based on response",INDEX('Education'!$P$10:$P$13,MATCH($F147,'Education'!$B$10:$B$13,0))),"N/A")</f>
        <v/>
      </c>
      <c r="V147" s="52">
        <f>IFERROR(IF(INDEX('SaSS'!$P$10:$P$12,MATCH($F147,'SaSS'!$B$10:$B$12,0))="","Cell will autofill based on response",INDEX('SaSS'!$P$10:$P$12,MATCH($F147,'SaSS'!$B$10:$B$12,0))),"N/A")</f>
        <v/>
      </c>
      <c r="W147" s="52">
        <f>IFERROR(IF(INDEX('Indigenous'!$P$10:$P$11,MATCH($F147,'Indigenous'!$B$10:$B$11,0))="","Cell will autofill based on response",INDEX('Indigenous'!$P$10:$P$11,MATCH($F147,'Indigenous'!$B$10:$B$11,0))),"N/A")</f>
        <v/>
      </c>
      <c r="X147" s="52">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2">
        <f>IFERROR(IF(INDEX('Faculties'!$Q$10:$Q$19,MATCH($F148,'Faculties'!$B$10:$B$19,0))="","Cell will autofill based on response",INDEX('Faculties'!$Q$10:$Q$19,MATCH($F148,'Faculties'!$B$10:$B$19,0))),"N/A")</f>
        <v/>
      </c>
      <c r="I148" s="52">
        <f>IFERROR(IF(INDEX('Faculties'!$Q$26:$Q$35,MATCH($F148,'Faculties'!$B$26:$B$35,0))="","Cell will autofill based on response",INDEX('Faculties'!$Q$26:$Q$35,MATCH($F148,'Faculties'!$B$26:$B$35,0))),"N/A")</f>
        <v/>
      </c>
      <c r="J148" s="52">
        <f>IFERROR(IF(INDEX('Faculties'!$Q$42:$Q$51,MATCH($F148,'Faculties'!$B$42:$B$51,0))="","Cell will autofill based on response",INDEX('Faculties'!$Q$42:$Q$51,MATCH($F148,'Faculties'!$B$42:$B$51,0))),"N/A")</f>
        <v/>
      </c>
      <c r="K148" s="52">
        <f>IFERROR(IF(INDEX('Faculties'!$Q$58:$Q$67,MATCH($F148,'Faculties'!$B$58:$B$67,0))="","Cell will autofill based on response",INDEX('Faculties'!$Q$58:$Q$67,MATCH($F148,'Faculties'!$B$58:$B$67,0))),"N/A")</f>
        <v/>
      </c>
      <c r="L148" s="52">
        <f>IFERROR(IF(INDEX('CI&amp;S'!$Q$10:$Q$15,MATCH($F148,'CI&amp;S'!$B$10:$B$15,0))="","Cell will autofill based on response",INDEX('CI&amp;S'!$Q$10:$Q$15,MATCH($F148,'CI&amp;S'!$B$10:$B$15,0))),"N/A")</f>
        <v/>
      </c>
      <c r="M148" s="52">
        <f>IFERROR(IF(INDEX('CI&amp;S'!$Q$22:$Q$36,MATCH($F148,'CI&amp;S'!$B$22:$B$36,0))="","Cell will autofill based on response",INDEX('CI&amp;S'!$Q$22:$Q$36,MATCH($F148,'CI&amp;S'!$B$22:$B$36,0))),"N/A")</f>
        <v/>
      </c>
      <c r="N148" s="52">
        <f>IFERROR(IF(INDEX('CFOG'!$Q$10:$Q$16,MATCH($F148,'CFOG'!$B$10:$B$16,0))="","Cell will autofill based on response",INDEX('CFOG'!$Q$10:$Q$16,MATCH($F148,'CFOG'!$B$10:$B$16,0))),"N/A")</f>
        <v/>
      </c>
      <c r="O148" s="52">
        <f>IFERROR(IF(INDEX('CFOG'!$Q$23:$Q$24,MATCH($F148,'CFOG'!$B$23:$B$24,0))="","Cell will autofill based on response",INDEX('CFOG'!$Q$23:$Q$24,MATCH($F148,'CFOG'!$B$23:$B$24,0))),"N/A")</f>
        <v/>
      </c>
      <c r="P148" s="52">
        <f>IFERROR(IF(INDEX('ESG'!$Q$10:$Q$17,MATCH($F148,'ESG'!$B$10:$B$17,0))="","Cell will autofill based on response",INDEX('ESG'!$Q$10:$Q$17,MATCH($F148,'ESG'!$B$10:$B$17,0))),"N/A")</f>
        <v/>
      </c>
      <c r="Q148" s="52">
        <f>IFERROR(IF(INDEX('CIOG'!$Q$10:$Q$14,MATCH($F148,'CIOG'!$B$10:$B$14,0))="","Cell will autofill based on response",INDEX('CIOG'!$Q$10:$Q$14,MATCH($F148,'CIOG'!$B$10:$B$14,0))),"N/A")</f>
        <v/>
      </c>
      <c r="R148" s="52">
        <f>IFERROR(IF(INDEX('MRE'!$Q$10:$Q$18,MATCH($F148,'MRE'!$B$10:$B$18,0))="","Cell will autofill based on response",INDEX('MRE'!$Q$10:$Q$18,MATCH($F148,'MRE'!$B$10:$B$18,0))),"N/A")</f>
        <v/>
      </c>
      <c r="S148" s="52">
        <f>IFERROR(IF(INDEX('AC&amp;M'!$Q$10:$Q$14,MATCH($F148,'AC&amp;M'!$B$10:$B$14,0))="","Cell will autofill based on response",INDEX('AC&amp;M'!$Q$10:$Q$14,MATCH($F148,'AC&amp;M'!$B$10:$B$14,0))),"N/A")</f>
        <v/>
      </c>
      <c r="T148" s="52">
        <f>IFERROR(IF(INDEX('GCE'!$Q$10:$Q$12,MATCH($F148,'GCE'!$B$10:$B$12,0))="","Cell will autofill based on response",INDEX('GCE'!$Q$10:$Q$12,MATCH($F148,'GCE'!$B$10:$B$12,0))),"N/A")</f>
        <v/>
      </c>
      <c r="U148" s="52">
        <f>IFERROR(IF(INDEX('Education'!$Q$10:$Q$13,MATCH($F148,'Education'!$B$10:$B$13,0))="","Cell will autofill based on response",INDEX('Education'!$Q$10:$Q$13,MATCH($F148,'Education'!$B$10:$B$13,0))),"N/A")</f>
        <v/>
      </c>
      <c r="V148" s="52">
        <f>IFERROR(IF(INDEX('SaSS'!$Q$10:$Q$12,MATCH($F148,'SaSS'!$B$10:$B$12,0))="","Cell will autofill based on response",INDEX('SaSS'!$Q$10:$Q$12,MATCH($F148,'SaSS'!$B$10:$B$12,0))),"N/A")</f>
        <v/>
      </c>
      <c r="W148" s="52">
        <f>IFERROR(IF(INDEX('Indigenous'!$Q$10:$Q$11,MATCH($F148,'Indigenous'!$B$10:$B$11,0))="","Cell will autofill based on response",INDEX('Indigenous'!$Q$10:$Q$11,MATCH($F148,'Indigenous'!$B$10:$B$11,0))),"N/A")</f>
        <v/>
      </c>
      <c r="X148" s="52">
        <f>IFERROR(IF(INDEX('L&amp;R'!$Q$10:$Q$11,MATCH($F148,'L&amp;R'!$B$10:$B$11,0))="","Cell will autofill based on response",INDEX('L&amp;R'!$Q$10:$Q$11,MATCH($F148,'L&amp;R'!$B$10:$B$11,0))),"N/A")</f>
        <v/>
      </c>
    </row>
    <row r="149">
      <c r="A149">
        <f>F149&amp;"|"&amp;G149</f>
        <v/>
      </c>
      <c r="B149" s="7" t="inlineStr">
        <is>
          <t>NB2(b)</t>
        </is>
      </c>
      <c r="C149" s="50" t="inlineStr">
        <is>
          <t>Nature and biodiversity</t>
        </is>
      </c>
      <c r="D149" s="50" t="inlineStr">
        <is>
          <t>Evidence of established framework to monitor and track supply-chain nature impacts over time</t>
        </is>
      </c>
      <c r="E149" s="50" t="inlineStr">
        <is>
          <t>Please describe the framework established to monitor and track supply-chain impacts on nature over time, could include metrics, data sources, governance/ownership, reporting frequency and current implementation status.</t>
        </is>
      </c>
      <c r="F149" s="50" t="inlineStr">
        <is>
          <t>NB2(b)</t>
        </is>
      </c>
      <c r="G149" s="50" t="inlineStr">
        <is>
          <t>Confirm end-2026 target status</t>
        </is>
      </c>
      <c r="H149" s="52">
        <f>IFERROR(IF(INDEX('Faculties'!$L$10:$L$19,MATCH($F149,'Faculties'!$B$10:$B$19,0))="","Cell will autofill based on response",INDEX('Faculties'!$L$10:$L$19,MATCH($F149,'Faculties'!$B$10:$B$19,0))),"N/A")</f>
        <v/>
      </c>
      <c r="I149" s="52">
        <f>IFERROR(IF(INDEX('Faculties'!$L$26:$L$35,MATCH($F149,'Faculties'!$B$26:$B$35,0))="","Cell will autofill based on response",INDEX('Faculties'!$L$26:$L$35,MATCH($F149,'Faculties'!$B$26:$B$35,0))),"N/A")</f>
        <v/>
      </c>
      <c r="J149" s="52">
        <f>IFERROR(IF(INDEX('Faculties'!$L$42:$L$51,MATCH($F149,'Faculties'!$B$42:$B$51,0))="","Cell will autofill based on response",INDEX('Faculties'!$L$42:$L$51,MATCH($F149,'Faculties'!$B$42:$B$51,0))),"N/A")</f>
        <v/>
      </c>
      <c r="K149" s="52">
        <f>IFERROR(IF(INDEX('Faculties'!$L$58:$L$67,MATCH($F149,'Faculties'!$B$58:$B$67,0))="","Cell will autofill based on response",INDEX('Faculties'!$L$58:$L$67,MATCH($F149,'Faculties'!$B$58:$B$67,0))),"N/A")</f>
        <v/>
      </c>
      <c r="L149" s="52">
        <f>IFERROR(IF(INDEX('CI&amp;S'!$L$10:$L$15,MATCH($F149,'CI&amp;S'!$B$10:$B$15,0))="","Cell will autofill based on response",INDEX('CI&amp;S'!$L$10:$L$15,MATCH($F149,'CI&amp;S'!$B$10:$B$15,0))),"N/A")</f>
        <v/>
      </c>
      <c r="M149" s="52">
        <f>IFERROR(IF(INDEX('CI&amp;S'!$L$22:$L$36,MATCH($F149,'CI&amp;S'!$B$22:$B$36,0))="","Cell will autofill based on response",INDEX('CI&amp;S'!$L$22:$L$36,MATCH($F149,'CI&amp;S'!$B$22:$B$36,0))),"N/A")</f>
        <v/>
      </c>
      <c r="N149" s="52">
        <f>IFERROR(IF(INDEX('CFOG'!$L$10:$L$16,MATCH($F149,'CFOG'!$B$10:$B$16,0))="","Cell will autofill based on response",INDEX('CFOG'!$L$10:$L$16,MATCH($F149,'CFOG'!$B$10:$B$16,0))),"N/A")</f>
        <v/>
      </c>
      <c r="O149" s="52">
        <f>IFERROR(IF(INDEX('CFOG'!$L$23:$L$24,MATCH($F149,'CFOG'!$B$23:$B$24,0))="","Cell will autofill based on response",INDEX('CFOG'!$L$23:$L$24,MATCH($F149,'CFOG'!$B$23:$B$24,0))),"N/A")</f>
        <v/>
      </c>
      <c r="P149" s="52">
        <f>IFERROR(IF(INDEX('ESG'!$L$10:$L$17,MATCH($F149,'ESG'!$B$10:$B$17,0))="","Cell will autofill based on response",INDEX('ESG'!$L$10:$L$17,MATCH($F149,'ESG'!$B$10:$B$17,0))),"N/A")</f>
        <v/>
      </c>
      <c r="Q149" s="52">
        <f>IFERROR(IF(INDEX('CIOG'!$L$10:$L$14,MATCH($F149,'CIOG'!$B$10:$B$14,0))="","Cell will autofill based on response",INDEX('CIOG'!$L$10:$L$14,MATCH($F149,'CIOG'!$B$10:$B$14,0))),"N/A")</f>
        <v/>
      </c>
      <c r="R149" s="52">
        <f>IFERROR(IF(INDEX('MRE'!$L$10:$L$18,MATCH($F149,'MRE'!$B$10:$B$18,0))="","Cell will autofill based on response",INDEX('MRE'!$L$10:$L$18,MATCH($F149,'MRE'!$B$10:$B$18,0))),"N/A")</f>
        <v/>
      </c>
      <c r="S149" s="52">
        <f>IFERROR(IF(INDEX('AC&amp;M'!$L$10:$L$14,MATCH($F149,'AC&amp;M'!$B$10:$B$14,0))="","Cell will autofill based on response",INDEX('AC&amp;M'!$L$10:$L$14,MATCH($F149,'AC&amp;M'!$B$10:$B$14,0))),"N/A")</f>
        <v/>
      </c>
      <c r="T149" s="52">
        <f>IFERROR(IF(INDEX('GCE'!$L$10:$L$12,MATCH($F149,'GCE'!$B$10:$B$12,0))="","Cell will autofill based on response",INDEX('GCE'!$L$10:$L$12,MATCH($F149,'GCE'!$B$10:$B$12,0))),"N/A")</f>
        <v/>
      </c>
      <c r="U149" s="52">
        <f>IFERROR(IF(INDEX('Education'!$L$10:$L$13,MATCH($F149,'Education'!$B$10:$B$13,0))="","Cell will autofill based on response",INDEX('Education'!$L$10:$L$13,MATCH($F149,'Education'!$B$10:$B$13,0))),"N/A")</f>
        <v/>
      </c>
      <c r="V149" s="52">
        <f>IFERROR(IF(INDEX('SaSS'!$L$10:$L$12,MATCH($F149,'SaSS'!$B$10:$B$12,0))="","Cell will autofill based on response",INDEX('SaSS'!$L$10:$L$12,MATCH($F149,'SaSS'!$B$10:$B$12,0))),"N/A")</f>
        <v/>
      </c>
      <c r="W149" s="52">
        <f>IFERROR(IF(INDEX('Indigenous'!$L$10:$L$11,MATCH($F149,'Indigenous'!$B$10:$B$11,0))="","Cell will autofill based on response",INDEX('Indigenous'!$L$10:$L$11,MATCH($F149,'Indigenous'!$B$10:$B$11,0))),"N/A")</f>
        <v/>
      </c>
      <c r="X149" s="52">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3">
        <f>IF(AF149&gt;0,AE149/AF149,"No valid responses to date")</f>
        <v/>
      </c>
      <c r="AH149" s="10">
        <f>IF(ISNUMBER(AG149),INDEX(Lists!$G$2:$G$5,MATCH(ROUND(AG149,0),Lists!$H$2:$H$5,0)),"")</f>
        <v/>
      </c>
      <c r="AI149" s="54">
        <f>IF(AF149&gt;0,AD149/AF149,"")</f>
        <v/>
      </c>
      <c r="AJ149" s="54">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2">
        <f>IFERROR(IF(INDEX('Faculties'!$M$10:$M$19,MATCH($F150,'Faculties'!$B$10:$B$19,0))="","Cell will autofill based on response",INDEX('Faculties'!$M$10:$M$19,MATCH($F150,'Faculties'!$B$10:$B$19,0))),"N/A")</f>
        <v/>
      </c>
      <c r="I150" s="52">
        <f>IFERROR(IF(INDEX('Faculties'!$M$26:$M$35,MATCH($F150,'Faculties'!$B$26:$B$35,0))="","Cell will autofill based on response",INDEX('Faculties'!$M$26:$M$35,MATCH($F150,'Faculties'!$B$26:$B$35,0))),"N/A")</f>
        <v/>
      </c>
      <c r="J150" s="52">
        <f>IFERROR(IF(INDEX('Faculties'!$M$42:$M$51,MATCH($F150,'Faculties'!$B$42:$B$51,0))="","Cell will autofill based on response",INDEX('Faculties'!$M$42:$M$51,MATCH($F150,'Faculties'!$B$42:$B$51,0))),"N/A")</f>
        <v/>
      </c>
      <c r="K150" s="52">
        <f>IFERROR(IF(INDEX('Faculties'!$M$58:$M$67,MATCH($F150,'Faculties'!$B$58:$B$67,0))="","Cell will autofill based on response",INDEX('Faculties'!$M$58:$M$67,MATCH($F150,'Faculties'!$B$58:$B$67,0))),"N/A")</f>
        <v/>
      </c>
      <c r="L150" s="52">
        <f>IFERROR(IF(INDEX('CI&amp;S'!$M$10:$M$15,MATCH($F150,'CI&amp;S'!$B$10:$B$15,0))="","Cell will autofill based on response",INDEX('CI&amp;S'!$M$10:$M$15,MATCH($F150,'CI&amp;S'!$B$10:$B$15,0))),"N/A")</f>
        <v/>
      </c>
      <c r="M150" s="52">
        <f>IFERROR(IF(INDEX('CI&amp;S'!$M$22:$M$36,MATCH($F150,'CI&amp;S'!$B$22:$B$36,0))="","Cell will autofill based on response",INDEX('CI&amp;S'!$M$22:$M$36,MATCH($F150,'CI&amp;S'!$B$22:$B$36,0))),"N/A")</f>
        <v/>
      </c>
      <c r="N150" s="52">
        <f>IFERROR(IF(INDEX('CFOG'!$M$10:$M$16,MATCH($F150,'CFOG'!$B$10:$B$16,0))="","Cell will autofill based on response",INDEX('CFOG'!$M$10:$M$16,MATCH($F150,'CFOG'!$B$10:$B$16,0))),"N/A")</f>
        <v/>
      </c>
      <c r="O150" s="52">
        <f>IFERROR(IF(INDEX('CFOG'!$M$23:$M$24,MATCH($F150,'CFOG'!$B$23:$B$24,0))="","Cell will autofill based on response",INDEX('CFOG'!$M$23:$M$24,MATCH($F150,'CFOG'!$B$23:$B$24,0))),"N/A")</f>
        <v/>
      </c>
      <c r="P150" s="52">
        <f>IFERROR(IF(INDEX('ESG'!$M$10:$M$17,MATCH($F150,'ESG'!$B$10:$B$17,0))="","Cell will autofill based on response",INDEX('ESG'!$M$10:$M$17,MATCH($F150,'ESG'!$B$10:$B$17,0))),"N/A")</f>
        <v/>
      </c>
      <c r="Q150" s="52">
        <f>IFERROR(IF(INDEX('CIOG'!$M$10:$M$14,MATCH($F150,'CIOG'!$B$10:$B$14,0))="","Cell will autofill based on response",INDEX('CIOG'!$M$10:$M$14,MATCH($F150,'CIOG'!$B$10:$B$14,0))),"N/A")</f>
        <v/>
      </c>
      <c r="R150" s="52">
        <f>IFERROR(IF(INDEX('MRE'!$M$10:$M$18,MATCH($F150,'MRE'!$B$10:$B$18,0))="","Cell will autofill based on response",INDEX('MRE'!$M$10:$M$18,MATCH($F150,'MRE'!$B$10:$B$18,0))),"N/A")</f>
        <v/>
      </c>
      <c r="S150" s="52">
        <f>IFERROR(IF(INDEX('AC&amp;M'!$M$10:$M$14,MATCH($F150,'AC&amp;M'!$B$10:$B$14,0))="","Cell will autofill based on response",INDEX('AC&amp;M'!$M$10:$M$14,MATCH($F150,'AC&amp;M'!$B$10:$B$14,0))),"N/A")</f>
        <v/>
      </c>
      <c r="T150" s="52">
        <f>IFERROR(IF(INDEX('GCE'!$M$10:$M$12,MATCH($F150,'GCE'!$B$10:$B$12,0))="","Cell will autofill based on response",INDEX('GCE'!$M$10:$M$12,MATCH($F150,'GCE'!$B$10:$B$12,0))),"N/A")</f>
        <v/>
      </c>
      <c r="U150" s="52">
        <f>IFERROR(IF(INDEX('Education'!$M$10:$M$13,MATCH($F150,'Education'!$B$10:$B$13,0))="","Cell will autofill based on response",INDEX('Education'!$M$10:$M$13,MATCH($F150,'Education'!$B$10:$B$13,0))),"N/A")</f>
        <v/>
      </c>
      <c r="V150" s="52">
        <f>IFERROR(IF(INDEX('SaSS'!$M$10:$M$12,MATCH($F150,'SaSS'!$B$10:$B$12,0))="","Cell will autofill based on response",INDEX('SaSS'!$M$10:$M$12,MATCH($F150,'SaSS'!$B$10:$B$12,0))),"N/A")</f>
        <v/>
      </c>
      <c r="W150" s="52">
        <f>IFERROR(IF(INDEX('Indigenous'!$M$10:$M$11,MATCH($F150,'Indigenous'!$B$10:$B$11,0))="","Cell will autofill based on response",INDEX('Indigenous'!$M$10:$M$11,MATCH($F150,'Indigenous'!$B$10:$B$11,0))),"N/A")</f>
        <v/>
      </c>
      <c r="X150" s="52">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2">
        <f>IFERROR(IF(INDEX('Faculties'!$N$10:$N$19,MATCH($F151,'Faculties'!$B$10:$B$19,0))="","Cell will autofill based on response",INDEX('Faculties'!$N$10:$N$19,MATCH($F151,'Faculties'!$B$10:$B$19,0))),"N/A")</f>
        <v/>
      </c>
      <c r="I151" s="52">
        <f>IFERROR(IF(INDEX('Faculties'!$N$26:$N$35,MATCH($F151,'Faculties'!$B$26:$B$35,0))="","Cell will autofill based on response",INDEX('Faculties'!$N$26:$N$35,MATCH($F151,'Faculties'!$B$26:$B$35,0))),"N/A")</f>
        <v/>
      </c>
      <c r="J151" s="52">
        <f>IFERROR(IF(INDEX('Faculties'!$N$42:$N$51,MATCH($F151,'Faculties'!$B$42:$B$51,0))="","Cell will autofill based on response",INDEX('Faculties'!$N$42:$N$51,MATCH($F151,'Faculties'!$B$42:$B$51,0))),"N/A")</f>
        <v/>
      </c>
      <c r="K151" s="52">
        <f>IFERROR(IF(INDEX('Faculties'!$N$58:$N$67,MATCH($F151,'Faculties'!$B$58:$B$67,0))="","Cell will autofill based on response",INDEX('Faculties'!$N$58:$N$67,MATCH($F151,'Faculties'!$B$58:$B$67,0))),"N/A")</f>
        <v/>
      </c>
      <c r="L151" s="52">
        <f>IFERROR(IF(INDEX('CI&amp;S'!$N$10:$N$15,MATCH($F151,'CI&amp;S'!$B$10:$B$15,0))="","Cell will autofill based on response",INDEX('CI&amp;S'!$N$10:$N$15,MATCH($F151,'CI&amp;S'!$B$10:$B$15,0))),"N/A")</f>
        <v/>
      </c>
      <c r="M151" s="52">
        <f>IFERROR(IF(INDEX('CI&amp;S'!$N$22:$N$36,MATCH($F151,'CI&amp;S'!$B$22:$B$36,0))="","Cell will autofill based on response",INDEX('CI&amp;S'!$N$22:$N$36,MATCH($F151,'CI&amp;S'!$B$22:$B$36,0))),"N/A")</f>
        <v/>
      </c>
      <c r="N151" s="52">
        <f>IFERROR(IF(INDEX('CFOG'!$N$10:$N$16,MATCH($F151,'CFOG'!$B$10:$B$16,0))="","Cell will autofill based on response",INDEX('CFOG'!$N$10:$N$16,MATCH($F151,'CFOG'!$B$10:$B$16,0))),"N/A")</f>
        <v/>
      </c>
      <c r="O151" s="52">
        <f>IFERROR(IF(INDEX('CFOG'!$N$23:$N$24,MATCH($F151,'CFOG'!$B$23:$B$24,0))="","Cell will autofill based on response",INDEX('CFOG'!$N$23:$N$24,MATCH($F151,'CFOG'!$B$23:$B$24,0))),"N/A")</f>
        <v/>
      </c>
      <c r="P151" s="52">
        <f>IFERROR(IF(INDEX('ESG'!$N$10:$N$17,MATCH($F151,'ESG'!$B$10:$B$17,0))="","Cell will autofill based on response",INDEX('ESG'!$N$10:$N$17,MATCH($F151,'ESG'!$B$10:$B$17,0))),"N/A")</f>
        <v/>
      </c>
      <c r="Q151" s="52">
        <f>IFERROR(IF(INDEX('CIOG'!$N$10:$N$14,MATCH($F151,'CIOG'!$B$10:$B$14,0))="","Cell will autofill based on response",INDEX('CIOG'!$N$10:$N$14,MATCH($F151,'CIOG'!$B$10:$B$14,0))),"N/A")</f>
        <v/>
      </c>
      <c r="R151" s="52">
        <f>IFERROR(IF(INDEX('MRE'!$N$10:$N$18,MATCH($F151,'MRE'!$B$10:$B$18,0))="","Cell will autofill based on response",INDEX('MRE'!$N$10:$N$18,MATCH($F151,'MRE'!$B$10:$B$18,0))),"N/A")</f>
        <v/>
      </c>
      <c r="S151" s="52">
        <f>IFERROR(IF(INDEX('AC&amp;M'!$N$10:$N$14,MATCH($F151,'AC&amp;M'!$B$10:$B$14,0))="","Cell will autofill based on response",INDEX('AC&amp;M'!$N$10:$N$14,MATCH($F151,'AC&amp;M'!$B$10:$B$14,0))),"N/A")</f>
        <v/>
      </c>
      <c r="T151" s="52">
        <f>IFERROR(IF(INDEX('GCE'!$N$10:$N$12,MATCH($F151,'GCE'!$B$10:$B$12,0))="","Cell will autofill based on response",INDEX('GCE'!$N$10:$N$12,MATCH($F151,'GCE'!$B$10:$B$12,0))),"N/A")</f>
        <v/>
      </c>
      <c r="U151" s="52">
        <f>IFERROR(IF(INDEX('Education'!$N$10:$N$13,MATCH($F151,'Education'!$B$10:$B$13,0))="","Cell will autofill based on response",INDEX('Education'!$N$10:$N$13,MATCH($F151,'Education'!$B$10:$B$13,0))),"N/A")</f>
        <v/>
      </c>
      <c r="V151" s="52">
        <f>IFERROR(IF(INDEX('SaSS'!$N$10:$N$12,MATCH($F151,'SaSS'!$B$10:$B$12,0))="","Cell will autofill based on response",INDEX('SaSS'!$N$10:$N$12,MATCH($F151,'SaSS'!$B$10:$B$12,0))),"N/A")</f>
        <v/>
      </c>
      <c r="W151" s="52">
        <f>IFERROR(IF(INDEX('Indigenous'!$N$10:$N$11,MATCH($F151,'Indigenous'!$B$10:$B$11,0))="","Cell will autofill based on response",INDEX('Indigenous'!$N$10:$N$11,MATCH($F151,'Indigenous'!$B$10:$B$11,0))),"N/A")</f>
        <v/>
      </c>
      <c r="X151" s="52">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2">
        <f>IFERROR(IF(INDEX('Faculties'!$O$10:$O$19,MATCH($F152,'Faculties'!$B$10:$B$19,0))="","Cell will autofill based on response",INDEX('Faculties'!$O$10:$O$19,MATCH($F152,'Faculties'!$B$10:$B$19,0))),"N/A")</f>
        <v/>
      </c>
      <c r="I152" s="52">
        <f>IFERROR(IF(INDEX('Faculties'!$O$26:$O$35,MATCH($F152,'Faculties'!$B$26:$B$35,0))="","Cell will autofill based on response",INDEX('Faculties'!$O$26:$O$35,MATCH($F152,'Faculties'!$B$26:$B$35,0))),"N/A")</f>
        <v/>
      </c>
      <c r="J152" s="52">
        <f>IFERROR(IF(INDEX('Faculties'!$O$42:$O$51,MATCH($F152,'Faculties'!$B$42:$B$51,0))="","Cell will autofill based on response",INDEX('Faculties'!$O$42:$O$51,MATCH($F152,'Faculties'!$B$42:$B$51,0))),"N/A")</f>
        <v/>
      </c>
      <c r="K152" s="52">
        <f>IFERROR(IF(INDEX('Faculties'!$O$58:$O$67,MATCH($F152,'Faculties'!$B$58:$B$67,0))="","Cell will autofill based on response",INDEX('Faculties'!$O$58:$O$67,MATCH($F152,'Faculties'!$B$58:$B$67,0))),"N/A")</f>
        <v/>
      </c>
      <c r="L152" s="52">
        <f>IFERROR(IF(INDEX('CI&amp;S'!$O$10:$O$15,MATCH($F152,'CI&amp;S'!$B$10:$B$15,0))="","Cell will autofill based on response",INDEX('CI&amp;S'!$O$10:$O$15,MATCH($F152,'CI&amp;S'!$B$10:$B$15,0))),"N/A")</f>
        <v/>
      </c>
      <c r="M152" s="52">
        <f>IFERROR(IF(INDEX('CI&amp;S'!$O$22:$O$36,MATCH($F152,'CI&amp;S'!$B$22:$B$36,0))="","Cell will autofill based on response",INDEX('CI&amp;S'!$O$22:$O$36,MATCH($F152,'CI&amp;S'!$B$22:$B$36,0))),"N/A")</f>
        <v/>
      </c>
      <c r="N152" s="52">
        <f>IFERROR(IF(INDEX('CFOG'!$O$10:$O$16,MATCH($F152,'CFOG'!$B$10:$B$16,0))="","Cell will autofill based on response",INDEX('CFOG'!$O$10:$O$16,MATCH($F152,'CFOG'!$B$10:$B$16,0))),"N/A")</f>
        <v/>
      </c>
      <c r="O152" s="52">
        <f>IFERROR(IF(INDEX('CFOG'!$O$23:$O$24,MATCH($F152,'CFOG'!$B$23:$B$24,0))="","Cell will autofill based on response",INDEX('CFOG'!$O$23:$O$24,MATCH($F152,'CFOG'!$B$23:$B$24,0))),"N/A")</f>
        <v/>
      </c>
      <c r="P152" s="52">
        <f>IFERROR(IF(INDEX('ESG'!$O$10:$O$17,MATCH($F152,'ESG'!$B$10:$B$17,0))="","Cell will autofill based on response",INDEX('ESG'!$O$10:$O$17,MATCH($F152,'ESG'!$B$10:$B$17,0))),"N/A")</f>
        <v/>
      </c>
      <c r="Q152" s="52">
        <f>IFERROR(IF(INDEX('CIOG'!$O$10:$O$14,MATCH($F152,'CIOG'!$B$10:$B$14,0))="","Cell will autofill based on response",INDEX('CIOG'!$O$10:$O$14,MATCH($F152,'CIOG'!$B$10:$B$14,0))),"N/A")</f>
        <v/>
      </c>
      <c r="R152" s="52">
        <f>IFERROR(IF(INDEX('MRE'!$O$10:$O$18,MATCH($F152,'MRE'!$B$10:$B$18,0))="","Cell will autofill based on response",INDEX('MRE'!$O$10:$O$18,MATCH($F152,'MRE'!$B$10:$B$18,0))),"N/A")</f>
        <v/>
      </c>
      <c r="S152" s="52">
        <f>IFERROR(IF(INDEX('AC&amp;M'!$O$10:$O$14,MATCH($F152,'AC&amp;M'!$B$10:$B$14,0))="","Cell will autofill based on response",INDEX('AC&amp;M'!$O$10:$O$14,MATCH($F152,'AC&amp;M'!$B$10:$B$14,0))),"N/A")</f>
        <v/>
      </c>
      <c r="T152" s="52">
        <f>IFERROR(IF(INDEX('GCE'!$O$10:$O$12,MATCH($F152,'GCE'!$B$10:$B$12,0))="","Cell will autofill based on response",INDEX('GCE'!$O$10:$O$12,MATCH($F152,'GCE'!$B$10:$B$12,0))),"N/A")</f>
        <v/>
      </c>
      <c r="U152" s="52">
        <f>IFERROR(IF(INDEX('Education'!$O$10:$O$13,MATCH($F152,'Education'!$B$10:$B$13,0))="","Cell will autofill based on response",INDEX('Education'!$O$10:$O$13,MATCH($F152,'Education'!$B$10:$B$13,0))),"N/A")</f>
        <v/>
      </c>
      <c r="V152" s="52">
        <f>IFERROR(IF(INDEX('SaSS'!$O$10:$O$12,MATCH($F152,'SaSS'!$B$10:$B$12,0))="","Cell will autofill based on response",INDEX('SaSS'!$O$10:$O$12,MATCH($F152,'SaSS'!$B$10:$B$12,0))),"N/A")</f>
        <v/>
      </c>
      <c r="W152" s="52">
        <f>IFERROR(IF(INDEX('Indigenous'!$O$10:$O$11,MATCH($F152,'Indigenous'!$B$10:$B$11,0))="","Cell will autofill based on response",INDEX('Indigenous'!$O$10:$O$11,MATCH($F152,'Indigenous'!$B$10:$B$11,0))),"N/A")</f>
        <v/>
      </c>
      <c r="X152" s="52">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2">
        <f>IFERROR(IF(INDEX('Faculties'!$P$10:$P$19,MATCH($F153,'Faculties'!$B$10:$B$19,0))="","Cell will autofill based on response",INDEX('Faculties'!$P$10:$P$19,MATCH($F153,'Faculties'!$B$10:$B$19,0))),"N/A")</f>
        <v/>
      </c>
      <c r="I153" s="52">
        <f>IFERROR(IF(INDEX('Faculties'!$P$26:$P$35,MATCH($F153,'Faculties'!$B$26:$B$35,0))="","Cell will autofill based on response",INDEX('Faculties'!$P$26:$P$35,MATCH($F153,'Faculties'!$B$26:$B$35,0))),"N/A")</f>
        <v/>
      </c>
      <c r="J153" s="52">
        <f>IFERROR(IF(INDEX('Faculties'!$P$42:$P$51,MATCH($F153,'Faculties'!$B$42:$B$51,0))="","Cell will autofill based on response",INDEX('Faculties'!$P$42:$P$51,MATCH($F153,'Faculties'!$B$42:$B$51,0))),"N/A")</f>
        <v/>
      </c>
      <c r="K153" s="52">
        <f>IFERROR(IF(INDEX('Faculties'!$P$58:$P$67,MATCH($F153,'Faculties'!$B$58:$B$67,0))="","Cell will autofill based on response",INDEX('Faculties'!$P$58:$P$67,MATCH($F153,'Faculties'!$B$58:$B$67,0))),"N/A")</f>
        <v/>
      </c>
      <c r="L153" s="52">
        <f>IFERROR(IF(INDEX('CI&amp;S'!$P$10:$P$15,MATCH($F153,'CI&amp;S'!$B$10:$B$15,0))="","Cell will autofill based on response",INDEX('CI&amp;S'!$P$10:$P$15,MATCH($F153,'CI&amp;S'!$B$10:$B$15,0))),"N/A")</f>
        <v/>
      </c>
      <c r="M153" s="52">
        <f>IFERROR(IF(INDEX('CI&amp;S'!$P$22:$P$36,MATCH($F153,'CI&amp;S'!$B$22:$B$36,0))="","Cell will autofill based on response",INDEX('CI&amp;S'!$P$22:$P$36,MATCH($F153,'CI&amp;S'!$B$22:$B$36,0))),"N/A")</f>
        <v/>
      </c>
      <c r="N153" s="52">
        <f>IFERROR(IF(INDEX('CFOG'!$P$10:$P$16,MATCH($F153,'CFOG'!$B$10:$B$16,0))="","Cell will autofill based on response",INDEX('CFOG'!$P$10:$P$16,MATCH($F153,'CFOG'!$B$10:$B$16,0))),"N/A")</f>
        <v/>
      </c>
      <c r="O153" s="52">
        <f>IFERROR(IF(INDEX('CFOG'!$P$23:$P$24,MATCH($F153,'CFOG'!$B$23:$B$24,0))="","Cell will autofill based on response",INDEX('CFOG'!$P$23:$P$24,MATCH($F153,'CFOG'!$B$23:$B$24,0))),"N/A")</f>
        <v/>
      </c>
      <c r="P153" s="52">
        <f>IFERROR(IF(INDEX('ESG'!$P$10:$P$17,MATCH($F153,'ESG'!$B$10:$B$17,0))="","Cell will autofill based on response",INDEX('ESG'!$P$10:$P$17,MATCH($F153,'ESG'!$B$10:$B$17,0))),"N/A")</f>
        <v/>
      </c>
      <c r="Q153" s="52">
        <f>IFERROR(IF(INDEX('CIOG'!$P$10:$P$14,MATCH($F153,'CIOG'!$B$10:$B$14,0))="","Cell will autofill based on response",INDEX('CIOG'!$P$10:$P$14,MATCH($F153,'CIOG'!$B$10:$B$14,0))),"N/A")</f>
        <v/>
      </c>
      <c r="R153" s="52">
        <f>IFERROR(IF(INDEX('MRE'!$P$10:$P$18,MATCH($F153,'MRE'!$B$10:$B$18,0))="","Cell will autofill based on response",INDEX('MRE'!$P$10:$P$18,MATCH($F153,'MRE'!$B$10:$B$18,0))),"N/A")</f>
        <v/>
      </c>
      <c r="S153" s="52">
        <f>IFERROR(IF(INDEX('AC&amp;M'!$P$10:$P$14,MATCH($F153,'AC&amp;M'!$B$10:$B$14,0))="","Cell will autofill based on response",INDEX('AC&amp;M'!$P$10:$P$14,MATCH($F153,'AC&amp;M'!$B$10:$B$14,0))),"N/A")</f>
        <v/>
      </c>
      <c r="T153" s="52">
        <f>IFERROR(IF(INDEX('GCE'!$P$10:$P$12,MATCH($F153,'GCE'!$B$10:$B$12,0))="","Cell will autofill based on response",INDEX('GCE'!$P$10:$P$12,MATCH($F153,'GCE'!$B$10:$B$12,0))),"N/A")</f>
        <v/>
      </c>
      <c r="U153" s="52">
        <f>IFERROR(IF(INDEX('Education'!$P$10:$P$13,MATCH($F153,'Education'!$B$10:$B$13,0))="","Cell will autofill based on response",INDEX('Education'!$P$10:$P$13,MATCH($F153,'Education'!$B$10:$B$13,0))),"N/A")</f>
        <v/>
      </c>
      <c r="V153" s="52">
        <f>IFERROR(IF(INDEX('SaSS'!$P$10:$P$12,MATCH($F153,'SaSS'!$B$10:$B$12,0))="","Cell will autofill based on response",INDEX('SaSS'!$P$10:$P$12,MATCH($F153,'SaSS'!$B$10:$B$12,0))),"N/A")</f>
        <v/>
      </c>
      <c r="W153" s="52">
        <f>IFERROR(IF(INDEX('Indigenous'!$P$10:$P$11,MATCH($F153,'Indigenous'!$B$10:$B$11,0))="","Cell will autofill based on response",INDEX('Indigenous'!$P$10:$P$11,MATCH($F153,'Indigenous'!$B$10:$B$11,0))),"N/A")</f>
        <v/>
      </c>
      <c r="X153" s="52">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2">
        <f>IFERROR(IF(INDEX('Faculties'!$Q$10:$Q$19,MATCH($F154,'Faculties'!$B$10:$B$19,0))="","Cell will autofill based on response",INDEX('Faculties'!$Q$10:$Q$19,MATCH($F154,'Faculties'!$B$10:$B$19,0))),"N/A")</f>
        <v/>
      </c>
      <c r="I154" s="52">
        <f>IFERROR(IF(INDEX('Faculties'!$Q$26:$Q$35,MATCH($F154,'Faculties'!$B$26:$B$35,0))="","Cell will autofill based on response",INDEX('Faculties'!$Q$26:$Q$35,MATCH($F154,'Faculties'!$B$26:$B$35,0))),"N/A")</f>
        <v/>
      </c>
      <c r="J154" s="52">
        <f>IFERROR(IF(INDEX('Faculties'!$Q$42:$Q$51,MATCH($F154,'Faculties'!$B$42:$B$51,0))="","Cell will autofill based on response",INDEX('Faculties'!$Q$42:$Q$51,MATCH($F154,'Faculties'!$B$42:$B$51,0))),"N/A")</f>
        <v/>
      </c>
      <c r="K154" s="52">
        <f>IFERROR(IF(INDEX('Faculties'!$Q$58:$Q$67,MATCH($F154,'Faculties'!$B$58:$B$67,0))="","Cell will autofill based on response",INDEX('Faculties'!$Q$58:$Q$67,MATCH($F154,'Faculties'!$B$58:$B$67,0))),"N/A")</f>
        <v/>
      </c>
      <c r="L154" s="52">
        <f>IFERROR(IF(INDEX('CI&amp;S'!$Q$10:$Q$15,MATCH($F154,'CI&amp;S'!$B$10:$B$15,0))="","Cell will autofill based on response",INDEX('CI&amp;S'!$Q$10:$Q$15,MATCH($F154,'CI&amp;S'!$B$10:$B$15,0))),"N/A")</f>
        <v/>
      </c>
      <c r="M154" s="52">
        <f>IFERROR(IF(INDEX('CI&amp;S'!$Q$22:$Q$36,MATCH($F154,'CI&amp;S'!$B$22:$B$36,0))="","Cell will autofill based on response",INDEX('CI&amp;S'!$Q$22:$Q$36,MATCH($F154,'CI&amp;S'!$B$22:$B$36,0))),"N/A")</f>
        <v/>
      </c>
      <c r="N154" s="52">
        <f>IFERROR(IF(INDEX('CFOG'!$Q$10:$Q$16,MATCH($F154,'CFOG'!$B$10:$B$16,0))="","Cell will autofill based on response",INDEX('CFOG'!$Q$10:$Q$16,MATCH($F154,'CFOG'!$B$10:$B$16,0))),"N/A")</f>
        <v/>
      </c>
      <c r="O154" s="52">
        <f>IFERROR(IF(INDEX('CFOG'!$Q$23:$Q$24,MATCH($F154,'CFOG'!$B$23:$B$24,0))="","Cell will autofill based on response",INDEX('CFOG'!$Q$23:$Q$24,MATCH($F154,'CFOG'!$B$23:$B$24,0))),"N/A")</f>
        <v/>
      </c>
      <c r="P154" s="52">
        <f>IFERROR(IF(INDEX('ESG'!$Q$10:$Q$17,MATCH($F154,'ESG'!$B$10:$B$17,0))="","Cell will autofill based on response",INDEX('ESG'!$Q$10:$Q$17,MATCH($F154,'ESG'!$B$10:$B$17,0))),"N/A")</f>
        <v/>
      </c>
      <c r="Q154" s="52">
        <f>IFERROR(IF(INDEX('CIOG'!$Q$10:$Q$14,MATCH($F154,'CIOG'!$B$10:$B$14,0))="","Cell will autofill based on response",INDEX('CIOG'!$Q$10:$Q$14,MATCH($F154,'CIOG'!$B$10:$B$14,0))),"N/A")</f>
        <v/>
      </c>
      <c r="R154" s="52">
        <f>IFERROR(IF(INDEX('MRE'!$Q$10:$Q$18,MATCH($F154,'MRE'!$B$10:$B$18,0))="","Cell will autofill based on response",INDEX('MRE'!$Q$10:$Q$18,MATCH($F154,'MRE'!$B$10:$B$18,0))),"N/A")</f>
        <v/>
      </c>
      <c r="S154" s="52">
        <f>IFERROR(IF(INDEX('AC&amp;M'!$Q$10:$Q$14,MATCH($F154,'AC&amp;M'!$B$10:$B$14,0))="","Cell will autofill based on response",INDEX('AC&amp;M'!$Q$10:$Q$14,MATCH($F154,'AC&amp;M'!$B$10:$B$14,0))),"N/A")</f>
        <v/>
      </c>
      <c r="T154" s="52">
        <f>IFERROR(IF(INDEX('GCE'!$Q$10:$Q$12,MATCH($F154,'GCE'!$B$10:$B$12,0))="","Cell will autofill based on response",INDEX('GCE'!$Q$10:$Q$12,MATCH($F154,'GCE'!$B$10:$B$12,0))),"N/A")</f>
        <v/>
      </c>
      <c r="U154" s="52">
        <f>IFERROR(IF(INDEX('Education'!$Q$10:$Q$13,MATCH($F154,'Education'!$B$10:$B$13,0))="","Cell will autofill based on response",INDEX('Education'!$Q$10:$Q$13,MATCH($F154,'Education'!$B$10:$B$13,0))),"N/A")</f>
        <v/>
      </c>
      <c r="V154" s="52">
        <f>IFERROR(IF(INDEX('SaSS'!$Q$10:$Q$12,MATCH($F154,'SaSS'!$B$10:$B$12,0))="","Cell will autofill based on response",INDEX('SaSS'!$Q$10:$Q$12,MATCH($F154,'SaSS'!$B$10:$B$12,0))),"N/A")</f>
        <v/>
      </c>
      <c r="W154" s="52">
        <f>IFERROR(IF(INDEX('Indigenous'!$Q$10:$Q$11,MATCH($F154,'Indigenous'!$B$10:$B$11,0))="","Cell will autofill based on response",INDEX('Indigenous'!$Q$10:$Q$11,MATCH($F154,'Indigenous'!$B$10:$B$11,0))),"N/A")</f>
        <v/>
      </c>
      <c r="X154" s="52">
        <f>IFERROR(IF(INDEX('L&amp;R'!$Q$10:$Q$11,MATCH($F154,'L&amp;R'!$B$10:$B$11,0))="","Cell will autofill based on response",INDEX('L&amp;R'!$Q$10:$Q$11,MATCH($F154,'L&amp;R'!$B$10:$B$11,0))),"N/A")</f>
        <v/>
      </c>
    </row>
    <row r="155">
      <c r="A155">
        <f>F155&amp;"|"&amp;G155</f>
        <v/>
      </c>
      <c r="B155" s="7" t="inlineStr">
        <is>
          <t>NB2(c)</t>
        </is>
      </c>
      <c r="C155" s="50" t="inlineStr">
        <is>
          <t>Nature and biodiversity</t>
        </is>
      </c>
      <c r="D155" s="50" t="inlineStr">
        <is>
          <t>Evidence of prioritised high risk procurement categories or suppliers for nature impact management</t>
        </is>
      </c>
      <c r="E155" s="50" t="inlineStr">
        <is>
          <t>Please provide the prioritised high-risk procurement categories and/or suppliers identified for nature-impact management, could include the basis for prioritisation and any risk-management, engagement or mitigation actions undertaken or planned.</t>
        </is>
      </c>
      <c r="F155" s="50" t="inlineStr">
        <is>
          <t>NB2(c)</t>
        </is>
      </c>
      <c r="G155" s="50" t="inlineStr">
        <is>
          <t>Confirm end-2026 target status</t>
        </is>
      </c>
      <c r="H155" s="52">
        <f>IFERROR(IF(INDEX('Faculties'!$L$10:$L$19,MATCH($F155,'Faculties'!$B$10:$B$19,0))="","Cell will autofill based on response",INDEX('Faculties'!$L$10:$L$19,MATCH($F155,'Faculties'!$B$10:$B$19,0))),"N/A")</f>
        <v/>
      </c>
      <c r="I155" s="52">
        <f>IFERROR(IF(INDEX('Faculties'!$L$26:$L$35,MATCH($F155,'Faculties'!$B$26:$B$35,0))="","Cell will autofill based on response",INDEX('Faculties'!$L$26:$L$35,MATCH($F155,'Faculties'!$B$26:$B$35,0))),"N/A")</f>
        <v/>
      </c>
      <c r="J155" s="52">
        <f>IFERROR(IF(INDEX('Faculties'!$L$42:$L$51,MATCH($F155,'Faculties'!$B$42:$B$51,0))="","Cell will autofill based on response",INDEX('Faculties'!$L$42:$L$51,MATCH($F155,'Faculties'!$B$42:$B$51,0))),"N/A")</f>
        <v/>
      </c>
      <c r="K155" s="52">
        <f>IFERROR(IF(INDEX('Faculties'!$L$58:$L$67,MATCH($F155,'Faculties'!$B$58:$B$67,0))="","Cell will autofill based on response",INDEX('Faculties'!$L$58:$L$67,MATCH($F155,'Faculties'!$B$58:$B$67,0))),"N/A")</f>
        <v/>
      </c>
      <c r="L155" s="52">
        <f>IFERROR(IF(INDEX('CI&amp;S'!$L$10:$L$15,MATCH($F155,'CI&amp;S'!$B$10:$B$15,0))="","Cell will autofill based on response",INDEX('CI&amp;S'!$L$10:$L$15,MATCH($F155,'CI&amp;S'!$B$10:$B$15,0))),"N/A")</f>
        <v/>
      </c>
      <c r="M155" s="52">
        <f>IFERROR(IF(INDEX('CI&amp;S'!$L$22:$L$36,MATCH($F155,'CI&amp;S'!$B$22:$B$36,0))="","Cell will autofill based on response",INDEX('CI&amp;S'!$L$22:$L$36,MATCH($F155,'CI&amp;S'!$B$22:$B$36,0))),"N/A")</f>
        <v/>
      </c>
      <c r="N155" s="52">
        <f>IFERROR(IF(INDEX('CFOG'!$L$10:$L$16,MATCH($F155,'CFOG'!$B$10:$B$16,0))="","Cell will autofill based on response",INDEX('CFOG'!$L$10:$L$16,MATCH($F155,'CFOG'!$B$10:$B$16,0))),"N/A")</f>
        <v/>
      </c>
      <c r="O155" s="52">
        <f>IFERROR(IF(INDEX('CFOG'!$L$23:$L$24,MATCH($F155,'CFOG'!$B$23:$B$24,0))="","Cell will autofill based on response",INDEX('CFOG'!$L$23:$L$24,MATCH($F155,'CFOG'!$B$23:$B$24,0))),"N/A")</f>
        <v/>
      </c>
      <c r="P155" s="52">
        <f>IFERROR(IF(INDEX('ESG'!$L$10:$L$17,MATCH($F155,'ESG'!$B$10:$B$17,0))="","Cell will autofill based on response",INDEX('ESG'!$L$10:$L$17,MATCH($F155,'ESG'!$B$10:$B$17,0))),"N/A")</f>
        <v/>
      </c>
      <c r="Q155" s="52">
        <f>IFERROR(IF(INDEX('CIOG'!$L$10:$L$14,MATCH($F155,'CIOG'!$B$10:$B$14,0))="","Cell will autofill based on response",INDEX('CIOG'!$L$10:$L$14,MATCH($F155,'CIOG'!$B$10:$B$14,0))),"N/A")</f>
        <v/>
      </c>
      <c r="R155" s="52">
        <f>IFERROR(IF(INDEX('MRE'!$L$10:$L$18,MATCH($F155,'MRE'!$B$10:$B$18,0))="","Cell will autofill based on response",INDEX('MRE'!$L$10:$L$18,MATCH($F155,'MRE'!$B$10:$B$18,0))),"N/A")</f>
        <v/>
      </c>
      <c r="S155" s="52">
        <f>IFERROR(IF(INDEX('AC&amp;M'!$L$10:$L$14,MATCH($F155,'AC&amp;M'!$B$10:$B$14,0))="","Cell will autofill based on response",INDEX('AC&amp;M'!$L$10:$L$14,MATCH($F155,'AC&amp;M'!$B$10:$B$14,0))),"N/A")</f>
        <v/>
      </c>
      <c r="T155" s="52">
        <f>IFERROR(IF(INDEX('GCE'!$L$10:$L$12,MATCH($F155,'GCE'!$B$10:$B$12,0))="","Cell will autofill based on response",INDEX('GCE'!$L$10:$L$12,MATCH($F155,'GCE'!$B$10:$B$12,0))),"N/A")</f>
        <v/>
      </c>
      <c r="U155" s="52">
        <f>IFERROR(IF(INDEX('Education'!$L$10:$L$13,MATCH($F155,'Education'!$B$10:$B$13,0))="","Cell will autofill based on response",INDEX('Education'!$L$10:$L$13,MATCH($F155,'Education'!$B$10:$B$13,0))),"N/A")</f>
        <v/>
      </c>
      <c r="V155" s="52">
        <f>IFERROR(IF(INDEX('SaSS'!$L$10:$L$12,MATCH($F155,'SaSS'!$B$10:$B$12,0))="","Cell will autofill based on response",INDEX('SaSS'!$L$10:$L$12,MATCH($F155,'SaSS'!$B$10:$B$12,0))),"N/A")</f>
        <v/>
      </c>
      <c r="W155" s="52">
        <f>IFERROR(IF(INDEX('Indigenous'!$L$10:$L$11,MATCH($F155,'Indigenous'!$B$10:$B$11,0))="","Cell will autofill based on response",INDEX('Indigenous'!$L$10:$L$11,MATCH($F155,'Indigenous'!$B$10:$B$11,0))),"N/A")</f>
        <v/>
      </c>
      <c r="X155" s="52">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3">
        <f>IF(AF155&gt;0,AE155/AF155,"No valid responses to date")</f>
        <v/>
      </c>
      <c r="AH155" s="10">
        <f>IF(ISNUMBER(AG155),INDEX(Lists!$G$2:$G$5,MATCH(ROUND(AG155,0),Lists!$H$2:$H$5,0)),"")</f>
        <v/>
      </c>
      <c r="AI155" s="54">
        <f>IF(AF155&gt;0,AD155/AF155,"")</f>
        <v/>
      </c>
      <c r="AJ155" s="54">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2">
        <f>IFERROR(IF(INDEX('Faculties'!$M$10:$M$19,MATCH($F156,'Faculties'!$B$10:$B$19,0))="","Cell will autofill based on response",INDEX('Faculties'!$M$10:$M$19,MATCH($F156,'Faculties'!$B$10:$B$19,0))),"N/A")</f>
        <v/>
      </c>
      <c r="I156" s="52">
        <f>IFERROR(IF(INDEX('Faculties'!$M$26:$M$35,MATCH($F156,'Faculties'!$B$26:$B$35,0))="","Cell will autofill based on response",INDEX('Faculties'!$M$26:$M$35,MATCH($F156,'Faculties'!$B$26:$B$35,0))),"N/A")</f>
        <v/>
      </c>
      <c r="J156" s="52">
        <f>IFERROR(IF(INDEX('Faculties'!$M$42:$M$51,MATCH($F156,'Faculties'!$B$42:$B$51,0))="","Cell will autofill based on response",INDEX('Faculties'!$M$42:$M$51,MATCH($F156,'Faculties'!$B$42:$B$51,0))),"N/A")</f>
        <v/>
      </c>
      <c r="K156" s="52">
        <f>IFERROR(IF(INDEX('Faculties'!$M$58:$M$67,MATCH($F156,'Faculties'!$B$58:$B$67,0))="","Cell will autofill based on response",INDEX('Faculties'!$M$58:$M$67,MATCH($F156,'Faculties'!$B$58:$B$67,0))),"N/A")</f>
        <v/>
      </c>
      <c r="L156" s="52">
        <f>IFERROR(IF(INDEX('CI&amp;S'!$M$10:$M$15,MATCH($F156,'CI&amp;S'!$B$10:$B$15,0))="","Cell will autofill based on response",INDEX('CI&amp;S'!$M$10:$M$15,MATCH($F156,'CI&amp;S'!$B$10:$B$15,0))),"N/A")</f>
        <v/>
      </c>
      <c r="M156" s="52">
        <f>IFERROR(IF(INDEX('CI&amp;S'!$M$22:$M$36,MATCH($F156,'CI&amp;S'!$B$22:$B$36,0))="","Cell will autofill based on response",INDEX('CI&amp;S'!$M$22:$M$36,MATCH($F156,'CI&amp;S'!$B$22:$B$36,0))),"N/A")</f>
        <v/>
      </c>
      <c r="N156" s="52">
        <f>IFERROR(IF(INDEX('CFOG'!$M$10:$M$16,MATCH($F156,'CFOG'!$B$10:$B$16,0))="","Cell will autofill based on response",INDEX('CFOG'!$M$10:$M$16,MATCH($F156,'CFOG'!$B$10:$B$16,0))),"N/A")</f>
        <v/>
      </c>
      <c r="O156" s="52">
        <f>IFERROR(IF(INDEX('CFOG'!$M$23:$M$24,MATCH($F156,'CFOG'!$B$23:$B$24,0))="","Cell will autofill based on response",INDEX('CFOG'!$M$23:$M$24,MATCH($F156,'CFOG'!$B$23:$B$24,0))),"N/A")</f>
        <v/>
      </c>
      <c r="P156" s="52">
        <f>IFERROR(IF(INDEX('ESG'!$M$10:$M$17,MATCH($F156,'ESG'!$B$10:$B$17,0))="","Cell will autofill based on response",INDEX('ESG'!$M$10:$M$17,MATCH($F156,'ESG'!$B$10:$B$17,0))),"N/A")</f>
        <v/>
      </c>
      <c r="Q156" s="52">
        <f>IFERROR(IF(INDEX('CIOG'!$M$10:$M$14,MATCH($F156,'CIOG'!$B$10:$B$14,0))="","Cell will autofill based on response",INDEX('CIOG'!$M$10:$M$14,MATCH($F156,'CIOG'!$B$10:$B$14,0))),"N/A")</f>
        <v/>
      </c>
      <c r="R156" s="52">
        <f>IFERROR(IF(INDEX('MRE'!$M$10:$M$18,MATCH($F156,'MRE'!$B$10:$B$18,0))="","Cell will autofill based on response",INDEX('MRE'!$M$10:$M$18,MATCH($F156,'MRE'!$B$10:$B$18,0))),"N/A")</f>
        <v/>
      </c>
      <c r="S156" s="52">
        <f>IFERROR(IF(INDEX('AC&amp;M'!$M$10:$M$14,MATCH($F156,'AC&amp;M'!$B$10:$B$14,0))="","Cell will autofill based on response",INDEX('AC&amp;M'!$M$10:$M$14,MATCH($F156,'AC&amp;M'!$B$10:$B$14,0))),"N/A")</f>
        <v/>
      </c>
      <c r="T156" s="52">
        <f>IFERROR(IF(INDEX('GCE'!$M$10:$M$12,MATCH($F156,'GCE'!$B$10:$B$12,0))="","Cell will autofill based on response",INDEX('GCE'!$M$10:$M$12,MATCH($F156,'GCE'!$B$10:$B$12,0))),"N/A")</f>
        <v/>
      </c>
      <c r="U156" s="52">
        <f>IFERROR(IF(INDEX('Education'!$M$10:$M$13,MATCH($F156,'Education'!$B$10:$B$13,0))="","Cell will autofill based on response",INDEX('Education'!$M$10:$M$13,MATCH($F156,'Education'!$B$10:$B$13,0))),"N/A")</f>
        <v/>
      </c>
      <c r="V156" s="52">
        <f>IFERROR(IF(INDEX('SaSS'!$M$10:$M$12,MATCH($F156,'SaSS'!$B$10:$B$12,0))="","Cell will autofill based on response",INDEX('SaSS'!$M$10:$M$12,MATCH($F156,'SaSS'!$B$10:$B$12,0))),"N/A")</f>
        <v/>
      </c>
      <c r="W156" s="52">
        <f>IFERROR(IF(INDEX('Indigenous'!$M$10:$M$11,MATCH($F156,'Indigenous'!$B$10:$B$11,0))="","Cell will autofill based on response",INDEX('Indigenous'!$M$10:$M$11,MATCH($F156,'Indigenous'!$B$10:$B$11,0))),"N/A")</f>
        <v/>
      </c>
      <c r="X156" s="52">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2">
        <f>IFERROR(IF(INDEX('Faculties'!$N$10:$N$19,MATCH($F157,'Faculties'!$B$10:$B$19,0))="","Cell will autofill based on response",INDEX('Faculties'!$N$10:$N$19,MATCH($F157,'Faculties'!$B$10:$B$19,0))),"N/A")</f>
        <v/>
      </c>
      <c r="I157" s="52">
        <f>IFERROR(IF(INDEX('Faculties'!$N$26:$N$35,MATCH($F157,'Faculties'!$B$26:$B$35,0))="","Cell will autofill based on response",INDEX('Faculties'!$N$26:$N$35,MATCH($F157,'Faculties'!$B$26:$B$35,0))),"N/A")</f>
        <v/>
      </c>
      <c r="J157" s="52">
        <f>IFERROR(IF(INDEX('Faculties'!$N$42:$N$51,MATCH($F157,'Faculties'!$B$42:$B$51,0))="","Cell will autofill based on response",INDEX('Faculties'!$N$42:$N$51,MATCH($F157,'Faculties'!$B$42:$B$51,0))),"N/A")</f>
        <v/>
      </c>
      <c r="K157" s="52">
        <f>IFERROR(IF(INDEX('Faculties'!$N$58:$N$67,MATCH($F157,'Faculties'!$B$58:$B$67,0))="","Cell will autofill based on response",INDEX('Faculties'!$N$58:$N$67,MATCH($F157,'Faculties'!$B$58:$B$67,0))),"N/A")</f>
        <v/>
      </c>
      <c r="L157" s="52">
        <f>IFERROR(IF(INDEX('CI&amp;S'!$N$10:$N$15,MATCH($F157,'CI&amp;S'!$B$10:$B$15,0))="","Cell will autofill based on response",INDEX('CI&amp;S'!$N$10:$N$15,MATCH($F157,'CI&amp;S'!$B$10:$B$15,0))),"N/A")</f>
        <v/>
      </c>
      <c r="M157" s="52">
        <f>IFERROR(IF(INDEX('CI&amp;S'!$N$22:$N$36,MATCH($F157,'CI&amp;S'!$B$22:$B$36,0))="","Cell will autofill based on response",INDEX('CI&amp;S'!$N$22:$N$36,MATCH($F157,'CI&amp;S'!$B$22:$B$36,0))),"N/A")</f>
        <v/>
      </c>
      <c r="N157" s="52">
        <f>IFERROR(IF(INDEX('CFOG'!$N$10:$N$16,MATCH($F157,'CFOG'!$B$10:$B$16,0))="","Cell will autofill based on response",INDEX('CFOG'!$N$10:$N$16,MATCH($F157,'CFOG'!$B$10:$B$16,0))),"N/A")</f>
        <v/>
      </c>
      <c r="O157" s="52">
        <f>IFERROR(IF(INDEX('CFOG'!$N$23:$N$24,MATCH($F157,'CFOG'!$B$23:$B$24,0))="","Cell will autofill based on response",INDEX('CFOG'!$N$23:$N$24,MATCH($F157,'CFOG'!$B$23:$B$24,0))),"N/A")</f>
        <v/>
      </c>
      <c r="P157" s="52">
        <f>IFERROR(IF(INDEX('ESG'!$N$10:$N$17,MATCH($F157,'ESG'!$B$10:$B$17,0))="","Cell will autofill based on response",INDEX('ESG'!$N$10:$N$17,MATCH($F157,'ESG'!$B$10:$B$17,0))),"N/A")</f>
        <v/>
      </c>
      <c r="Q157" s="52">
        <f>IFERROR(IF(INDEX('CIOG'!$N$10:$N$14,MATCH($F157,'CIOG'!$B$10:$B$14,0))="","Cell will autofill based on response",INDEX('CIOG'!$N$10:$N$14,MATCH($F157,'CIOG'!$B$10:$B$14,0))),"N/A")</f>
        <v/>
      </c>
      <c r="R157" s="52">
        <f>IFERROR(IF(INDEX('MRE'!$N$10:$N$18,MATCH($F157,'MRE'!$B$10:$B$18,0))="","Cell will autofill based on response",INDEX('MRE'!$N$10:$N$18,MATCH($F157,'MRE'!$B$10:$B$18,0))),"N/A")</f>
        <v/>
      </c>
      <c r="S157" s="52">
        <f>IFERROR(IF(INDEX('AC&amp;M'!$N$10:$N$14,MATCH($F157,'AC&amp;M'!$B$10:$B$14,0))="","Cell will autofill based on response",INDEX('AC&amp;M'!$N$10:$N$14,MATCH($F157,'AC&amp;M'!$B$10:$B$14,0))),"N/A")</f>
        <v/>
      </c>
      <c r="T157" s="52">
        <f>IFERROR(IF(INDEX('GCE'!$N$10:$N$12,MATCH($F157,'GCE'!$B$10:$B$12,0))="","Cell will autofill based on response",INDEX('GCE'!$N$10:$N$12,MATCH($F157,'GCE'!$B$10:$B$12,0))),"N/A")</f>
        <v/>
      </c>
      <c r="U157" s="52">
        <f>IFERROR(IF(INDEX('Education'!$N$10:$N$13,MATCH($F157,'Education'!$B$10:$B$13,0))="","Cell will autofill based on response",INDEX('Education'!$N$10:$N$13,MATCH($F157,'Education'!$B$10:$B$13,0))),"N/A")</f>
        <v/>
      </c>
      <c r="V157" s="52">
        <f>IFERROR(IF(INDEX('SaSS'!$N$10:$N$12,MATCH($F157,'SaSS'!$B$10:$B$12,0))="","Cell will autofill based on response",INDEX('SaSS'!$N$10:$N$12,MATCH($F157,'SaSS'!$B$10:$B$12,0))),"N/A")</f>
        <v/>
      </c>
      <c r="W157" s="52">
        <f>IFERROR(IF(INDEX('Indigenous'!$N$10:$N$11,MATCH($F157,'Indigenous'!$B$10:$B$11,0))="","Cell will autofill based on response",INDEX('Indigenous'!$N$10:$N$11,MATCH($F157,'Indigenous'!$B$10:$B$11,0))),"N/A")</f>
        <v/>
      </c>
      <c r="X157" s="52">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2">
        <f>IFERROR(IF(INDEX('Faculties'!$O$10:$O$19,MATCH($F158,'Faculties'!$B$10:$B$19,0))="","Cell will autofill based on response",INDEX('Faculties'!$O$10:$O$19,MATCH($F158,'Faculties'!$B$10:$B$19,0))),"N/A")</f>
        <v/>
      </c>
      <c r="I158" s="52">
        <f>IFERROR(IF(INDEX('Faculties'!$O$26:$O$35,MATCH($F158,'Faculties'!$B$26:$B$35,0))="","Cell will autofill based on response",INDEX('Faculties'!$O$26:$O$35,MATCH($F158,'Faculties'!$B$26:$B$35,0))),"N/A")</f>
        <v/>
      </c>
      <c r="J158" s="52">
        <f>IFERROR(IF(INDEX('Faculties'!$O$42:$O$51,MATCH($F158,'Faculties'!$B$42:$B$51,0))="","Cell will autofill based on response",INDEX('Faculties'!$O$42:$O$51,MATCH($F158,'Faculties'!$B$42:$B$51,0))),"N/A")</f>
        <v/>
      </c>
      <c r="K158" s="52">
        <f>IFERROR(IF(INDEX('Faculties'!$O$58:$O$67,MATCH($F158,'Faculties'!$B$58:$B$67,0))="","Cell will autofill based on response",INDEX('Faculties'!$O$58:$O$67,MATCH($F158,'Faculties'!$B$58:$B$67,0))),"N/A")</f>
        <v/>
      </c>
      <c r="L158" s="52">
        <f>IFERROR(IF(INDEX('CI&amp;S'!$O$10:$O$15,MATCH($F158,'CI&amp;S'!$B$10:$B$15,0))="","Cell will autofill based on response",INDEX('CI&amp;S'!$O$10:$O$15,MATCH($F158,'CI&amp;S'!$B$10:$B$15,0))),"N/A")</f>
        <v/>
      </c>
      <c r="M158" s="52">
        <f>IFERROR(IF(INDEX('CI&amp;S'!$O$22:$O$36,MATCH($F158,'CI&amp;S'!$B$22:$B$36,0))="","Cell will autofill based on response",INDEX('CI&amp;S'!$O$22:$O$36,MATCH($F158,'CI&amp;S'!$B$22:$B$36,0))),"N/A")</f>
        <v/>
      </c>
      <c r="N158" s="52">
        <f>IFERROR(IF(INDEX('CFOG'!$O$10:$O$16,MATCH($F158,'CFOG'!$B$10:$B$16,0))="","Cell will autofill based on response",INDEX('CFOG'!$O$10:$O$16,MATCH($F158,'CFOG'!$B$10:$B$16,0))),"N/A")</f>
        <v/>
      </c>
      <c r="O158" s="52">
        <f>IFERROR(IF(INDEX('CFOG'!$O$23:$O$24,MATCH($F158,'CFOG'!$B$23:$B$24,0))="","Cell will autofill based on response",INDEX('CFOG'!$O$23:$O$24,MATCH($F158,'CFOG'!$B$23:$B$24,0))),"N/A")</f>
        <v/>
      </c>
      <c r="P158" s="52">
        <f>IFERROR(IF(INDEX('ESG'!$O$10:$O$17,MATCH($F158,'ESG'!$B$10:$B$17,0))="","Cell will autofill based on response",INDEX('ESG'!$O$10:$O$17,MATCH($F158,'ESG'!$B$10:$B$17,0))),"N/A")</f>
        <v/>
      </c>
      <c r="Q158" s="52">
        <f>IFERROR(IF(INDEX('CIOG'!$O$10:$O$14,MATCH($F158,'CIOG'!$B$10:$B$14,0))="","Cell will autofill based on response",INDEX('CIOG'!$O$10:$O$14,MATCH($F158,'CIOG'!$B$10:$B$14,0))),"N/A")</f>
        <v/>
      </c>
      <c r="R158" s="52">
        <f>IFERROR(IF(INDEX('MRE'!$O$10:$O$18,MATCH($F158,'MRE'!$B$10:$B$18,0))="","Cell will autofill based on response",INDEX('MRE'!$O$10:$O$18,MATCH($F158,'MRE'!$B$10:$B$18,0))),"N/A")</f>
        <v/>
      </c>
      <c r="S158" s="52">
        <f>IFERROR(IF(INDEX('AC&amp;M'!$O$10:$O$14,MATCH($F158,'AC&amp;M'!$B$10:$B$14,0))="","Cell will autofill based on response",INDEX('AC&amp;M'!$O$10:$O$14,MATCH($F158,'AC&amp;M'!$B$10:$B$14,0))),"N/A")</f>
        <v/>
      </c>
      <c r="T158" s="52">
        <f>IFERROR(IF(INDEX('GCE'!$O$10:$O$12,MATCH($F158,'GCE'!$B$10:$B$12,0))="","Cell will autofill based on response",INDEX('GCE'!$O$10:$O$12,MATCH($F158,'GCE'!$B$10:$B$12,0))),"N/A")</f>
        <v/>
      </c>
      <c r="U158" s="52">
        <f>IFERROR(IF(INDEX('Education'!$O$10:$O$13,MATCH($F158,'Education'!$B$10:$B$13,0))="","Cell will autofill based on response",INDEX('Education'!$O$10:$O$13,MATCH($F158,'Education'!$B$10:$B$13,0))),"N/A")</f>
        <v/>
      </c>
      <c r="V158" s="52">
        <f>IFERROR(IF(INDEX('SaSS'!$O$10:$O$12,MATCH($F158,'SaSS'!$B$10:$B$12,0))="","Cell will autofill based on response",INDEX('SaSS'!$O$10:$O$12,MATCH($F158,'SaSS'!$B$10:$B$12,0))),"N/A")</f>
        <v/>
      </c>
      <c r="W158" s="52">
        <f>IFERROR(IF(INDEX('Indigenous'!$O$10:$O$11,MATCH($F158,'Indigenous'!$B$10:$B$11,0))="","Cell will autofill based on response",INDEX('Indigenous'!$O$10:$O$11,MATCH($F158,'Indigenous'!$B$10:$B$11,0))),"N/A")</f>
        <v/>
      </c>
      <c r="X158" s="52">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2">
        <f>IFERROR(IF(INDEX('Faculties'!$P$10:$P$19,MATCH($F159,'Faculties'!$B$10:$B$19,0))="","Cell will autofill based on response",INDEX('Faculties'!$P$10:$P$19,MATCH($F159,'Faculties'!$B$10:$B$19,0))),"N/A")</f>
        <v/>
      </c>
      <c r="I159" s="52">
        <f>IFERROR(IF(INDEX('Faculties'!$P$26:$P$35,MATCH($F159,'Faculties'!$B$26:$B$35,0))="","Cell will autofill based on response",INDEX('Faculties'!$P$26:$P$35,MATCH($F159,'Faculties'!$B$26:$B$35,0))),"N/A")</f>
        <v/>
      </c>
      <c r="J159" s="52">
        <f>IFERROR(IF(INDEX('Faculties'!$P$42:$P$51,MATCH($F159,'Faculties'!$B$42:$B$51,0))="","Cell will autofill based on response",INDEX('Faculties'!$P$42:$P$51,MATCH($F159,'Faculties'!$B$42:$B$51,0))),"N/A")</f>
        <v/>
      </c>
      <c r="K159" s="52">
        <f>IFERROR(IF(INDEX('Faculties'!$P$58:$P$67,MATCH($F159,'Faculties'!$B$58:$B$67,0))="","Cell will autofill based on response",INDEX('Faculties'!$P$58:$P$67,MATCH($F159,'Faculties'!$B$58:$B$67,0))),"N/A")</f>
        <v/>
      </c>
      <c r="L159" s="52">
        <f>IFERROR(IF(INDEX('CI&amp;S'!$P$10:$P$15,MATCH($F159,'CI&amp;S'!$B$10:$B$15,0))="","Cell will autofill based on response",INDEX('CI&amp;S'!$P$10:$P$15,MATCH($F159,'CI&amp;S'!$B$10:$B$15,0))),"N/A")</f>
        <v/>
      </c>
      <c r="M159" s="52">
        <f>IFERROR(IF(INDEX('CI&amp;S'!$P$22:$P$36,MATCH($F159,'CI&amp;S'!$B$22:$B$36,0))="","Cell will autofill based on response",INDEX('CI&amp;S'!$P$22:$P$36,MATCH($F159,'CI&amp;S'!$B$22:$B$36,0))),"N/A")</f>
        <v/>
      </c>
      <c r="N159" s="52">
        <f>IFERROR(IF(INDEX('CFOG'!$P$10:$P$16,MATCH($F159,'CFOG'!$B$10:$B$16,0))="","Cell will autofill based on response",INDEX('CFOG'!$P$10:$P$16,MATCH($F159,'CFOG'!$B$10:$B$16,0))),"N/A")</f>
        <v/>
      </c>
      <c r="O159" s="52">
        <f>IFERROR(IF(INDEX('CFOG'!$P$23:$P$24,MATCH($F159,'CFOG'!$B$23:$B$24,0))="","Cell will autofill based on response",INDEX('CFOG'!$P$23:$P$24,MATCH($F159,'CFOG'!$B$23:$B$24,0))),"N/A")</f>
        <v/>
      </c>
      <c r="P159" s="52">
        <f>IFERROR(IF(INDEX('ESG'!$P$10:$P$17,MATCH($F159,'ESG'!$B$10:$B$17,0))="","Cell will autofill based on response",INDEX('ESG'!$P$10:$P$17,MATCH($F159,'ESG'!$B$10:$B$17,0))),"N/A")</f>
        <v/>
      </c>
      <c r="Q159" s="52">
        <f>IFERROR(IF(INDEX('CIOG'!$P$10:$P$14,MATCH($F159,'CIOG'!$B$10:$B$14,0))="","Cell will autofill based on response",INDEX('CIOG'!$P$10:$P$14,MATCH($F159,'CIOG'!$B$10:$B$14,0))),"N/A")</f>
        <v/>
      </c>
      <c r="R159" s="52">
        <f>IFERROR(IF(INDEX('MRE'!$P$10:$P$18,MATCH($F159,'MRE'!$B$10:$B$18,0))="","Cell will autofill based on response",INDEX('MRE'!$P$10:$P$18,MATCH($F159,'MRE'!$B$10:$B$18,0))),"N/A")</f>
        <v/>
      </c>
      <c r="S159" s="52">
        <f>IFERROR(IF(INDEX('AC&amp;M'!$P$10:$P$14,MATCH($F159,'AC&amp;M'!$B$10:$B$14,0))="","Cell will autofill based on response",INDEX('AC&amp;M'!$P$10:$P$14,MATCH($F159,'AC&amp;M'!$B$10:$B$14,0))),"N/A")</f>
        <v/>
      </c>
      <c r="T159" s="52">
        <f>IFERROR(IF(INDEX('GCE'!$P$10:$P$12,MATCH($F159,'GCE'!$B$10:$B$12,0))="","Cell will autofill based on response",INDEX('GCE'!$P$10:$P$12,MATCH($F159,'GCE'!$B$10:$B$12,0))),"N/A")</f>
        <v/>
      </c>
      <c r="U159" s="52">
        <f>IFERROR(IF(INDEX('Education'!$P$10:$P$13,MATCH($F159,'Education'!$B$10:$B$13,0))="","Cell will autofill based on response",INDEX('Education'!$P$10:$P$13,MATCH($F159,'Education'!$B$10:$B$13,0))),"N/A")</f>
        <v/>
      </c>
      <c r="V159" s="52">
        <f>IFERROR(IF(INDEX('SaSS'!$P$10:$P$12,MATCH($F159,'SaSS'!$B$10:$B$12,0))="","Cell will autofill based on response",INDEX('SaSS'!$P$10:$P$12,MATCH($F159,'SaSS'!$B$10:$B$12,0))),"N/A")</f>
        <v/>
      </c>
      <c r="W159" s="52">
        <f>IFERROR(IF(INDEX('Indigenous'!$P$10:$P$11,MATCH($F159,'Indigenous'!$B$10:$B$11,0))="","Cell will autofill based on response",INDEX('Indigenous'!$P$10:$P$11,MATCH($F159,'Indigenous'!$B$10:$B$11,0))),"N/A")</f>
        <v/>
      </c>
      <c r="X159" s="52">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2">
        <f>IFERROR(IF(INDEX('Faculties'!$Q$10:$Q$19,MATCH($F160,'Faculties'!$B$10:$B$19,0))="","Cell will autofill based on response",INDEX('Faculties'!$Q$10:$Q$19,MATCH($F160,'Faculties'!$B$10:$B$19,0))),"N/A")</f>
        <v/>
      </c>
      <c r="I160" s="52">
        <f>IFERROR(IF(INDEX('Faculties'!$Q$26:$Q$35,MATCH($F160,'Faculties'!$B$26:$B$35,0))="","Cell will autofill based on response",INDEX('Faculties'!$Q$26:$Q$35,MATCH($F160,'Faculties'!$B$26:$B$35,0))),"N/A")</f>
        <v/>
      </c>
      <c r="J160" s="52">
        <f>IFERROR(IF(INDEX('Faculties'!$Q$42:$Q$51,MATCH($F160,'Faculties'!$B$42:$B$51,0))="","Cell will autofill based on response",INDEX('Faculties'!$Q$42:$Q$51,MATCH($F160,'Faculties'!$B$42:$B$51,0))),"N/A")</f>
        <v/>
      </c>
      <c r="K160" s="52">
        <f>IFERROR(IF(INDEX('Faculties'!$Q$58:$Q$67,MATCH($F160,'Faculties'!$B$58:$B$67,0))="","Cell will autofill based on response",INDEX('Faculties'!$Q$58:$Q$67,MATCH($F160,'Faculties'!$B$58:$B$67,0))),"N/A")</f>
        <v/>
      </c>
      <c r="L160" s="52">
        <f>IFERROR(IF(INDEX('CI&amp;S'!$Q$10:$Q$15,MATCH($F160,'CI&amp;S'!$B$10:$B$15,0))="","Cell will autofill based on response",INDEX('CI&amp;S'!$Q$10:$Q$15,MATCH($F160,'CI&amp;S'!$B$10:$B$15,0))),"N/A")</f>
        <v/>
      </c>
      <c r="M160" s="52">
        <f>IFERROR(IF(INDEX('CI&amp;S'!$Q$22:$Q$36,MATCH($F160,'CI&amp;S'!$B$22:$B$36,0))="","Cell will autofill based on response",INDEX('CI&amp;S'!$Q$22:$Q$36,MATCH($F160,'CI&amp;S'!$B$22:$B$36,0))),"N/A")</f>
        <v/>
      </c>
      <c r="N160" s="52">
        <f>IFERROR(IF(INDEX('CFOG'!$Q$10:$Q$16,MATCH($F160,'CFOG'!$B$10:$B$16,0))="","Cell will autofill based on response",INDEX('CFOG'!$Q$10:$Q$16,MATCH($F160,'CFOG'!$B$10:$B$16,0))),"N/A")</f>
        <v/>
      </c>
      <c r="O160" s="52">
        <f>IFERROR(IF(INDEX('CFOG'!$Q$23:$Q$24,MATCH($F160,'CFOG'!$B$23:$B$24,0))="","Cell will autofill based on response",INDEX('CFOG'!$Q$23:$Q$24,MATCH($F160,'CFOG'!$B$23:$B$24,0))),"N/A")</f>
        <v/>
      </c>
      <c r="P160" s="52">
        <f>IFERROR(IF(INDEX('ESG'!$Q$10:$Q$17,MATCH($F160,'ESG'!$B$10:$B$17,0))="","Cell will autofill based on response",INDEX('ESG'!$Q$10:$Q$17,MATCH($F160,'ESG'!$B$10:$B$17,0))),"N/A")</f>
        <v/>
      </c>
      <c r="Q160" s="52">
        <f>IFERROR(IF(INDEX('CIOG'!$Q$10:$Q$14,MATCH($F160,'CIOG'!$B$10:$B$14,0))="","Cell will autofill based on response",INDEX('CIOG'!$Q$10:$Q$14,MATCH($F160,'CIOG'!$B$10:$B$14,0))),"N/A")</f>
        <v/>
      </c>
      <c r="R160" s="52">
        <f>IFERROR(IF(INDEX('MRE'!$Q$10:$Q$18,MATCH($F160,'MRE'!$B$10:$B$18,0))="","Cell will autofill based on response",INDEX('MRE'!$Q$10:$Q$18,MATCH($F160,'MRE'!$B$10:$B$18,0))),"N/A")</f>
        <v/>
      </c>
      <c r="S160" s="52">
        <f>IFERROR(IF(INDEX('AC&amp;M'!$Q$10:$Q$14,MATCH($F160,'AC&amp;M'!$B$10:$B$14,0))="","Cell will autofill based on response",INDEX('AC&amp;M'!$Q$10:$Q$14,MATCH($F160,'AC&amp;M'!$B$10:$B$14,0))),"N/A")</f>
        <v/>
      </c>
      <c r="T160" s="52">
        <f>IFERROR(IF(INDEX('GCE'!$Q$10:$Q$12,MATCH($F160,'GCE'!$B$10:$B$12,0))="","Cell will autofill based on response",INDEX('GCE'!$Q$10:$Q$12,MATCH($F160,'GCE'!$B$10:$B$12,0))),"N/A")</f>
        <v/>
      </c>
      <c r="U160" s="52">
        <f>IFERROR(IF(INDEX('Education'!$Q$10:$Q$13,MATCH($F160,'Education'!$B$10:$B$13,0))="","Cell will autofill based on response",INDEX('Education'!$Q$10:$Q$13,MATCH($F160,'Education'!$B$10:$B$13,0))),"N/A")</f>
        <v/>
      </c>
      <c r="V160" s="52">
        <f>IFERROR(IF(INDEX('SaSS'!$Q$10:$Q$12,MATCH($F160,'SaSS'!$B$10:$B$12,0))="","Cell will autofill based on response",INDEX('SaSS'!$Q$10:$Q$12,MATCH($F160,'SaSS'!$B$10:$B$12,0))),"N/A")</f>
        <v/>
      </c>
      <c r="W160" s="52">
        <f>IFERROR(IF(INDEX('Indigenous'!$Q$10:$Q$11,MATCH($F160,'Indigenous'!$B$10:$B$11,0))="","Cell will autofill based on response",INDEX('Indigenous'!$Q$10:$Q$11,MATCH($F160,'Indigenous'!$B$10:$B$11,0))),"N/A")</f>
        <v/>
      </c>
      <c r="X160" s="52">
        <f>IFERROR(IF(INDEX('L&amp;R'!$Q$10:$Q$11,MATCH($F160,'L&amp;R'!$B$10:$B$11,0))="","Cell will autofill based on response",INDEX('L&amp;R'!$Q$10:$Q$11,MATCH($F160,'L&amp;R'!$B$10:$B$11,0))),"N/A")</f>
        <v/>
      </c>
    </row>
    <row r="161">
      <c r="A161">
        <f>F161&amp;"|"&amp;G161</f>
        <v/>
      </c>
      <c r="B161" s="7" t="inlineStr">
        <is>
          <t>AI1(a)</t>
        </is>
      </c>
      <c r="C161" s="50" t="inlineStr">
        <is>
          <t>Responsible AI</t>
        </is>
      </c>
      <c r="D161" s="50" t="inlineStr">
        <is>
          <t>Established measurement of estimated operational impacts and opportunities (eg operational impacts could include energy, water, emissions and intensity measures)</t>
        </is>
      </c>
      <c r="E161" s="50" t="inlineStr"/>
      <c r="F161" s="50" t="inlineStr">
        <is>
          <t>AI1(a)</t>
        </is>
      </c>
      <c r="G161" s="50" t="inlineStr">
        <is>
          <t>Confirm end-2026 target status</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3">
        <f>IF(AF161&gt;0,AE161/AF161,"No valid responses to date")</f>
        <v/>
      </c>
      <c r="AH161" s="10">
        <f>IF(ISNUMBER(AG161),INDEX(Lists!$G$2:$G$5,MATCH(ROUND(AG161,0),Lists!$H$2:$H$5,0)),"")</f>
        <v/>
      </c>
      <c r="AI161" s="54">
        <f>IF(AF161&gt;0,AD161/AF161,"")</f>
        <v/>
      </c>
      <c r="AJ161" s="54">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2">
        <f>IFERROR(IF(INDEX('Faculties'!$Q$10:$Q$19,MATCH($F166,'Faculties'!$B$10:$B$19,0))="","Cell will autofill based on response",INDEX('Faculties'!$Q$10:$Q$19,MATCH($F166,'Faculties'!$B$10:$B$19,0))),"N/A")</f>
        <v/>
      </c>
      <c r="I166" s="52">
        <f>IFERROR(IF(INDEX('Faculties'!$Q$26:$Q$35,MATCH($F166,'Faculties'!$B$26:$B$35,0))="","Cell will autofill based on response",INDEX('Faculties'!$Q$26:$Q$35,MATCH($F166,'Faculties'!$B$26:$B$35,0))),"N/A")</f>
        <v/>
      </c>
      <c r="J166" s="52">
        <f>IFERROR(IF(INDEX('Faculties'!$Q$42:$Q$51,MATCH($F166,'Faculties'!$B$42:$B$51,0))="","Cell will autofill based on response",INDEX('Faculties'!$Q$42:$Q$51,MATCH($F166,'Faculties'!$B$42:$B$51,0))),"N/A")</f>
        <v/>
      </c>
      <c r="K166" s="52">
        <f>IFERROR(IF(INDEX('Faculties'!$Q$58:$Q$67,MATCH($F166,'Faculties'!$B$58:$B$67,0))="","Cell will autofill based on response",INDEX('Faculties'!$Q$58:$Q$67,MATCH($F166,'Faculties'!$B$58:$B$67,0))),"N/A")</f>
        <v/>
      </c>
      <c r="L166" s="52">
        <f>IFERROR(IF(INDEX('CI&amp;S'!$Q$10:$Q$15,MATCH($F166,'CI&amp;S'!$B$10:$B$15,0))="","Cell will autofill based on response",INDEX('CI&amp;S'!$Q$10:$Q$15,MATCH($F166,'CI&amp;S'!$B$10:$B$15,0))),"N/A")</f>
        <v/>
      </c>
      <c r="M166" s="52">
        <f>IFERROR(IF(INDEX('CI&amp;S'!$Q$22:$Q$36,MATCH($F166,'CI&amp;S'!$B$22:$B$36,0))="","Cell will autofill based on response",INDEX('CI&amp;S'!$Q$22:$Q$36,MATCH($F166,'CI&amp;S'!$B$22:$B$36,0))),"N/A")</f>
        <v/>
      </c>
      <c r="N166" s="52">
        <f>IFERROR(IF(INDEX('CFOG'!$Q$10:$Q$16,MATCH($F166,'CFOG'!$B$10:$B$16,0))="","Cell will autofill based on response",INDEX('CFOG'!$Q$10:$Q$16,MATCH($F166,'CFOG'!$B$10:$B$16,0))),"N/A")</f>
        <v/>
      </c>
      <c r="O166" s="52">
        <f>IFERROR(IF(INDEX('CFOG'!$Q$23:$Q$24,MATCH($F166,'CFOG'!$B$23:$B$24,0))="","Cell will autofill based on response",INDEX('CFOG'!$Q$23:$Q$24,MATCH($F166,'CFOG'!$B$23:$B$24,0))),"N/A")</f>
        <v/>
      </c>
      <c r="P166" s="52">
        <f>IFERROR(IF(INDEX('ESG'!$Q$10:$Q$17,MATCH($F166,'ESG'!$B$10:$B$17,0))="","Cell will autofill based on response",INDEX('ESG'!$Q$10:$Q$17,MATCH($F166,'ESG'!$B$10:$B$17,0))),"N/A")</f>
        <v/>
      </c>
      <c r="Q166" s="52">
        <f>IFERROR(IF(INDEX('CIOG'!$Q$10:$Q$14,MATCH($F166,'CIOG'!$B$10:$B$14,0))="","Cell will autofill based on response",INDEX('CIOG'!$Q$10:$Q$14,MATCH($F166,'CIOG'!$B$10:$B$14,0))),"N/A")</f>
        <v/>
      </c>
      <c r="R166" s="52">
        <f>IFERROR(IF(INDEX('MRE'!$Q$10:$Q$18,MATCH($F166,'MRE'!$B$10:$B$18,0))="","Cell will autofill based on response",INDEX('MRE'!$Q$10:$Q$18,MATCH($F166,'MRE'!$B$10:$B$18,0))),"N/A")</f>
        <v/>
      </c>
      <c r="S166" s="52">
        <f>IFERROR(IF(INDEX('AC&amp;M'!$Q$10:$Q$14,MATCH($F166,'AC&amp;M'!$B$10:$B$14,0))="","Cell will autofill based on response",INDEX('AC&amp;M'!$Q$10:$Q$14,MATCH($F166,'AC&amp;M'!$B$10:$B$14,0))),"N/A")</f>
        <v/>
      </c>
      <c r="T166" s="52">
        <f>IFERROR(IF(INDEX('GCE'!$Q$10:$Q$12,MATCH($F166,'GCE'!$B$10:$B$12,0))="","Cell will autofill based on response",INDEX('GCE'!$Q$10:$Q$12,MATCH($F166,'GCE'!$B$10:$B$12,0))),"N/A")</f>
        <v/>
      </c>
      <c r="U166" s="52">
        <f>IFERROR(IF(INDEX('Education'!$Q$10:$Q$13,MATCH($F166,'Education'!$B$10:$B$13,0))="","Cell will autofill based on response",INDEX('Education'!$Q$10:$Q$13,MATCH($F166,'Education'!$B$10:$B$13,0))),"N/A")</f>
        <v/>
      </c>
      <c r="V166" s="52">
        <f>IFERROR(IF(INDEX('SaSS'!$Q$10:$Q$12,MATCH($F166,'SaSS'!$B$10:$B$12,0))="","Cell will autofill based on response",INDEX('SaSS'!$Q$10:$Q$12,MATCH($F166,'SaSS'!$B$10:$B$12,0))),"N/A")</f>
        <v/>
      </c>
      <c r="W166" s="52">
        <f>IFERROR(IF(INDEX('Indigenous'!$Q$10:$Q$11,MATCH($F166,'Indigenous'!$B$10:$B$11,0))="","Cell will autofill based on response",INDEX('Indigenous'!$Q$10:$Q$11,MATCH($F166,'Indigenous'!$B$10:$B$11,0))),"N/A")</f>
        <v/>
      </c>
      <c r="X166" s="52">
        <f>IFERROR(IF(INDEX('L&amp;R'!$Q$10:$Q$11,MATCH($F166,'L&amp;R'!$B$10:$B$11,0))="","Cell will autofill based on response",INDEX('L&amp;R'!$Q$10:$Q$11,MATCH($F166,'L&amp;R'!$B$10:$B$11,0))),"N/A")</f>
        <v/>
      </c>
    </row>
    <row r="167">
      <c r="A167">
        <f>F167&amp;"|"&amp;G167</f>
        <v/>
      </c>
      <c r="B167" s="7" t="inlineStr">
        <is>
          <t>AI1(b)</t>
        </is>
      </c>
      <c r="C167" s="50" t="inlineStr">
        <is>
          <t>Responsible AI</t>
        </is>
      </c>
      <c r="D167" s="50" t="inlineStr">
        <is>
          <t>Case studies of sustainability and AI-related education, research and collaboration activities.</t>
        </is>
      </c>
      <c r="E167" s="50" t="inlineStr">
        <is>
          <t>Please provide case studies from your Faculty/Portfolio of sustainability and AI-related education, research or collaboration activities, describing the activity, participants or partners, sustainability issue addressed and key outcomes or lessons.</t>
        </is>
      </c>
      <c r="F167" s="50" t="inlineStr">
        <is>
          <t>AI1(b)</t>
        </is>
      </c>
      <c r="G167" s="50" t="inlineStr">
        <is>
          <t>Confirm end-2026 target status</t>
        </is>
      </c>
      <c r="H167" s="52">
        <f>IFERROR(IF(INDEX('Faculties'!$L$10:$L$19,MATCH($F167,'Faculties'!$B$10:$B$19,0))="","Cell will autofill based on response",INDEX('Faculties'!$L$10:$L$19,MATCH($F167,'Faculties'!$B$10:$B$19,0))),"N/A")</f>
        <v/>
      </c>
      <c r="I167" s="52">
        <f>IFERROR(IF(INDEX('Faculties'!$L$26:$L$35,MATCH($F167,'Faculties'!$B$26:$B$35,0))="","Cell will autofill based on response",INDEX('Faculties'!$L$26:$L$35,MATCH($F167,'Faculties'!$B$26:$B$35,0))),"N/A")</f>
        <v/>
      </c>
      <c r="J167" s="52">
        <f>IFERROR(IF(INDEX('Faculties'!$L$42:$L$51,MATCH($F167,'Faculties'!$B$42:$B$51,0))="","Cell will autofill based on response",INDEX('Faculties'!$L$42:$L$51,MATCH($F167,'Faculties'!$B$42:$B$51,0))),"N/A")</f>
        <v/>
      </c>
      <c r="K167" s="52">
        <f>IFERROR(IF(INDEX('Faculties'!$L$58:$L$67,MATCH($F167,'Faculties'!$B$58:$B$67,0))="","Cell will autofill based on response",INDEX('Faculties'!$L$58:$L$67,MATCH($F167,'Faculties'!$B$58:$B$67,0))),"N/A")</f>
        <v/>
      </c>
      <c r="L167" s="52">
        <f>IFERROR(IF(INDEX('CI&amp;S'!$L$10:$L$15,MATCH($F167,'CI&amp;S'!$B$10:$B$15,0))="","Cell will autofill based on response",INDEX('CI&amp;S'!$L$10:$L$15,MATCH($F167,'CI&amp;S'!$B$10:$B$15,0))),"N/A")</f>
        <v/>
      </c>
      <c r="M167" s="52">
        <f>IFERROR(IF(INDEX('CI&amp;S'!$L$22:$L$36,MATCH($F167,'CI&amp;S'!$B$22:$B$36,0))="","Cell will autofill based on response",INDEX('CI&amp;S'!$L$22:$L$36,MATCH($F167,'CI&amp;S'!$B$22:$B$36,0))),"N/A")</f>
        <v/>
      </c>
      <c r="N167" s="52">
        <f>IFERROR(IF(INDEX('CFOG'!$L$10:$L$16,MATCH($F167,'CFOG'!$B$10:$B$16,0))="","Cell will autofill based on response",INDEX('CFOG'!$L$10:$L$16,MATCH($F167,'CFOG'!$B$10:$B$16,0))),"N/A")</f>
        <v/>
      </c>
      <c r="O167" s="52">
        <f>IFERROR(IF(INDEX('CFOG'!$L$23:$L$24,MATCH($F167,'CFOG'!$B$23:$B$24,0))="","Cell will autofill based on response",INDEX('CFOG'!$L$23:$L$24,MATCH($F167,'CFOG'!$B$23:$B$24,0))),"N/A")</f>
        <v/>
      </c>
      <c r="P167" s="52">
        <f>IFERROR(IF(INDEX('ESG'!$L$10:$L$17,MATCH($F167,'ESG'!$B$10:$B$17,0))="","Cell will autofill based on response",INDEX('ESG'!$L$10:$L$17,MATCH($F167,'ESG'!$B$10:$B$17,0))),"N/A")</f>
        <v/>
      </c>
      <c r="Q167" s="52">
        <f>IFERROR(IF(INDEX('CIOG'!$L$10:$L$14,MATCH($F167,'CIOG'!$B$10:$B$14,0))="","Cell will autofill based on response",INDEX('CIOG'!$L$10:$L$14,MATCH($F167,'CIOG'!$B$10:$B$14,0))),"N/A")</f>
        <v/>
      </c>
      <c r="R167" s="52">
        <f>IFERROR(IF(INDEX('MRE'!$L$10:$L$18,MATCH($F167,'MRE'!$B$10:$B$18,0))="","Cell will autofill based on response",INDEX('MRE'!$L$10:$L$18,MATCH($F167,'MRE'!$B$10:$B$18,0))),"N/A")</f>
        <v/>
      </c>
      <c r="S167" s="52">
        <f>IFERROR(IF(INDEX('AC&amp;M'!$L$10:$L$14,MATCH($F167,'AC&amp;M'!$B$10:$B$14,0))="","Cell will autofill based on response",INDEX('AC&amp;M'!$L$10:$L$14,MATCH($F167,'AC&amp;M'!$B$10:$B$14,0))),"N/A")</f>
        <v/>
      </c>
      <c r="T167" s="52">
        <f>IFERROR(IF(INDEX('GCE'!$L$10:$L$12,MATCH($F167,'GCE'!$B$10:$B$12,0))="","Cell will autofill based on response",INDEX('GCE'!$L$10:$L$12,MATCH($F167,'GCE'!$B$10:$B$12,0))),"N/A")</f>
        <v/>
      </c>
      <c r="U167" s="52">
        <f>IFERROR(IF(INDEX('Education'!$L$10:$L$13,MATCH($F167,'Education'!$B$10:$B$13,0))="","Cell will autofill based on response",INDEX('Education'!$L$10:$L$13,MATCH($F167,'Education'!$B$10:$B$13,0))),"N/A")</f>
        <v/>
      </c>
      <c r="V167" s="52">
        <f>IFERROR(IF(INDEX('SaSS'!$L$10:$L$12,MATCH($F167,'SaSS'!$B$10:$B$12,0))="","Cell will autofill based on response",INDEX('SaSS'!$L$10:$L$12,MATCH($F167,'SaSS'!$B$10:$B$12,0))),"N/A")</f>
        <v/>
      </c>
      <c r="W167" s="52">
        <f>IFERROR(IF(INDEX('Indigenous'!$L$10:$L$11,MATCH($F167,'Indigenous'!$B$10:$B$11,0))="","Cell will autofill based on response",INDEX('Indigenous'!$L$10:$L$11,MATCH($F167,'Indigenous'!$B$10:$B$11,0))),"N/A")</f>
        <v/>
      </c>
      <c r="X167" s="52">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3">
        <f>IF(AF167&gt;0,AE167/AF167,"No valid responses to date")</f>
        <v/>
      </c>
      <c r="AH167" s="10">
        <f>IF(ISNUMBER(AG167),INDEX(Lists!$G$2:$G$5,MATCH(ROUND(AG167,0),Lists!$H$2:$H$5,0)),"")</f>
        <v/>
      </c>
      <c r="AI167" s="54">
        <f>IF(AF167&gt;0,AD167/AF167,"")</f>
        <v/>
      </c>
      <c r="AJ167" s="54">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2">
        <f>IFERROR(IF(INDEX('Faculties'!$M$10:$M$19,MATCH($F168,'Faculties'!$B$10:$B$19,0))="","Cell will autofill based on response",INDEX('Faculties'!$M$10:$M$19,MATCH($F168,'Faculties'!$B$10:$B$19,0))),"N/A")</f>
        <v/>
      </c>
      <c r="I168" s="52">
        <f>IFERROR(IF(INDEX('Faculties'!$M$26:$M$35,MATCH($F168,'Faculties'!$B$26:$B$35,0))="","Cell will autofill based on response",INDEX('Faculties'!$M$26:$M$35,MATCH($F168,'Faculties'!$B$26:$B$35,0))),"N/A")</f>
        <v/>
      </c>
      <c r="J168" s="52">
        <f>IFERROR(IF(INDEX('Faculties'!$M$42:$M$51,MATCH($F168,'Faculties'!$B$42:$B$51,0))="","Cell will autofill based on response",INDEX('Faculties'!$M$42:$M$51,MATCH($F168,'Faculties'!$B$42:$B$51,0))),"N/A")</f>
        <v/>
      </c>
      <c r="K168" s="52">
        <f>IFERROR(IF(INDEX('Faculties'!$M$58:$M$67,MATCH($F168,'Faculties'!$B$58:$B$67,0))="","Cell will autofill based on response",INDEX('Faculties'!$M$58:$M$67,MATCH($F168,'Faculties'!$B$58:$B$67,0))),"N/A")</f>
        <v/>
      </c>
      <c r="L168" s="52">
        <f>IFERROR(IF(INDEX('CI&amp;S'!$M$10:$M$15,MATCH($F168,'CI&amp;S'!$B$10:$B$15,0))="","Cell will autofill based on response",INDEX('CI&amp;S'!$M$10:$M$15,MATCH($F168,'CI&amp;S'!$B$10:$B$15,0))),"N/A")</f>
        <v/>
      </c>
      <c r="M168" s="52">
        <f>IFERROR(IF(INDEX('CI&amp;S'!$M$22:$M$36,MATCH($F168,'CI&amp;S'!$B$22:$B$36,0))="","Cell will autofill based on response",INDEX('CI&amp;S'!$M$22:$M$36,MATCH($F168,'CI&amp;S'!$B$22:$B$36,0))),"N/A")</f>
        <v/>
      </c>
      <c r="N168" s="52">
        <f>IFERROR(IF(INDEX('CFOG'!$M$10:$M$16,MATCH($F168,'CFOG'!$B$10:$B$16,0))="","Cell will autofill based on response",INDEX('CFOG'!$M$10:$M$16,MATCH($F168,'CFOG'!$B$10:$B$16,0))),"N/A")</f>
        <v/>
      </c>
      <c r="O168" s="52">
        <f>IFERROR(IF(INDEX('CFOG'!$M$23:$M$24,MATCH($F168,'CFOG'!$B$23:$B$24,0))="","Cell will autofill based on response",INDEX('CFOG'!$M$23:$M$24,MATCH($F168,'CFOG'!$B$23:$B$24,0))),"N/A")</f>
        <v/>
      </c>
      <c r="P168" s="52">
        <f>IFERROR(IF(INDEX('ESG'!$M$10:$M$17,MATCH($F168,'ESG'!$B$10:$B$17,0))="","Cell will autofill based on response",INDEX('ESG'!$M$10:$M$17,MATCH($F168,'ESG'!$B$10:$B$17,0))),"N/A")</f>
        <v/>
      </c>
      <c r="Q168" s="52">
        <f>IFERROR(IF(INDEX('CIOG'!$M$10:$M$14,MATCH($F168,'CIOG'!$B$10:$B$14,0))="","Cell will autofill based on response",INDEX('CIOG'!$M$10:$M$14,MATCH($F168,'CIOG'!$B$10:$B$14,0))),"N/A")</f>
        <v/>
      </c>
      <c r="R168" s="52">
        <f>IFERROR(IF(INDEX('MRE'!$M$10:$M$18,MATCH($F168,'MRE'!$B$10:$B$18,0))="","Cell will autofill based on response",INDEX('MRE'!$M$10:$M$18,MATCH($F168,'MRE'!$B$10:$B$18,0))),"N/A")</f>
        <v/>
      </c>
      <c r="S168" s="52">
        <f>IFERROR(IF(INDEX('AC&amp;M'!$M$10:$M$14,MATCH($F168,'AC&amp;M'!$B$10:$B$14,0))="","Cell will autofill based on response",INDEX('AC&amp;M'!$M$10:$M$14,MATCH($F168,'AC&amp;M'!$B$10:$B$14,0))),"N/A")</f>
        <v/>
      </c>
      <c r="T168" s="52">
        <f>IFERROR(IF(INDEX('GCE'!$M$10:$M$12,MATCH($F168,'GCE'!$B$10:$B$12,0))="","Cell will autofill based on response",INDEX('GCE'!$M$10:$M$12,MATCH($F168,'GCE'!$B$10:$B$12,0))),"N/A")</f>
        <v/>
      </c>
      <c r="U168" s="52">
        <f>IFERROR(IF(INDEX('Education'!$M$10:$M$13,MATCH($F168,'Education'!$B$10:$B$13,0))="","Cell will autofill based on response",INDEX('Education'!$M$10:$M$13,MATCH($F168,'Education'!$B$10:$B$13,0))),"N/A")</f>
        <v/>
      </c>
      <c r="V168" s="52">
        <f>IFERROR(IF(INDEX('SaSS'!$M$10:$M$12,MATCH($F168,'SaSS'!$B$10:$B$12,0))="","Cell will autofill based on response",INDEX('SaSS'!$M$10:$M$12,MATCH($F168,'SaSS'!$B$10:$B$12,0))),"N/A")</f>
        <v/>
      </c>
      <c r="W168" s="52">
        <f>IFERROR(IF(INDEX('Indigenous'!$M$10:$M$11,MATCH($F168,'Indigenous'!$B$10:$B$11,0))="","Cell will autofill based on response",INDEX('Indigenous'!$M$10:$M$11,MATCH($F168,'Indigenous'!$B$10:$B$11,0))),"N/A")</f>
        <v/>
      </c>
      <c r="X168" s="52">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2">
        <f>IFERROR(IF(INDEX('Faculties'!$N$10:$N$19,MATCH($F169,'Faculties'!$B$10:$B$19,0))="","Cell will autofill based on response",INDEX('Faculties'!$N$10:$N$19,MATCH($F169,'Faculties'!$B$10:$B$19,0))),"N/A")</f>
        <v/>
      </c>
      <c r="I169" s="52">
        <f>IFERROR(IF(INDEX('Faculties'!$N$26:$N$35,MATCH($F169,'Faculties'!$B$26:$B$35,0))="","Cell will autofill based on response",INDEX('Faculties'!$N$26:$N$35,MATCH($F169,'Faculties'!$B$26:$B$35,0))),"N/A")</f>
        <v/>
      </c>
      <c r="J169" s="52">
        <f>IFERROR(IF(INDEX('Faculties'!$N$42:$N$51,MATCH($F169,'Faculties'!$B$42:$B$51,0))="","Cell will autofill based on response",INDEX('Faculties'!$N$42:$N$51,MATCH($F169,'Faculties'!$B$42:$B$51,0))),"N/A")</f>
        <v/>
      </c>
      <c r="K169" s="52">
        <f>IFERROR(IF(INDEX('Faculties'!$N$58:$N$67,MATCH($F169,'Faculties'!$B$58:$B$67,0))="","Cell will autofill based on response",INDEX('Faculties'!$N$58:$N$67,MATCH($F169,'Faculties'!$B$58:$B$67,0))),"N/A")</f>
        <v/>
      </c>
      <c r="L169" s="52">
        <f>IFERROR(IF(INDEX('CI&amp;S'!$N$10:$N$15,MATCH($F169,'CI&amp;S'!$B$10:$B$15,0))="","Cell will autofill based on response",INDEX('CI&amp;S'!$N$10:$N$15,MATCH($F169,'CI&amp;S'!$B$10:$B$15,0))),"N/A")</f>
        <v/>
      </c>
      <c r="M169" s="52">
        <f>IFERROR(IF(INDEX('CI&amp;S'!$N$22:$N$36,MATCH($F169,'CI&amp;S'!$B$22:$B$36,0))="","Cell will autofill based on response",INDEX('CI&amp;S'!$N$22:$N$36,MATCH($F169,'CI&amp;S'!$B$22:$B$36,0))),"N/A")</f>
        <v/>
      </c>
      <c r="N169" s="52">
        <f>IFERROR(IF(INDEX('CFOG'!$N$10:$N$16,MATCH($F169,'CFOG'!$B$10:$B$16,0))="","Cell will autofill based on response",INDEX('CFOG'!$N$10:$N$16,MATCH($F169,'CFOG'!$B$10:$B$16,0))),"N/A")</f>
        <v/>
      </c>
      <c r="O169" s="52">
        <f>IFERROR(IF(INDEX('CFOG'!$N$23:$N$24,MATCH($F169,'CFOG'!$B$23:$B$24,0))="","Cell will autofill based on response",INDEX('CFOG'!$N$23:$N$24,MATCH($F169,'CFOG'!$B$23:$B$24,0))),"N/A")</f>
        <v/>
      </c>
      <c r="P169" s="52">
        <f>IFERROR(IF(INDEX('ESG'!$N$10:$N$17,MATCH($F169,'ESG'!$B$10:$B$17,0))="","Cell will autofill based on response",INDEX('ESG'!$N$10:$N$17,MATCH($F169,'ESG'!$B$10:$B$17,0))),"N/A")</f>
        <v/>
      </c>
      <c r="Q169" s="52">
        <f>IFERROR(IF(INDEX('CIOG'!$N$10:$N$14,MATCH($F169,'CIOG'!$B$10:$B$14,0))="","Cell will autofill based on response",INDEX('CIOG'!$N$10:$N$14,MATCH($F169,'CIOG'!$B$10:$B$14,0))),"N/A")</f>
        <v/>
      </c>
      <c r="R169" s="52">
        <f>IFERROR(IF(INDEX('MRE'!$N$10:$N$18,MATCH($F169,'MRE'!$B$10:$B$18,0))="","Cell will autofill based on response",INDEX('MRE'!$N$10:$N$18,MATCH($F169,'MRE'!$B$10:$B$18,0))),"N/A")</f>
        <v/>
      </c>
      <c r="S169" s="52">
        <f>IFERROR(IF(INDEX('AC&amp;M'!$N$10:$N$14,MATCH($F169,'AC&amp;M'!$B$10:$B$14,0))="","Cell will autofill based on response",INDEX('AC&amp;M'!$N$10:$N$14,MATCH($F169,'AC&amp;M'!$B$10:$B$14,0))),"N/A")</f>
        <v/>
      </c>
      <c r="T169" s="52">
        <f>IFERROR(IF(INDEX('GCE'!$N$10:$N$12,MATCH($F169,'GCE'!$B$10:$B$12,0))="","Cell will autofill based on response",INDEX('GCE'!$N$10:$N$12,MATCH($F169,'GCE'!$B$10:$B$12,0))),"N/A")</f>
        <v/>
      </c>
      <c r="U169" s="52">
        <f>IFERROR(IF(INDEX('Education'!$N$10:$N$13,MATCH($F169,'Education'!$B$10:$B$13,0))="","Cell will autofill based on response",INDEX('Education'!$N$10:$N$13,MATCH($F169,'Education'!$B$10:$B$13,0))),"N/A")</f>
        <v/>
      </c>
      <c r="V169" s="52">
        <f>IFERROR(IF(INDEX('SaSS'!$N$10:$N$12,MATCH($F169,'SaSS'!$B$10:$B$12,0))="","Cell will autofill based on response",INDEX('SaSS'!$N$10:$N$12,MATCH($F169,'SaSS'!$B$10:$B$12,0))),"N/A")</f>
        <v/>
      </c>
      <c r="W169" s="52">
        <f>IFERROR(IF(INDEX('Indigenous'!$N$10:$N$11,MATCH($F169,'Indigenous'!$B$10:$B$11,0))="","Cell will autofill based on response",INDEX('Indigenous'!$N$10:$N$11,MATCH($F169,'Indigenous'!$B$10:$B$11,0))),"N/A")</f>
        <v/>
      </c>
      <c r="X169" s="52">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2">
        <f>IFERROR(IF(INDEX('Faculties'!$O$10:$O$19,MATCH($F170,'Faculties'!$B$10:$B$19,0))="","Cell will autofill based on response",INDEX('Faculties'!$O$10:$O$19,MATCH($F170,'Faculties'!$B$10:$B$19,0))),"N/A")</f>
        <v/>
      </c>
      <c r="I170" s="52">
        <f>IFERROR(IF(INDEX('Faculties'!$O$26:$O$35,MATCH($F170,'Faculties'!$B$26:$B$35,0))="","Cell will autofill based on response",INDEX('Faculties'!$O$26:$O$35,MATCH($F170,'Faculties'!$B$26:$B$35,0))),"N/A")</f>
        <v/>
      </c>
      <c r="J170" s="52">
        <f>IFERROR(IF(INDEX('Faculties'!$O$42:$O$51,MATCH($F170,'Faculties'!$B$42:$B$51,0))="","Cell will autofill based on response",INDEX('Faculties'!$O$42:$O$51,MATCH($F170,'Faculties'!$B$42:$B$51,0))),"N/A")</f>
        <v/>
      </c>
      <c r="K170" s="52">
        <f>IFERROR(IF(INDEX('Faculties'!$O$58:$O$67,MATCH($F170,'Faculties'!$B$58:$B$67,0))="","Cell will autofill based on response",INDEX('Faculties'!$O$58:$O$67,MATCH($F170,'Faculties'!$B$58:$B$67,0))),"N/A")</f>
        <v/>
      </c>
      <c r="L170" s="52">
        <f>IFERROR(IF(INDEX('CI&amp;S'!$O$10:$O$15,MATCH($F170,'CI&amp;S'!$B$10:$B$15,0))="","Cell will autofill based on response",INDEX('CI&amp;S'!$O$10:$O$15,MATCH($F170,'CI&amp;S'!$B$10:$B$15,0))),"N/A")</f>
        <v/>
      </c>
      <c r="M170" s="52">
        <f>IFERROR(IF(INDEX('CI&amp;S'!$O$22:$O$36,MATCH($F170,'CI&amp;S'!$B$22:$B$36,0))="","Cell will autofill based on response",INDEX('CI&amp;S'!$O$22:$O$36,MATCH($F170,'CI&amp;S'!$B$22:$B$36,0))),"N/A")</f>
        <v/>
      </c>
      <c r="N170" s="52">
        <f>IFERROR(IF(INDEX('CFOG'!$O$10:$O$16,MATCH($F170,'CFOG'!$B$10:$B$16,0))="","Cell will autofill based on response",INDEX('CFOG'!$O$10:$O$16,MATCH($F170,'CFOG'!$B$10:$B$16,0))),"N/A")</f>
        <v/>
      </c>
      <c r="O170" s="52">
        <f>IFERROR(IF(INDEX('CFOG'!$O$23:$O$24,MATCH($F170,'CFOG'!$B$23:$B$24,0))="","Cell will autofill based on response",INDEX('CFOG'!$O$23:$O$24,MATCH($F170,'CFOG'!$B$23:$B$24,0))),"N/A")</f>
        <v/>
      </c>
      <c r="P170" s="52">
        <f>IFERROR(IF(INDEX('ESG'!$O$10:$O$17,MATCH($F170,'ESG'!$B$10:$B$17,0))="","Cell will autofill based on response",INDEX('ESG'!$O$10:$O$17,MATCH($F170,'ESG'!$B$10:$B$17,0))),"N/A")</f>
        <v/>
      </c>
      <c r="Q170" s="52">
        <f>IFERROR(IF(INDEX('CIOG'!$O$10:$O$14,MATCH($F170,'CIOG'!$B$10:$B$14,0))="","Cell will autofill based on response",INDEX('CIOG'!$O$10:$O$14,MATCH($F170,'CIOG'!$B$10:$B$14,0))),"N/A")</f>
        <v/>
      </c>
      <c r="R170" s="52">
        <f>IFERROR(IF(INDEX('MRE'!$O$10:$O$18,MATCH($F170,'MRE'!$B$10:$B$18,0))="","Cell will autofill based on response",INDEX('MRE'!$O$10:$O$18,MATCH($F170,'MRE'!$B$10:$B$18,0))),"N/A")</f>
        <v/>
      </c>
      <c r="S170" s="52">
        <f>IFERROR(IF(INDEX('AC&amp;M'!$O$10:$O$14,MATCH($F170,'AC&amp;M'!$B$10:$B$14,0))="","Cell will autofill based on response",INDEX('AC&amp;M'!$O$10:$O$14,MATCH($F170,'AC&amp;M'!$B$10:$B$14,0))),"N/A")</f>
        <v/>
      </c>
      <c r="T170" s="52">
        <f>IFERROR(IF(INDEX('GCE'!$O$10:$O$12,MATCH($F170,'GCE'!$B$10:$B$12,0))="","Cell will autofill based on response",INDEX('GCE'!$O$10:$O$12,MATCH($F170,'GCE'!$B$10:$B$12,0))),"N/A")</f>
        <v/>
      </c>
      <c r="U170" s="52">
        <f>IFERROR(IF(INDEX('Education'!$O$10:$O$13,MATCH($F170,'Education'!$B$10:$B$13,0))="","Cell will autofill based on response",INDEX('Education'!$O$10:$O$13,MATCH($F170,'Education'!$B$10:$B$13,0))),"N/A")</f>
        <v/>
      </c>
      <c r="V170" s="52">
        <f>IFERROR(IF(INDEX('SaSS'!$O$10:$O$12,MATCH($F170,'SaSS'!$B$10:$B$12,0))="","Cell will autofill based on response",INDEX('SaSS'!$O$10:$O$12,MATCH($F170,'SaSS'!$B$10:$B$12,0))),"N/A")</f>
        <v/>
      </c>
      <c r="W170" s="52">
        <f>IFERROR(IF(INDEX('Indigenous'!$O$10:$O$11,MATCH($F170,'Indigenous'!$B$10:$B$11,0))="","Cell will autofill based on response",INDEX('Indigenous'!$O$10:$O$11,MATCH($F170,'Indigenous'!$B$10:$B$11,0))),"N/A")</f>
        <v/>
      </c>
      <c r="X170" s="52">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2">
        <f>IFERROR(IF(INDEX('Faculties'!$P$10:$P$19,MATCH($F171,'Faculties'!$B$10:$B$19,0))="","Cell will autofill based on response",INDEX('Faculties'!$P$10:$P$19,MATCH($F171,'Faculties'!$B$10:$B$19,0))),"N/A")</f>
        <v/>
      </c>
      <c r="I171" s="52">
        <f>IFERROR(IF(INDEX('Faculties'!$P$26:$P$35,MATCH($F171,'Faculties'!$B$26:$B$35,0))="","Cell will autofill based on response",INDEX('Faculties'!$P$26:$P$35,MATCH($F171,'Faculties'!$B$26:$B$35,0))),"N/A")</f>
        <v/>
      </c>
      <c r="J171" s="52">
        <f>IFERROR(IF(INDEX('Faculties'!$P$42:$P$51,MATCH($F171,'Faculties'!$B$42:$B$51,0))="","Cell will autofill based on response",INDEX('Faculties'!$P$42:$P$51,MATCH($F171,'Faculties'!$B$42:$B$51,0))),"N/A")</f>
        <v/>
      </c>
      <c r="K171" s="52">
        <f>IFERROR(IF(INDEX('Faculties'!$P$58:$P$67,MATCH($F171,'Faculties'!$B$58:$B$67,0))="","Cell will autofill based on response",INDEX('Faculties'!$P$58:$P$67,MATCH($F171,'Faculties'!$B$58:$B$67,0))),"N/A")</f>
        <v/>
      </c>
      <c r="L171" s="52">
        <f>IFERROR(IF(INDEX('CI&amp;S'!$P$10:$P$15,MATCH($F171,'CI&amp;S'!$B$10:$B$15,0))="","Cell will autofill based on response",INDEX('CI&amp;S'!$P$10:$P$15,MATCH($F171,'CI&amp;S'!$B$10:$B$15,0))),"N/A")</f>
        <v/>
      </c>
      <c r="M171" s="52">
        <f>IFERROR(IF(INDEX('CI&amp;S'!$P$22:$P$36,MATCH($F171,'CI&amp;S'!$B$22:$B$36,0))="","Cell will autofill based on response",INDEX('CI&amp;S'!$P$22:$P$36,MATCH($F171,'CI&amp;S'!$B$22:$B$36,0))),"N/A")</f>
        <v/>
      </c>
      <c r="N171" s="52">
        <f>IFERROR(IF(INDEX('CFOG'!$P$10:$P$16,MATCH($F171,'CFOG'!$B$10:$B$16,0))="","Cell will autofill based on response",INDEX('CFOG'!$P$10:$P$16,MATCH($F171,'CFOG'!$B$10:$B$16,0))),"N/A")</f>
        <v/>
      </c>
      <c r="O171" s="52">
        <f>IFERROR(IF(INDEX('CFOG'!$P$23:$P$24,MATCH($F171,'CFOG'!$B$23:$B$24,0))="","Cell will autofill based on response",INDEX('CFOG'!$P$23:$P$24,MATCH($F171,'CFOG'!$B$23:$B$24,0))),"N/A")</f>
        <v/>
      </c>
      <c r="P171" s="52">
        <f>IFERROR(IF(INDEX('ESG'!$P$10:$P$17,MATCH($F171,'ESG'!$B$10:$B$17,0))="","Cell will autofill based on response",INDEX('ESG'!$P$10:$P$17,MATCH($F171,'ESG'!$B$10:$B$17,0))),"N/A")</f>
        <v/>
      </c>
      <c r="Q171" s="52">
        <f>IFERROR(IF(INDEX('CIOG'!$P$10:$P$14,MATCH($F171,'CIOG'!$B$10:$B$14,0))="","Cell will autofill based on response",INDEX('CIOG'!$P$10:$P$14,MATCH($F171,'CIOG'!$B$10:$B$14,0))),"N/A")</f>
        <v/>
      </c>
      <c r="R171" s="52">
        <f>IFERROR(IF(INDEX('MRE'!$P$10:$P$18,MATCH($F171,'MRE'!$B$10:$B$18,0))="","Cell will autofill based on response",INDEX('MRE'!$P$10:$P$18,MATCH($F171,'MRE'!$B$10:$B$18,0))),"N/A")</f>
        <v/>
      </c>
      <c r="S171" s="52">
        <f>IFERROR(IF(INDEX('AC&amp;M'!$P$10:$P$14,MATCH($F171,'AC&amp;M'!$B$10:$B$14,0))="","Cell will autofill based on response",INDEX('AC&amp;M'!$P$10:$P$14,MATCH($F171,'AC&amp;M'!$B$10:$B$14,0))),"N/A")</f>
        <v/>
      </c>
      <c r="T171" s="52">
        <f>IFERROR(IF(INDEX('GCE'!$P$10:$P$12,MATCH($F171,'GCE'!$B$10:$B$12,0))="","Cell will autofill based on response",INDEX('GCE'!$P$10:$P$12,MATCH($F171,'GCE'!$B$10:$B$12,0))),"N/A")</f>
        <v/>
      </c>
      <c r="U171" s="52">
        <f>IFERROR(IF(INDEX('Education'!$P$10:$P$13,MATCH($F171,'Education'!$B$10:$B$13,0))="","Cell will autofill based on response",INDEX('Education'!$P$10:$P$13,MATCH($F171,'Education'!$B$10:$B$13,0))),"N/A")</f>
        <v/>
      </c>
      <c r="V171" s="52">
        <f>IFERROR(IF(INDEX('SaSS'!$P$10:$P$12,MATCH($F171,'SaSS'!$B$10:$B$12,0))="","Cell will autofill based on response",INDEX('SaSS'!$P$10:$P$12,MATCH($F171,'SaSS'!$B$10:$B$12,0))),"N/A")</f>
        <v/>
      </c>
      <c r="W171" s="52">
        <f>IFERROR(IF(INDEX('Indigenous'!$P$10:$P$11,MATCH($F171,'Indigenous'!$B$10:$B$11,0))="","Cell will autofill based on response",INDEX('Indigenous'!$P$10:$P$11,MATCH($F171,'Indigenous'!$B$10:$B$11,0))),"N/A")</f>
        <v/>
      </c>
      <c r="X171" s="52">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2">
        <f>IFERROR(IF(INDEX('Faculties'!$Q$10:$Q$19,MATCH($F172,'Faculties'!$B$10:$B$19,0))="","Cell will autofill based on response",INDEX('Faculties'!$Q$10:$Q$19,MATCH($F172,'Faculties'!$B$10:$B$19,0))),"N/A")</f>
        <v/>
      </c>
      <c r="I172" s="52">
        <f>IFERROR(IF(INDEX('Faculties'!$Q$26:$Q$35,MATCH($F172,'Faculties'!$B$26:$B$35,0))="","Cell will autofill based on response",INDEX('Faculties'!$Q$26:$Q$35,MATCH($F172,'Faculties'!$B$26:$B$35,0))),"N/A")</f>
        <v/>
      </c>
      <c r="J172" s="52">
        <f>IFERROR(IF(INDEX('Faculties'!$Q$42:$Q$51,MATCH($F172,'Faculties'!$B$42:$B$51,0))="","Cell will autofill based on response",INDEX('Faculties'!$Q$42:$Q$51,MATCH($F172,'Faculties'!$B$42:$B$51,0))),"N/A")</f>
        <v/>
      </c>
      <c r="K172" s="52">
        <f>IFERROR(IF(INDEX('Faculties'!$Q$58:$Q$67,MATCH($F172,'Faculties'!$B$58:$B$67,0))="","Cell will autofill based on response",INDEX('Faculties'!$Q$58:$Q$67,MATCH($F172,'Faculties'!$B$58:$B$67,0))),"N/A")</f>
        <v/>
      </c>
      <c r="L172" s="52">
        <f>IFERROR(IF(INDEX('CI&amp;S'!$Q$10:$Q$15,MATCH($F172,'CI&amp;S'!$B$10:$B$15,0))="","Cell will autofill based on response",INDEX('CI&amp;S'!$Q$10:$Q$15,MATCH($F172,'CI&amp;S'!$B$10:$B$15,0))),"N/A")</f>
        <v/>
      </c>
      <c r="M172" s="52">
        <f>IFERROR(IF(INDEX('CI&amp;S'!$Q$22:$Q$36,MATCH($F172,'CI&amp;S'!$B$22:$B$36,0))="","Cell will autofill based on response",INDEX('CI&amp;S'!$Q$22:$Q$36,MATCH($F172,'CI&amp;S'!$B$22:$B$36,0))),"N/A")</f>
        <v/>
      </c>
      <c r="N172" s="52">
        <f>IFERROR(IF(INDEX('CFOG'!$Q$10:$Q$16,MATCH($F172,'CFOG'!$B$10:$B$16,0))="","Cell will autofill based on response",INDEX('CFOG'!$Q$10:$Q$16,MATCH($F172,'CFOG'!$B$10:$B$16,0))),"N/A")</f>
        <v/>
      </c>
      <c r="O172" s="52">
        <f>IFERROR(IF(INDEX('CFOG'!$Q$23:$Q$24,MATCH($F172,'CFOG'!$B$23:$B$24,0))="","Cell will autofill based on response",INDEX('CFOG'!$Q$23:$Q$24,MATCH($F172,'CFOG'!$B$23:$B$24,0))),"N/A")</f>
        <v/>
      </c>
      <c r="P172" s="52">
        <f>IFERROR(IF(INDEX('ESG'!$Q$10:$Q$17,MATCH($F172,'ESG'!$B$10:$B$17,0))="","Cell will autofill based on response",INDEX('ESG'!$Q$10:$Q$17,MATCH($F172,'ESG'!$B$10:$B$17,0))),"N/A")</f>
        <v/>
      </c>
      <c r="Q172" s="52">
        <f>IFERROR(IF(INDEX('CIOG'!$Q$10:$Q$14,MATCH($F172,'CIOG'!$B$10:$B$14,0))="","Cell will autofill based on response",INDEX('CIOG'!$Q$10:$Q$14,MATCH($F172,'CIOG'!$B$10:$B$14,0))),"N/A")</f>
        <v/>
      </c>
      <c r="R172" s="52">
        <f>IFERROR(IF(INDEX('MRE'!$Q$10:$Q$18,MATCH($F172,'MRE'!$B$10:$B$18,0))="","Cell will autofill based on response",INDEX('MRE'!$Q$10:$Q$18,MATCH($F172,'MRE'!$B$10:$B$18,0))),"N/A")</f>
        <v/>
      </c>
      <c r="S172" s="52">
        <f>IFERROR(IF(INDEX('AC&amp;M'!$Q$10:$Q$14,MATCH($F172,'AC&amp;M'!$B$10:$B$14,0))="","Cell will autofill based on response",INDEX('AC&amp;M'!$Q$10:$Q$14,MATCH($F172,'AC&amp;M'!$B$10:$B$14,0))),"N/A")</f>
        <v/>
      </c>
      <c r="T172" s="52">
        <f>IFERROR(IF(INDEX('GCE'!$Q$10:$Q$12,MATCH($F172,'GCE'!$B$10:$B$12,0))="","Cell will autofill based on response",INDEX('GCE'!$Q$10:$Q$12,MATCH($F172,'GCE'!$B$10:$B$12,0))),"N/A")</f>
        <v/>
      </c>
      <c r="U172" s="52">
        <f>IFERROR(IF(INDEX('Education'!$Q$10:$Q$13,MATCH($F172,'Education'!$B$10:$B$13,0))="","Cell will autofill based on response",INDEX('Education'!$Q$10:$Q$13,MATCH($F172,'Education'!$B$10:$B$13,0))),"N/A")</f>
        <v/>
      </c>
      <c r="V172" s="52">
        <f>IFERROR(IF(INDEX('SaSS'!$Q$10:$Q$12,MATCH($F172,'SaSS'!$B$10:$B$12,0))="","Cell will autofill based on response",INDEX('SaSS'!$Q$10:$Q$12,MATCH($F172,'SaSS'!$B$10:$B$12,0))),"N/A")</f>
        <v/>
      </c>
      <c r="W172" s="52">
        <f>IFERROR(IF(INDEX('Indigenous'!$Q$10:$Q$11,MATCH($F172,'Indigenous'!$B$10:$B$11,0))="","Cell will autofill based on response",INDEX('Indigenous'!$Q$10:$Q$11,MATCH($F172,'Indigenous'!$B$10:$B$11,0))),"N/A")</f>
        <v/>
      </c>
      <c r="X172" s="52">
        <f>IFERROR(IF(INDEX('L&amp;R'!$Q$10:$Q$11,MATCH($F172,'L&amp;R'!$B$10:$B$11,0))="","Cell will autofill based on response",INDEX('L&amp;R'!$Q$10:$Q$11,MATCH($F172,'L&amp;R'!$B$10:$B$11,0))),"N/A")</f>
        <v/>
      </c>
    </row>
    <row r="173">
      <c r="A173">
        <f>F173&amp;"|"&amp;G173</f>
        <v/>
      </c>
      <c r="B173" s="7" t="inlineStr">
        <is>
          <t>EI1(a)</t>
        </is>
      </c>
      <c r="C173" s="50" t="inlineStr">
        <is>
          <t>Estate and infrastructure</t>
        </is>
      </c>
      <c r="D173" s="50" t="inlineStr">
        <is>
          <t>Evidence of increased maturity of estate and infrastructure planning, development and operations to support the other priority areas in Sustainability 2030</t>
        </is>
      </c>
      <c r="E173"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0" t="inlineStr">
        <is>
          <t>EI1(a)</t>
        </is>
      </c>
      <c r="G173" s="50" t="inlineStr">
        <is>
          <t>Confirm end-2026 target status</t>
        </is>
      </c>
      <c r="H173" s="52">
        <f>IFERROR(IF(INDEX('Faculties'!$L$10:$L$19,MATCH($F173,'Faculties'!$B$10:$B$19,0))="","Cell will autofill based on response",INDEX('Faculties'!$L$10:$L$19,MATCH($F173,'Faculties'!$B$10:$B$19,0))),"N/A")</f>
        <v/>
      </c>
      <c r="I173" s="52">
        <f>IFERROR(IF(INDEX('Faculties'!$L$26:$L$35,MATCH($F173,'Faculties'!$B$26:$B$35,0))="","Cell will autofill based on response",INDEX('Faculties'!$L$26:$L$35,MATCH($F173,'Faculties'!$B$26:$B$35,0))),"N/A")</f>
        <v/>
      </c>
      <c r="J173" s="52">
        <f>IFERROR(IF(INDEX('Faculties'!$L$42:$L$51,MATCH($F173,'Faculties'!$B$42:$B$51,0))="","Cell will autofill based on response",INDEX('Faculties'!$L$42:$L$51,MATCH($F173,'Faculties'!$B$42:$B$51,0))),"N/A")</f>
        <v/>
      </c>
      <c r="K173" s="52">
        <f>IFERROR(IF(INDEX('Faculties'!$L$58:$L$67,MATCH($F173,'Faculties'!$B$58:$B$67,0))="","Cell will autofill based on response",INDEX('Faculties'!$L$58:$L$67,MATCH($F173,'Faculties'!$B$58:$B$67,0))),"N/A")</f>
        <v/>
      </c>
      <c r="L173" s="52">
        <f>IFERROR(IF(INDEX('CI&amp;S'!$L$10:$L$15,MATCH($F173,'CI&amp;S'!$B$10:$B$15,0))="","Cell will autofill based on response",INDEX('CI&amp;S'!$L$10:$L$15,MATCH($F173,'CI&amp;S'!$B$10:$B$15,0))),"N/A")</f>
        <v/>
      </c>
      <c r="M173" s="52">
        <f>IFERROR(IF(INDEX('CI&amp;S'!$L$22:$L$36,MATCH($F173,'CI&amp;S'!$B$22:$B$36,0))="","Cell will autofill based on response",INDEX('CI&amp;S'!$L$22:$L$36,MATCH($F173,'CI&amp;S'!$B$22:$B$36,0))),"N/A")</f>
        <v/>
      </c>
      <c r="N173" s="52">
        <f>IFERROR(IF(INDEX('CFOG'!$L$10:$L$16,MATCH($F173,'CFOG'!$B$10:$B$16,0))="","Cell will autofill based on response",INDEX('CFOG'!$L$10:$L$16,MATCH($F173,'CFOG'!$B$10:$B$16,0))),"N/A")</f>
        <v/>
      </c>
      <c r="O173" s="52">
        <f>IFERROR(IF(INDEX('CFOG'!$L$23:$L$24,MATCH($F173,'CFOG'!$B$23:$B$24,0))="","Cell will autofill based on response",INDEX('CFOG'!$L$23:$L$24,MATCH($F173,'CFOG'!$B$23:$B$24,0))),"N/A")</f>
        <v/>
      </c>
      <c r="P173" s="52">
        <f>IFERROR(IF(INDEX('ESG'!$L$10:$L$17,MATCH($F173,'ESG'!$B$10:$B$17,0))="","Cell will autofill based on response",INDEX('ESG'!$L$10:$L$17,MATCH($F173,'ESG'!$B$10:$B$17,0))),"N/A")</f>
        <v/>
      </c>
      <c r="Q173" s="52">
        <f>IFERROR(IF(INDEX('CIOG'!$L$10:$L$14,MATCH($F173,'CIOG'!$B$10:$B$14,0))="","Cell will autofill based on response",INDEX('CIOG'!$L$10:$L$14,MATCH($F173,'CIOG'!$B$10:$B$14,0))),"N/A")</f>
        <v/>
      </c>
      <c r="R173" s="52">
        <f>IFERROR(IF(INDEX('MRE'!$L$10:$L$18,MATCH($F173,'MRE'!$B$10:$B$18,0))="","Cell will autofill based on response",INDEX('MRE'!$L$10:$L$18,MATCH($F173,'MRE'!$B$10:$B$18,0))),"N/A")</f>
        <v/>
      </c>
      <c r="S173" s="52">
        <f>IFERROR(IF(INDEX('AC&amp;M'!$L$10:$L$14,MATCH($F173,'AC&amp;M'!$B$10:$B$14,0))="","Cell will autofill based on response",INDEX('AC&amp;M'!$L$10:$L$14,MATCH($F173,'AC&amp;M'!$B$10:$B$14,0))),"N/A")</f>
        <v/>
      </c>
      <c r="T173" s="52">
        <f>IFERROR(IF(INDEX('GCE'!$L$10:$L$12,MATCH($F173,'GCE'!$B$10:$B$12,0))="","Cell will autofill based on response",INDEX('GCE'!$L$10:$L$12,MATCH($F173,'GCE'!$B$10:$B$12,0))),"N/A")</f>
        <v/>
      </c>
      <c r="U173" s="52">
        <f>IFERROR(IF(INDEX('Education'!$L$10:$L$13,MATCH($F173,'Education'!$B$10:$B$13,0))="","Cell will autofill based on response",INDEX('Education'!$L$10:$L$13,MATCH($F173,'Education'!$B$10:$B$13,0))),"N/A")</f>
        <v/>
      </c>
      <c r="V173" s="52">
        <f>IFERROR(IF(INDEX('SaSS'!$L$10:$L$12,MATCH($F173,'SaSS'!$B$10:$B$12,0))="","Cell will autofill based on response",INDEX('SaSS'!$L$10:$L$12,MATCH($F173,'SaSS'!$B$10:$B$12,0))),"N/A")</f>
        <v/>
      </c>
      <c r="W173" s="52">
        <f>IFERROR(IF(INDEX('Indigenous'!$L$10:$L$11,MATCH($F173,'Indigenous'!$B$10:$B$11,0))="","Cell will autofill based on response",INDEX('Indigenous'!$L$10:$L$11,MATCH($F173,'Indigenous'!$B$10:$B$11,0))),"N/A")</f>
        <v/>
      </c>
      <c r="X173" s="52">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3">
        <f>IF(AF173&gt;0,AE173/AF173,"No valid responses to date")</f>
        <v/>
      </c>
      <c r="AH173" s="10">
        <f>IF(ISNUMBER(AG173),INDEX(Lists!$G$2:$G$5,MATCH(ROUND(AG173,0),Lists!$H$2:$H$5,0)),"")</f>
        <v/>
      </c>
      <c r="AI173" s="54">
        <f>IF(AF173&gt;0,AD173/AF173,"")</f>
        <v/>
      </c>
      <c r="AJ173" s="54">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2">
        <f>IFERROR(IF(INDEX('Faculties'!$M$10:$M$19,MATCH($F174,'Faculties'!$B$10:$B$19,0))="","Cell will autofill based on response",INDEX('Faculties'!$M$10:$M$19,MATCH($F174,'Faculties'!$B$10:$B$19,0))),"N/A")</f>
        <v/>
      </c>
      <c r="I174" s="52">
        <f>IFERROR(IF(INDEX('Faculties'!$M$26:$M$35,MATCH($F174,'Faculties'!$B$26:$B$35,0))="","Cell will autofill based on response",INDEX('Faculties'!$M$26:$M$35,MATCH($F174,'Faculties'!$B$26:$B$35,0))),"N/A")</f>
        <v/>
      </c>
      <c r="J174" s="52">
        <f>IFERROR(IF(INDEX('Faculties'!$M$42:$M$51,MATCH($F174,'Faculties'!$B$42:$B$51,0))="","Cell will autofill based on response",INDEX('Faculties'!$M$42:$M$51,MATCH($F174,'Faculties'!$B$42:$B$51,0))),"N/A")</f>
        <v/>
      </c>
      <c r="K174" s="52">
        <f>IFERROR(IF(INDEX('Faculties'!$M$58:$M$67,MATCH($F174,'Faculties'!$B$58:$B$67,0))="","Cell will autofill based on response",INDEX('Faculties'!$M$58:$M$67,MATCH($F174,'Faculties'!$B$58:$B$67,0))),"N/A")</f>
        <v/>
      </c>
      <c r="L174" s="52">
        <f>IFERROR(IF(INDEX('CI&amp;S'!$M$10:$M$15,MATCH($F174,'CI&amp;S'!$B$10:$B$15,0))="","Cell will autofill based on response",INDEX('CI&amp;S'!$M$10:$M$15,MATCH($F174,'CI&amp;S'!$B$10:$B$15,0))),"N/A")</f>
        <v/>
      </c>
      <c r="M174" s="52">
        <f>IFERROR(IF(INDEX('CI&amp;S'!$M$22:$M$36,MATCH($F174,'CI&amp;S'!$B$22:$B$36,0))="","Cell will autofill based on response",INDEX('CI&amp;S'!$M$22:$M$36,MATCH($F174,'CI&amp;S'!$B$22:$B$36,0))),"N/A")</f>
        <v/>
      </c>
      <c r="N174" s="52">
        <f>IFERROR(IF(INDEX('CFOG'!$M$10:$M$16,MATCH($F174,'CFOG'!$B$10:$B$16,0))="","Cell will autofill based on response",INDEX('CFOG'!$M$10:$M$16,MATCH($F174,'CFOG'!$B$10:$B$16,0))),"N/A")</f>
        <v/>
      </c>
      <c r="O174" s="52">
        <f>IFERROR(IF(INDEX('CFOG'!$M$23:$M$24,MATCH($F174,'CFOG'!$B$23:$B$24,0))="","Cell will autofill based on response",INDEX('CFOG'!$M$23:$M$24,MATCH($F174,'CFOG'!$B$23:$B$24,0))),"N/A")</f>
        <v/>
      </c>
      <c r="P174" s="52">
        <f>IFERROR(IF(INDEX('ESG'!$M$10:$M$17,MATCH($F174,'ESG'!$B$10:$B$17,0))="","Cell will autofill based on response",INDEX('ESG'!$M$10:$M$17,MATCH($F174,'ESG'!$B$10:$B$17,0))),"N/A")</f>
        <v/>
      </c>
      <c r="Q174" s="52">
        <f>IFERROR(IF(INDEX('CIOG'!$M$10:$M$14,MATCH($F174,'CIOG'!$B$10:$B$14,0))="","Cell will autofill based on response",INDEX('CIOG'!$M$10:$M$14,MATCH($F174,'CIOG'!$B$10:$B$14,0))),"N/A")</f>
        <v/>
      </c>
      <c r="R174" s="52">
        <f>IFERROR(IF(INDEX('MRE'!$M$10:$M$18,MATCH($F174,'MRE'!$B$10:$B$18,0))="","Cell will autofill based on response",INDEX('MRE'!$M$10:$M$18,MATCH($F174,'MRE'!$B$10:$B$18,0))),"N/A")</f>
        <v/>
      </c>
      <c r="S174" s="52">
        <f>IFERROR(IF(INDEX('AC&amp;M'!$M$10:$M$14,MATCH($F174,'AC&amp;M'!$B$10:$B$14,0))="","Cell will autofill based on response",INDEX('AC&amp;M'!$M$10:$M$14,MATCH($F174,'AC&amp;M'!$B$10:$B$14,0))),"N/A")</f>
        <v/>
      </c>
      <c r="T174" s="52">
        <f>IFERROR(IF(INDEX('GCE'!$M$10:$M$12,MATCH($F174,'GCE'!$B$10:$B$12,0))="","Cell will autofill based on response",INDEX('GCE'!$M$10:$M$12,MATCH($F174,'GCE'!$B$10:$B$12,0))),"N/A")</f>
        <v/>
      </c>
      <c r="U174" s="52">
        <f>IFERROR(IF(INDEX('Education'!$M$10:$M$13,MATCH($F174,'Education'!$B$10:$B$13,0))="","Cell will autofill based on response",INDEX('Education'!$M$10:$M$13,MATCH($F174,'Education'!$B$10:$B$13,0))),"N/A")</f>
        <v/>
      </c>
      <c r="V174" s="52">
        <f>IFERROR(IF(INDEX('SaSS'!$M$10:$M$12,MATCH($F174,'SaSS'!$B$10:$B$12,0))="","Cell will autofill based on response",INDEX('SaSS'!$M$10:$M$12,MATCH($F174,'SaSS'!$B$10:$B$12,0))),"N/A")</f>
        <v/>
      </c>
      <c r="W174" s="52">
        <f>IFERROR(IF(INDEX('Indigenous'!$M$10:$M$11,MATCH($F174,'Indigenous'!$B$10:$B$11,0))="","Cell will autofill based on response",INDEX('Indigenous'!$M$10:$M$11,MATCH($F174,'Indigenous'!$B$10:$B$11,0))),"N/A")</f>
        <v/>
      </c>
      <c r="X174" s="52">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2">
        <f>IFERROR(IF(INDEX('Faculties'!$N$10:$N$19,MATCH($F175,'Faculties'!$B$10:$B$19,0))="","Cell will autofill based on response",INDEX('Faculties'!$N$10:$N$19,MATCH($F175,'Faculties'!$B$10:$B$19,0))),"N/A")</f>
        <v/>
      </c>
      <c r="I175" s="52">
        <f>IFERROR(IF(INDEX('Faculties'!$N$26:$N$35,MATCH($F175,'Faculties'!$B$26:$B$35,0))="","Cell will autofill based on response",INDEX('Faculties'!$N$26:$N$35,MATCH($F175,'Faculties'!$B$26:$B$35,0))),"N/A")</f>
        <v/>
      </c>
      <c r="J175" s="52">
        <f>IFERROR(IF(INDEX('Faculties'!$N$42:$N$51,MATCH($F175,'Faculties'!$B$42:$B$51,0))="","Cell will autofill based on response",INDEX('Faculties'!$N$42:$N$51,MATCH($F175,'Faculties'!$B$42:$B$51,0))),"N/A")</f>
        <v/>
      </c>
      <c r="K175" s="52">
        <f>IFERROR(IF(INDEX('Faculties'!$N$58:$N$67,MATCH($F175,'Faculties'!$B$58:$B$67,0))="","Cell will autofill based on response",INDEX('Faculties'!$N$58:$N$67,MATCH($F175,'Faculties'!$B$58:$B$67,0))),"N/A")</f>
        <v/>
      </c>
      <c r="L175" s="52">
        <f>IFERROR(IF(INDEX('CI&amp;S'!$N$10:$N$15,MATCH($F175,'CI&amp;S'!$B$10:$B$15,0))="","Cell will autofill based on response",INDEX('CI&amp;S'!$N$10:$N$15,MATCH($F175,'CI&amp;S'!$B$10:$B$15,0))),"N/A")</f>
        <v/>
      </c>
      <c r="M175" s="52">
        <f>IFERROR(IF(INDEX('CI&amp;S'!$N$22:$N$36,MATCH($F175,'CI&amp;S'!$B$22:$B$36,0))="","Cell will autofill based on response",INDEX('CI&amp;S'!$N$22:$N$36,MATCH($F175,'CI&amp;S'!$B$22:$B$36,0))),"N/A")</f>
        <v/>
      </c>
      <c r="N175" s="52">
        <f>IFERROR(IF(INDEX('CFOG'!$N$10:$N$16,MATCH($F175,'CFOG'!$B$10:$B$16,0))="","Cell will autofill based on response",INDEX('CFOG'!$N$10:$N$16,MATCH($F175,'CFOG'!$B$10:$B$16,0))),"N/A")</f>
        <v/>
      </c>
      <c r="O175" s="52">
        <f>IFERROR(IF(INDEX('CFOG'!$N$23:$N$24,MATCH($F175,'CFOG'!$B$23:$B$24,0))="","Cell will autofill based on response",INDEX('CFOG'!$N$23:$N$24,MATCH($F175,'CFOG'!$B$23:$B$24,0))),"N/A")</f>
        <v/>
      </c>
      <c r="P175" s="52">
        <f>IFERROR(IF(INDEX('ESG'!$N$10:$N$17,MATCH($F175,'ESG'!$B$10:$B$17,0))="","Cell will autofill based on response",INDEX('ESG'!$N$10:$N$17,MATCH($F175,'ESG'!$B$10:$B$17,0))),"N/A")</f>
        <v/>
      </c>
      <c r="Q175" s="52">
        <f>IFERROR(IF(INDEX('CIOG'!$N$10:$N$14,MATCH($F175,'CIOG'!$B$10:$B$14,0))="","Cell will autofill based on response",INDEX('CIOG'!$N$10:$N$14,MATCH($F175,'CIOG'!$B$10:$B$14,0))),"N/A")</f>
        <v/>
      </c>
      <c r="R175" s="52">
        <f>IFERROR(IF(INDEX('MRE'!$N$10:$N$18,MATCH($F175,'MRE'!$B$10:$B$18,0))="","Cell will autofill based on response",INDEX('MRE'!$N$10:$N$18,MATCH($F175,'MRE'!$B$10:$B$18,0))),"N/A")</f>
        <v/>
      </c>
      <c r="S175" s="52">
        <f>IFERROR(IF(INDEX('AC&amp;M'!$N$10:$N$14,MATCH($F175,'AC&amp;M'!$B$10:$B$14,0))="","Cell will autofill based on response",INDEX('AC&amp;M'!$N$10:$N$14,MATCH($F175,'AC&amp;M'!$B$10:$B$14,0))),"N/A")</f>
        <v/>
      </c>
      <c r="T175" s="52">
        <f>IFERROR(IF(INDEX('GCE'!$N$10:$N$12,MATCH($F175,'GCE'!$B$10:$B$12,0))="","Cell will autofill based on response",INDEX('GCE'!$N$10:$N$12,MATCH($F175,'GCE'!$B$10:$B$12,0))),"N/A")</f>
        <v/>
      </c>
      <c r="U175" s="52">
        <f>IFERROR(IF(INDEX('Education'!$N$10:$N$13,MATCH($F175,'Education'!$B$10:$B$13,0))="","Cell will autofill based on response",INDEX('Education'!$N$10:$N$13,MATCH($F175,'Education'!$B$10:$B$13,0))),"N/A")</f>
        <v/>
      </c>
      <c r="V175" s="52">
        <f>IFERROR(IF(INDEX('SaSS'!$N$10:$N$12,MATCH($F175,'SaSS'!$B$10:$B$12,0))="","Cell will autofill based on response",INDEX('SaSS'!$N$10:$N$12,MATCH($F175,'SaSS'!$B$10:$B$12,0))),"N/A")</f>
        <v/>
      </c>
      <c r="W175" s="52">
        <f>IFERROR(IF(INDEX('Indigenous'!$N$10:$N$11,MATCH($F175,'Indigenous'!$B$10:$B$11,0))="","Cell will autofill based on response",INDEX('Indigenous'!$N$10:$N$11,MATCH($F175,'Indigenous'!$B$10:$B$11,0))),"N/A")</f>
        <v/>
      </c>
      <c r="X175" s="52">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2">
        <f>IFERROR(IF(INDEX('Faculties'!$O$10:$O$19,MATCH($F176,'Faculties'!$B$10:$B$19,0))="","Cell will autofill based on response",INDEX('Faculties'!$O$10:$O$19,MATCH($F176,'Faculties'!$B$10:$B$19,0))),"N/A")</f>
        <v/>
      </c>
      <c r="I176" s="52">
        <f>IFERROR(IF(INDEX('Faculties'!$O$26:$O$35,MATCH($F176,'Faculties'!$B$26:$B$35,0))="","Cell will autofill based on response",INDEX('Faculties'!$O$26:$O$35,MATCH($F176,'Faculties'!$B$26:$B$35,0))),"N/A")</f>
        <v/>
      </c>
      <c r="J176" s="52">
        <f>IFERROR(IF(INDEX('Faculties'!$O$42:$O$51,MATCH($F176,'Faculties'!$B$42:$B$51,0))="","Cell will autofill based on response",INDEX('Faculties'!$O$42:$O$51,MATCH($F176,'Faculties'!$B$42:$B$51,0))),"N/A")</f>
        <v/>
      </c>
      <c r="K176" s="52">
        <f>IFERROR(IF(INDEX('Faculties'!$O$58:$O$67,MATCH($F176,'Faculties'!$B$58:$B$67,0))="","Cell will autofill based on response",INDEX('Faculties'!$O$58:$O$67,MATCH($F176,'Faculties'!$B$58:$B$67,0))),"N/A")</f>
        <v/>
      </c>
      <c r="L176" s="52">
        <f>IFERROR(IF(INDEX('CI&amp;S'!$O$10:$O$15,MATCH($F176,'CI&amp;S'!$B$10:$B$15,0))="","Cell will autofill based on response",INDEX('CI&amp;S'!$O$10:$O$15,MATCH($F176,'CI&amp;S'!$B$10:$B$15,0))),"N/A")</f>
        <v/>
      </c>
      <c r="M176" s="52">
        <f>IFERROR(IF(INDEX('CI&amp;S'!$O$22:$O$36,MATCH($F176,'CI&amp;S'!$B$22:$B$36,0))="","Cell will autofill based on response",INDEX('CI&amp;S'!$O$22:$O$36,MATCH($F176,'CI&amp;S'!$B$22:$B$36,0))),"N/A")</f>
        <v/>
      </c>
      <c r="N176" s="52">
        <f>IFERROR(IF(INDEX('CFOG'!$O$10:$O$16,MATCH($F176,'CFOG'!$B$10:$B$16,0))="","Cell will autofill based on response",INDEX('CFOG'!$O$10:$O$16,MATCH($F176,'CFOG'!$B$10:$B$16,0))),"N/A")</f>
        <v/>
      </c>
      <c r="O176" s="52">
        <f>IFERROR(IF(INDEX('CFOG'!$O$23:$O$24,MATCH($F176,'CFOG'!$B$23:$B$24,0))="","Cell will autofill based on response",INDEX('CFOG'!$O$23:$O$24,MATCH($F176,'CFOG'!$B$23:$B$24,0))),"N/A")</f>
        <v/>
      </c>
      <c r="P176" s="52">
        <f>IFERROR(IF(INDEX('ESG'!$O$10:$O$17,MATCH($F176,'ESG'!$B$10:$B$17,0))="","Cell will autofill based on response",INDEX('ESG'!$O$10:$O$17,MATCH($F176,'ESG'!$B$10:$B$17,0))),"N/A")</f>
        <v/>
      </c>
      <c r="Q176" s="52">
        <f>IFERROR(IF(INDEX('CIOG'!$O$10:$O$14,MATCH($F176,'CIOG'!$B$10:$B$14,0))="","Cell will autofill based on response",INDEX('CIOG'!$O$10:$O$14,MATCH($F176,'CIOG'!$B$10:$B$14,0))),"N/A")</f>
        <v/>
      </c>
      <c r="R176" s="52">
        <f>IFERROR(IF(INDEX('MRE'!$O$10:$O$18,MATCH($F176,'MRE'!$B$10:$B$18,0))="","Cell will autofill based on response",INDEX('MRE'!$O$10:$O$18,MATCH($F176,'MRE'!$B$10:$B$18,0))),"N/A")</f>
        <v/>
      </c>
      <c r="S176" s="52">
        <f>IFERROR(IF(INDEX('AC&amp;M'!$O$10:$O$14,MATCH($F176,'AC&amp;M'!$B$10:$B$14,0))="","Cell will autofill based on response",INDEX('AC&amp;M'!$O$10:$O$14,MATCH($F176,'AC&amp;M'!$B$10:$B$14,0))),"N/A")</f>
        <v/>
      </c>
      <c r="T176" s="52">
        <f>IFERROR(IF(INDEX('GCE'!$O$10:$O$12,MATCH($F176,'GCE'!$B$10:$B$12,0))="","Cell will autofill based on response",INDEX('GCE'!$O$10:$O$12,MATCH($F176,'GCE'!$B$10:$B$12,0))),"N/A")</f>
        <v/>
      </c>
      <c r="U176" s="52">
        <f>IFERROR(IF(INDEX('Education'!$O$10:$O$13,MATCH($F176,'Education'!$B$10:$B$13,0))="","Cell will autofill based on response",INDEX('Education'!$O$10:$O$13,MATCH($F176,'Education'!$B$10:$B$13,0))),"N/A")</f>
        <v/>
      </c>
      <c r="V176" s="52">
        <f>IFERROR(IF(INDEX('SaSS'!$O$10:$O$12,MATCH($F176,'SaSS'!$B$10:$B$12,0))="","Cell will autofill based on response",INDEX('SaSS'!$O$10:$O$12,MATCH($F176,'SaSS'!$B$10:$B$12,0))),"N/A")</f>
        <v/>
      </c>
      <c r="W176" s="52">
        <f>IFERROR(IF(INDEX('Indigenous'!$O$10:$O$11,MATCH($F176,'Indigenous'!$B$10:$B$11,0))="","Cell will autofill based on response",INDEX('Indigenous'!$O$10:$O$11,MATCH($F176,'Indigenous'!$B$10:$B$11,0))),"N/A")</f>
        <v/>
      </c>
      <c r="X176" s="52">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2">
        <f>IFERROR(IF(INDEX('Faculties'!$P$10:$P$19,MATCH($F177,'Faculties'!$B$10:$B$19,0))="","Cell will autofill based on response",INDEX('Faculties'!$P$10:$P$19,MATCH($F177,'Faculties'!$B$10:$B$19,0))),"N/A")</f>
        <v/>
      </c>
      <c r="I177" s="52">
        <f>IFERROR(IF(INDEX('Faculties'!$P$26:$P$35,MATCH($F177,'Faculties'!$B$26:$B$35,0))="","Cell will autofill based on response",INDEX('Faculties'!$P$26:$P$35,MATCH($F177,'Faculties'!$B$26:$B$35,0))),"N/A")</f>
        <v/>
      </c>
      <c r="J177" s="52">
        <f>IFERROR(IF(INDEX('Faculties'!$P$42:$P$51,MATCH($F177,'Faculties'!$B$42:$B$51,0))="","Cell will autofill based on response",INDEX('Faculties'!$P$42:$P$51,MATCH($F177,'Faculties'!$B$42:$B$51,0))),"N/A")</f>
        <v/>
      </c>
      <c r="K177" s="52">
        <f>IFERROR(IF(INDEX('Faculties'!$P$58:$P$67,MATCH($F177,'Faculties'!$B$58:$B$67,0))="","Cell will autofill based on response",INDEX('Faculties'!$P$58:$P$67,MATCH($F177,'Faculties'!$B$58:$B$67,0))),"N/A")</f>
        <v/>
      </c>
      <c r="L177" s="52">
        <f>IFERROR(IF(INDEX('CI&amp;S'!$P$10:$P$15,MATCH($F177,'CI&amp;S'!$B$10:$B$15,0))="","Cell will autofill based on response",INDEX('CI&amp;S'!$P$10:$P$15,MATCH($F177,'CI&amp;S'!$B$10:$B$15,0))),"N/A")</f>
        <v/>
      </c>
      <c r="M177" s="52">
        <f>IFERROR(IF(INDEX('CI&amp;S'!$P$22:$P$36,MATCH($F177,'CI&amp;S'!$B$22:$B$36,0))="","Cell will autofill based on response",INDEX('CI&amp;S'!$P$22:$P$36,MATCH($F177,'CI&amp;S'!$B$22:$B$36,0))),"N/A")</f>
        <v/>
      </c>
      <c r="N177" s="52">
        <f>IFERROR(IF(INDEX('CFOG'!$P$10:$P$16,MATCH($F177,'CFOG'!$B$10:$B$16,0))="","Cell will autofill based on response",INDEX('CFOG'!$P$10:$P$16,MATCH($F177,'CFOG'!$B$10:$B$16,0))),"N/A")</f>
        <v/>
      </c>
      <c r="O177" s="52">
        <f>IFERROR(IF(INDEX('CFOG'!$P$23:$P$24,MATCH($F177,'CFOG'!$B$23:$B$24,0))="","Cell will autofill based on response",INDEX('CFOG'!$P$23:$P$24,MATCH($F177,'CFOG'!$B$23:$B$24,0))),"N/A")</f>
        <v/>
      </c>
      <c r="P177" s="52">
        <f>IFERROR(IF(INDEX('ESG'!$P$10:$P$17,MATCH($F177,'ESG'!$B$10:$B$17,0))="","Cell will autofill based on response",INDEX('ESG'!$P$10:$P$17,MATCH($F177,'ESG'!$B$10:$B$17,0))),"N/A")</f>
        <v/>
      </c>
      <c r="Q177" s="52">
        <f>IFERROR(IF(INDEX('CIOG'!$P$10:$P$14,MATCH($F177,'CIOG'!$B$10:$B$14,0))="","Cell will autofill based on response",INDEX('CIOG'!$P$10:$P$14,MATCH($F177,'CIOG'!$B$10:$B$14,0))),"N/A")</f>
        <v/>
      </c>
      <c r="R177" s="52">
        <f>IFERROR(IF(INDEX('MRE'!$P$10:$P$18,MATCH($F177,'MRE'!$B$10:$B$18,0))="","Cell will autofill based on response",INDEX('MRE'!$P$10:$P$18,MATCH($F177,'MRE'!$B$10:$B$18,0))),"N/A")</f>
        <v/>
      </c>
      <c r="S177" s="52">
        <f>IFERROR(IF(INDEX('AC&amp;M'!$P$10:$P$14,MATCH($F177,'AC&amp;M'!$B$10:$B$14,0))="","Cell will autofill based on response",INDEX('AC&amp;M'!$P$10:$P$14,MATCH($F177,'AC&amp;M'!$B$10:$B$14,0))),"N/A")</f>
        <v/>
      </c>
      <c r="T177" s="52">
        <f>IFERROR(IF(INDEX('GCE'!$P$10:$P$12,MATCH($F177,'GCE'!$B$10:$B$12,0))="","Cell will autofill based on response",INDEX('GCE'!$P$10:$P$12,MATCH($F177,'GCE'!$B$10:$B$12,0))),"N/A")</f>
        <v/>
      </c>
      <c r="U177" s="52">
        <f>IFERROR(IF(INDEX('Education'!$P$10:$P$13,MATCH($F177,'Education'!$B$10:$B$13,0))="","Cell will autofill based on response",INDEX('Education'!$P$10:$P$13,MATCH($F177,'Education'!$B$10:$B$13,0))),"N/A")</f>
        <v/>
      </c>
      <c r="V177" s="52">
        <f>IFERROR(IF(INDEX('SaSS'!$P$10:$P$12,MATCH($F177,'SaSS'!$B$10:$B$12,0))="","Cell will autofill based on response",INDEX('SaSS'!$P$10:$P$12,MATCH($F177,'SaSS'!$B$10:$B$12,0))),"N/A")</f>
        <v/>
      </c>
      <c r="W177" s="52">
        <f>IFERROR(IF(INDEX('Indigenous'!$P$10:$P$11,MATCH($F177,'Indigenous'!$B$10:$B$11,0))="","Cell will autofill based on response",INDEX('Indigenous'!$P$10:$P$11,MATCH($F177,'Indigenous'!$B$10:$B$11,0))),"N/A")</f>
        <v/>
      </c>
      <c r="X177" s="52">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2">
        <f>IFERROR(IF(INDEX('Faculties'!$Q$10:$Q$19,MATCH($F178,'Faculties'!$B$10:$B$19,0))="","Cell will autofill based on response",INDEX('Faculties'!$Q$10:$Q$19,MATCH($F178,'Faculties'!$B$10:$B$19,0))),"N/A")</f>
        <v/>
      </c>
      <c r="I178" s="52">
        <f>IFERROR(IF(INDEX('Faculties'!$Q$26:$Q$35,MATCH($F178,'Faculties'!$B$26:$B$35,0))="","Cell will autofill based on response",INDEX('Faculties'!$Q$26:$Q$35,MATCH($F178,'Faculties'!$B$26:$B$35,0))),"N/A")</f>
        <v/>
      </c>
      <c r="J178" s="52">
        <f>IFERROR(IF(INDEX('Faculties'!$Q$42:$Q$51,MATCH($F178,'Faculties'!$B$42:$B$51,0))="","Cell will autofill based on response",INDEX('Faculties'!$Q$42:$Q$51,MATCH($F178,'Faculties'!$B$42:$B$51,0))),"N/A")</f>
        <v/>
      </c>
      <c r="K178" s="52">
        <f>IFERROR(IF(INDEX('Faculties'!$Q$58:$Q$67,MATCH($F178,'Faculties'!$B$58:$B$67,0))="","Cell will autofill based on response",INDEX('Faculties'!$Q$58:$Q$67,MATCH($F178,'Faculties'!$B$58:$B$67,0))),"N/A")</f>
        <v/>
      </c>
      <c r="L178" s="52">
        <f>IFERROR(IF(INDEX('CI&amp;S'!$Q$10:$Q$15,MATCH($F178,'CI&amp;S'!$B$10:$B$15,0))="","Cell will autofill based on response",INDEX('CI&amp;S'!$Q$10:$Q$15,MATCH($F178,'CI&amp;S'!$B$10:$B$15,0))),"N/A")</f>
        <v/>
      </c>
      <c r="M178" s="52">
        <f>IFERROR(IF(INDEX('CI&amp;S'!$Q$22:$Q$36,MATCH($F178,'CI&amp;S'!$B$22:$B$36,0))="","Cell will autofill based on response",INDEX('CI&amp;S'!$Q$22:$Q$36,MATCH($F178,'CI&amp;S'!$B$22:$B$36,0))),"N/A")</f>
        <v/>
      </c>
      <c r="N178" s="52">
        <f>IFERROR(IF(INDEX('CFOG'!$Q$10:$Q$16,MATCH($F178,'CFOG'!$B$10:$B$16,0))="","Cell will autofill based on response",INDEX('CFOG'!$Q$10:$Q$16,MATCH($F178,'CFOG'!$B$10:$B$16,0))),"N/A")</f>
        <v/>
      </c>
      <c r="O178" s="52">
        <f>IFERROR(IF(INDEX('CFOG'!$Q$23:$Q$24,MATCH($F178,'CFOG'!$B$23:$B$24,0))="","Cell will autofill based on response",INDEX('CFOG'!$Q$23:$Q$24,MATCH($F178,'CFOG'!$B$23:$B$24,0))),"N/A")</f>
        <v/>
      </c>
      <c r="P178" s="52">
        <f>IFERROR(IF(INDEX('ESG'!$Q$10:$Q$17,MATCH($F178,'ESG'!$B$10:$B$17,0))="","Cell will autofill based on response",INDEX('ESG'!$Q$10:$Q$17,MATCH($F178,'ESG'!$B$10:$B$17,0))),"N/A")</f>
        <v/>
      </c>
      <c r="Q178" s="52">
        <f>IFERROR(IF(INDEX('CIOG'!$Q$10:$Q$14,MATCH($F178,'CIOG'!$B$10:$B$14,0))="","Cell will autofill based on response",INDEX('CIOG'!$Q$10:$Q$14,MATCH($F178,'CIOG'!$B$10:$B$14,0))),"N/A")</f>
        <v/>
      </c>
      <c r="R178" s="52">
        <f>IFERROR(IF(INDEX('MRE'!$Q$10:$Q$18,MATCH($F178,'MRE'!$B$10:$B$18,0))="","Cell will autofill based on response",INDEX('MRE'!$Q$10:$Q$18,MATCH($F178,'MRE'!$B$10:$B$18,0))),"N/A")</f>
        <v/>
      </c>
      <c r="S178" s="52">
        <f>IFERROR(IF(INDEX('AC&amp;M'!$Q$10:$Q$14,MATCH($F178,'AC&amp;M'!$B$10:$B$14,0))="","Cell will autofill based on response",INDEX('AC&amp;M'!$Q$10:$Q$14,MATCH($F178,'AC&amp;M'!$B$10:$B$14,0))),"N/A")</f>
        <v/>
      </c>
      <c r="T178" s="52">
        <f>IFERROR(IF(INDEX('GCE'!$Q$10:$Q$12,MATCH($F178,'GCE'!$B$10:$B$12,0))="","Cell will autofill based on response",INDEX('GCE'!$Q$10:$Q$12,MATCH($F178,'GCE'!$B$10:$B$12,0))),"N/A")</f>
        <v/>
      </c>
      <c r="U178" s="52">
        <f>IFERROR(IF(INDEX('Education'!$Q$10:$Q$13,MATCH($F178,'Education'!$B$10:$B$13,0))="","Cell will autofill based on response",INDEX('Education'!$Q$10:$Q$13,MATCH($F178,'Education'!$B$10:$B$13,0))),"N/A")</f>
        <v/>
      </c>
      <c r="V178" s="52">
        <f>IFERROR(IF(INDEX('SaSS'!$Q$10:$Q$12,MATCH($F178,'SaSS'!$B$10:$B$12,0))="","Cell will autofill based on response",INDEX('SaSS'!$Q$10:$Q$12,MATCH($F178,'SaSS'!$B$10:$B$12,0))),"N/A")</f>
        <v/>
      </c>
      <c r="W178" s="52">
        <f>IFERROR(IF(INDEX('Indigenous'!$Q$10:$Q$11,MATCH($F178,'Indigenous'!$B$10:$B$11,0))="","Cell will autofill based on response",INDEX('Indigenous'!$Q$10:$Q$11,MATCH($F178,'Indigenous'!$B$10:$B$11,0))),"N/A")</f>
        <v/>
      </c>
      <c r="X178" s="52">
        <f>IFERROR(IF(INDEX('L&amp;R'!$Q$10:$Q$11,MATCH($F178,'L&amp;R'!$B$10:$B$11,0))="","Cell will autofill based on response",INDEX('L&amp;R'!$Q$10:$Q$11,MATCH($F178,'L&amp;R'!$B$10:$B$11,0))),"N/A")</f>
        <v/>
      </c>
    </row>
    <row r="179">
      <c r="A179">
        <f>F179&amp;"|"&amp;G179</f>
        <v/>
      </c>
      <c r="B179" s="7" t="inlineStr">
        <is>
          <t>EI1(b)</t>
        </is>
      </c>
      <c r="C179" s="50" t="inlineStr">
        <is>
          <t>Estate and infrastructure</t>
        </is>
      </c>
      <c r="D179" s="50" t="inlineStr">
        <is>
          <t>Estimated sustainability impacts of the University’s estate and infrastructure capital plan to inform progress towards emissions reduction targets and other priority areas (to the extent enabled by available information)</t>
        </is>
      </c>
      <c r="E179"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0" t="inlineStr">
        <is>
          <t>EI1(b)</t>
        </is>
      </c>
      <c r="G179" s="50" t="inlineStr">
        <is>
          <t>Confirm end-2026 target status</t>
        </is>
      </c>
      <c r="H179" s="52">
        <f>IFERROR(IF(INDEX('Faculties'!$L$10:$L$19,MATCH($F179,'Faculties'!$B$10:$B$19,0))="","Cell will autofill based on response",INDEX('Faculties'!$L$10:$L$19,MATCH($F179,'Faculties'!$B$10:$B$19,0))),"N/A")</f>
        <v/>
      </c>
      <c r="I179" s="52">
        <f>IFERROR(IF(INDEX('Faculties'!$L$26:$L$35,MATCH($F179,'Faculties'!$B$26:$B$35,0))="","Cell will autofill based on response",INDEX('Faculties'!$L$26:$L$35,MATCH($F179,'Faculties'!$B$26:$B$35,0))),"N/A")</f>
        <v/>
      </c>
      <c r="J179" s="52">
        <f>IFERROR(IF(INDEX('Faculties'!$L$42:$L$51,MATCH($F179,'Faculties'!$B$42:$B$51,0))="","Cell will autofill based on response",INDEX('Faculties'!$L$42:$L$51,MATCH($F179,'Faculties'!$B$42:$B$51,0))),"N/A")</f>
        <v/>
      </c>
      <c r="K179" s="52">
        <f>IFERROR(IF(INDEX('Faculties'!$L$58:$L$67,MATCH($F179,'Faculties'!$B$58:$B$67,0))="","Cell will autofill based on response",INDEX('Faculties'!$L$58:$L$67,MATCH($F179,'Faculties'!$B$58:$B$67,0))),"N/A")</f>
        <v/>
      </c>
      <c r="L179" s="52">
        <f>IFERROR(IF(INDEX('CI&amp;S'!$L$10:$L$15,MATCH($F179,'CI&amp;S'!$B$10:$B$15,0))="","Cell will autofill based on response",INDEX('CI&amp;S'!$L$10:$L$15,MATCH($F179,'CI&amp;S'!$B$10:$B$15,0))),"N/A")</f>
        <v/>
      </c>
      <c r="M179" s="52">
        <f>IFERROR(IF(INDEX('CI&amp;S'!$L$22:$L$36,MATCH($F179,'CI&amp;S'!$B$22:$B$36,0))="","Cell will autofill based on response",INDEX('CI&amp;S'!$L$22:$L$36,MATCH($F179,'CI&amp;S'!$B$22:$B$36,0))),"N/A")</f>
        <v/>
      </c>
      <c r="N179" s="52">
        <f>IFERROR(IF(INDEX('CFOG'!$L$10:$L$16,MATCH($F179,'CFOG'!$B$10:$B$16,0))="","Cell will autofill based on response",INDEX('CFOG'!$L$10:$L$16,MATCH($F179,'CFOG'!$B$10:$B$16,0))),"N/A")</f>
        <v/>
      </c>
      <c r="O179" s="52">
        <f>IFERROR(IF(INDEX('CFOG'!$L$23:$L$24,MATCH($F179,'CFOG'!$B$23:$B$24,0))="","Cell will autofill based on response",INDEX('CFOG'!$L$23:$L$24,MATCH($F179,'CFOG'!$B$23:$B$24,0))),"N/A")</f>
        <v/>
      </c>
      <c r="P179" s="52">
        <f>IFERROR(IF(INDEX('ESG'!$L$10:$L$17,MATCH($F179,'ESG'!$B$10:$B$17,0))="","Cell will autofill based on response",INDEX('ESG'!$L$10:$L$17,MATCH($F179,'ESG'!$B$10:$B$17,0))),"N/A")</f>
        <v/>
      </c>
      <c r="Q179" s="52">
        <f>IFERROR(IF(INDEX('CIOG'!$L$10:$L$14,MATCH($F179,'CIOG'!$B$10:$B$14,0))="","Cell will autofill based on response",INDEX('CIOG'!$L$10:$L$14,MATCH($F179,'CIOG'!$B$10:$B$14,0))),"N/A")</f>
        <v/>
      </c>
      <c r="R179" s="52">
        <f>IFERROR(IF(INDEX('MRE'!$L$10:$L$18,MATCH($F179,'MRE'!$B$10:$B$18,0))="","Cell will autofill based on response",INDEX('MRE'!$L$10:$L$18,MATCH($F179,'MRE'!$B$10:$B$18,0))),"N/A")</f>
        <v/>
      </c>
      <c r="S179" s="52">
        <f>IFERROR(IF(INDEX('AC&amp;M'!$L$10:$L$14,MATCH($F179,'AC&amp;M'!$B$10:$B$14,0))="","Cell will autofill based on response",INDEX('AC&amp;M'!$L$10:$L$14,MATCH($F179,'AC&amp;M'!$B$10:$B$14,0))),"N/A")</f>
        <v/>
      </c>
      <c r="T179" s="52">
        <f>IFERROR(IF(INDEX('GCE'!$L$10:$L$12,MATCH($F179,'GCE'!$B$10:$B$12,0))="","Cell will autofill based on response",INDEX('GCE'!$L$10:$L$12,MATCH($F179,'GCE'!$B$10:$B$12,0))),"N/A")</f>
        <v/>
      </c>
      <c r="U179" s="52">
        <f>IFERROR(IF(INDEX('Education'!$L$10:$L$13,MATCH($F179,'Education'!$B$10:$B$13,0))="","Cell will autofill based on response",INDEX('Education'!$L$10:$L$13,MATCH($F179,'Education'!$B$10:$B$13,0))),"N/A")</f>
        <v/>
      </c>
      <c r="V179" s="52">
        <f>IFERROR(IF(INDEX('SaSS'!$L$10:$L$12,MATCH($F179,'SaSS'!$B$10:$B$12,0))="","Cell will autofill based on response",INDEX('SaSS'!$L$10:$L$12,MATCH($F179,'SaSS'!$B$10:$B$12,0))),"N/A")</f>
        <v/>
      </c>
      <c r="W179" s="52">
        <f>IFERROR(IF(INDEX('Indigenous'!$L$10:$L$11,MATCH($F179,'Indigenous'!$B$10:$B$11,0))="","Cell will autofill based on response",INDEX('Indigenous'!$L$10:$L$11,MATCH($F179,'Indigenous'!$B$10:$B$11,0))),"N/A")</f>
        <v/>
      </c>
      <c r="X179" s="52">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3">
        <f>IF(AF179&gt;0,AE179/AF179,"No valid responses to date")</f>
        <v/>
      </c>
      <c r="AH179" s="10">
        <f>IF(ISNUMBER(AG179),INDEX(Lists!$G$2:$G$5,MATCH(ROUND(AG179,0),Lists!$H$2:$H$5,0)),"")</f>
        <v/>
      </c>
      <c r="AI179" s="54">
        <f>IF(AF179&gt;0,AD179/AF179,"")</f>
        <v/>
      </c>
      <c r="AJ179" s="54">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2">
        <f>IFERROR(IF(INDEX('Faculties'!$M$10:$M$19,MATCH($F180,'Faculties'!$B$10:$B$19,0))="","Cell will autofill based on response",INDEX('Faculties'!$M$10:$M$19,MATCH($F180,'Faculties'!$B$10:$B$19,0))),"N/A")</f>
        <v/>
      </c>
      <c r="I180" s="52">
        <f>IFERROR(IF(INDEX('Faculties'!$M$26:$M$35,MATCH($F180,'Faculties'!$B$26:$B$35,0))="","Cell will autofill based on response",INDEX('Faculties'!$M$26:$M$35,MATCH($F180,'Faculties'!$B$26:$B$35,0))),"N/A")</f>
        <v/>
      </c>
      <c r="J180" s="52">
        <f>IFERROR(IF(INDEX('Faculties'!$M$42:$M$51,MATCH($F180,'Faculties'!$B$42:$B$51,0))="","Cell will autofill based on response",INDEX('Faculties'!$M$42:$M$51,MATCH($F180,'Faculties'!$B$42:$B$51,0))),"N/A")</f>
        <v/>
      </c>
      <c r="K180" s="52">
        <f>IFERROR(IF(INDEX('Faculties'!$M$58:$M$67,MATCH($F180,'Faculties'!$B$58:$B$67,0))="","Cell will autofill based on response",INDEX('Faculties'!$M$58:$M$67,MATCH($F180,'Faculties'!$B$58:$B$67,0))),"N/A")</f>
        <v/>
      </c>
      <c r="L180" s="52">
        <f>IFERROR(IF(INDEX('CI&amp;S'!$M$10:$M$15,MATCH($F180,'CI&amp;S'!$B$10:$B$15,0))="","Cell will autofill based on response",INDEX('CI&amp;S'!$M$10:$M$15,MATCH($F180,'CI&amp;S'!$B$10:$B$15,0))),"N/A")</f>
        <v/>
      </c>
      <c r="M180" s="52">
        <f>IFERROR(IF(INDEX('CI&amp;S'!$M$22:$M$36,MATCH($F180,'CI&amp;S'!$B$22:$B$36,0))="","Cell will autofill based on response",INDEX('CI&amp;S'!$M$22:$M$36,MATCH($F180,'CI&amp;S'!$B$22:$B$36,0))),"N/A")</f>
        <v/>
      </c>
      <c r="N180" s="52">
        <f>IFERROR(IF(INDEX('CFOG'!$M$10:$M$16,MATCH($F180,'CFOG'!$B$10:$B$16,0))="","Cell will autofill based on response",INDEX('CFOG'!$M$10:$M$16,MATCH($F180,'CFOG'!$B$10:$B$16,0))),"N/A")</f>
        <v/>
      </c>
      <c r="O180" s="52">
        <f>IFERROR(IF(INDEX('CFOG'!$M$23:$M$24,MATCH($F180,'CFOG'!$B$23:$B$24,0))="","Cell will autofill based on response",INDEX('CFOG'!$M$23:$M$24,MATCH($F180,'CFOG'!$B$23:$B$24,0))),"N/A")</f>
        <v/>
      </c>
      <c r="P180" s="52">
        <f>IFERROR(IF(INDEX('ESG'!$M$10:$M$17,MATCH($F180,'ESG'!$B$10:$B$17,0))="","Cell will autofill based on response",INDEX('ESG'!$M$10:$M$17,MATCH($F180,'ESG'!$B$10:$B$17,0))),"N/A")</f>
        <v/>
      </c>
      <c r="Q180" s="52">
        <f>IFERROR(IF(INDEX('CIOG'!$M$10:$M$14,MATCH($F180,'CIOG'!$B$10:$B$14,0))="","Cell will autofill based on response",INDEX('CIOG'!$M$10:$M$14,MATCH($F180,'CIOG'!$B$10:$B$14,0))),"N/A")</f>
        <v/>
      </c>
      <c r="R180" s="52">
        <f>IFERROR(IF(INDEX('MRE'!$M$10:$M$18,MATCH($F180,'MRE'!$B$10:$B$18,0))="","Cell will autofill based on response",INDEX('MRE'!$M$10:$M$18,MATCH($F180,'MRE'!$B$10:$B$18,0))),"N/A")</f>
        <v/>
      </c>
      <c r="S180" s="52">
        <f>IFERROR(IF(INDEX('AC&amp;M'!$M$10:$M$14,MATCH($F180,'AC&amp;M'!$B$10:$B$14,0))="","Cell will autofill based on response",INDEX('AC&amp;M'!$M$10:$M$14,MATCH($F180,'AC&amp;M'!$B$10:$B$14,0))),"N/A")</f>
        <v/>
      </c>
      <c r="T180" s="52">
        <f>IFERROR(IF(INDEX('GCE'!$M$10:$M$12,MATCH($F180,'GCE'!$B$10:$B$12,0))="","Cell will autofill based on response",INDEX('GCE'!$M$10:$M$12,MATCH($F180,'GCE'!$B$10:$B$12,0))),"N/A")</f>
        <v/>
      </c>
      <c r="U180" s="52">
        <f>IFERROR(IF(INDEX('Education'!$M$10:$M$13,MATCH($F180,'Education'!$B$10:$B$13,0))="","Cell will autofill based on response",INDEX('Education'!$M$10:$M$13,MATCH($F180,'Education'!$B$10:$B$13,0))),"N/A")</f>
        <v/>
      </c>
      <c r="V180" s="52">
        <f>IFERROR(IF(INDEX('SaSS'!$M$10:$M$12,MATCH($F180,'SaSS'!$B$10:$B$12,0))="","Cell will autofill based on response",INDEX('SaSS'!$M$10:$M$12,MATCH($F180,'SaSS'!$B$10:$B$12,0))),"N/A")</f>
        <v/>
      </c>
      <c r="W180" s="52">
        <f>IFERROR(IF(INDEX('Indigenous'!$M$10:$M$11,MATCH($F180,'Indigenous'!$B$10:$B$11,0))="","Cell will autofill based on response",INDEX('Indigenous'!$M$10:$M$11,MATCH($F180,'Indigenous'!$B$10:$B$11,0))),"N/A")</f>
        <v/>
      </c>
      <c r="X180" s="52">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2">
        <f>IFERROR(IF(INDEX('Faculties'!$N$10:$N$19,MATCH($F181,'Faculties'!$B$10:$B$19,0))="","Cell will autofill based on response",INDEX('Faculties'!$N$10:$N$19,MATCH($F181,'Faculties'!$B$10:$B$19,0))),"N/A")</f>
        <v/>
      </c>
      <c r="I181" s="52">
        <f>IFERROR(IF(INDEX('Faculties'!$N$26:$N$35,MATCH($F181,'Faculties'!$B$26:$B$35,0))="","Cell will autofill based on response",INDEX('Faculties'!$N$26:$N$35,MATCH($F181,'Faculties'!$B$26:$B$35,0))),"N/A")</f>
        <v/>
      </c>
      <c r="J181" s="52">
        <f>IFERROR(IF(INDEX('Faculties'!$N$42:$N$51,MATCH($F181,'Faculties'!$B$42:$B$51,0))="","Cell will autofill based on response",INDEX('Faculties'!$N$42:$N$51,MATCH($F181,'Faculties'!$B$42:$B$51,0))),"N/A")</f>
        <v/>
      </c>
      <c r="K181" s="52">
        <f>IFERROR(IF(INDEX('Faculties'!$N$58:$N$67,MATCH($F181,'Faculties'!$B$58:$B$67,0))="","Cell will autofill based on response",INDEX('Faculties'!$N$58:$N$67,MATCH($F181,'Faculties'!$B$58:$B$67,0))),"N/A")</f>
        <v/>
      </c>
      <c r="L181" s="52">
        <f>IFERROR(IF(INDEX('CI&amp;S'!$N$10:$N$15,MATCH($F181,'CI&amp;S'!$B$10:$B$15,0))="","Cell will autofill based on response",INDEX('CI&amp;S'!$N$10:$N$15,MATCH($F181,'CI&amp;S'!$B$10:$B$15,0))),"N/A")</f>
        <v/>
      </c>
      <c r="M181" s="52">
        <f>IFERROR(IF(INDEX('CI&amp;S'!$N$22:$N$36,MATCH($F181,'CI&amp;S'!$B$22:$B$36,0))="","Cell will autofill based on response",INDEX('CI&amp;S'!$N$22:$N$36,MATCH($F181,'CI&amp;S'!$B$22:$B$36,0))),"N/A")</f>
        <v/>
      </c>
      <c r="N181" s="52">
        <f>IFERROR(IF(INDEX('CFOG'!$N$10:$N$16,MATCH($F181,'CFOG'!$B$10:$B$16,0))="","Cell will autofill based on response",INDEX('CFOG'!$N$10:$N$16,MATCH($F181,'CFOG'!$B$10:$B$16,0))),"N/A")</f>
        <v/>
      </c>
      <c r="O181" s="52">
        <f>IFERROR(IF(INDEX('CFOG'!$N$23:$N$24,MATCH($F181,'CFOG'!$B$23:$B$24,0))="","Cell will autofill based on response",INDEX('CFOG'!$N$23:$N$24,MATCH($F181,'CFOG'!$B$23:$B$24,0))),"N/A")</f>
        <v/>
      </c>
      <c r="P181" s="52">
        <f>IFERROR(IF(INDEX('ESG'!$N$10:$N$17,MATCH($F181,'ESG'!$B$10:$B$17,0))="","Cell will autofill based on response",INDEX('ESG'!$N$10:$N$17,MATCH($F181,'ESG'!$B$10:$B$17,0))),"N/A")</f>
        <v/>
      </c>
      <c r="Q181" s="52">
        <f>IFERROR(IF(INDEX('CIOG'!$N$10:$N$14,MATCH($F181,'CIOG'!$B$10:$B$14,0))="","Cell will autofill based on response",INDEX('CIOG'!$N$10:$N$14,MATCH($F181,'CIOG'!$B$10:$B$14,0))),"N/A")</f>
        <v/>
      </c>
      <c r="R181" s="52">
        <f>IFERROR(IF(INDEX('MRE'!$N$10:$N$18,MATCH($F181,'MRE'!$B$10:$B$18,0))="","Cell will autofill based on response",INDEX('MRE'!$N$10:$N$18,MATCH($F181,'MRE'!$B$10:$B$18,0))),"N/A")</f>
        <v/>
      </c>
      <c r="S181" s="52">
        <f>IFERROR(IF(INDEX('AC&amp;M'!$N$10:$N$14,MATCH($F181,'AC&amp;M'!$B$10:$B$14,0))="","Cell will autofill based on response",INDEX('AC&amp;M'!$N$10:$N$14,MATCH($F181,'AC&amp;M'!$B$10:$B$14,0))),"N/A")</f>
        <v/>
      </c>
      <c r="T181" s="52">
        <f>IFERROR(IF(INDEX('GCE'!$N$10:$N$12,MATCH($F181,'GCE'!$B$10:$B$12,0))="","Cell will autofill based on response",INDEX('GCE'!$N$10:$N$12,MATCH($F181,'GCE'!$B$10:$B$12,0))),"N/A")</f>
        <v/>
      </c>
      <c r="U181" s="52">
        <f>IFERROR(IF(INDEX('Education'!$N$10:$N$13,MATCH($F181,'Education'!$B$10:$B$13,0))="","Cell will autofill based on response",INDEX('Education'!$N$10:$N$13,MATCH($F181,'Education'!$B$10:$B$13,0))),"N/A")</f>
        <v/>
      </c>
      <c r="V181" s="52">
        <f>IFERROR(IF(INDEX('SaSS'!$N$10:$N$12,MATCH($F181,'SaSS'!$B$10:$B$12,0))="","Cell will autofill based on response",INDEX('SaSS'!$N$10:$N$12,MATCH($F181,'SaSS'!$B$10:$B$12,0))),"N/A")</f>
        <v/>
      </c>
      <c r="W181" s="52">
        <f>IFERROR(IF(INDEX('Indigenous'!$N$10:$N$11,MATCH($F181,'Indigenous'!$B$10:$B$11,0))="","Cell will autofill based on response",INDEX('Indigenous'!$N$10:$N$11,MATCH($F181,'Indigenous'!$B$10:$B$11,0))),"N/A")</f>
        <v/>
      </c>
      <c r="X181" s="52">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2">
        <f>IFERROR(IF(INDEX('Faculties'!$O$10:$O$19,MATCH($F182,'Faculties'!$B$10:$B$19,0))="","Cell will autofill based on response",INDEX('Faculties'!$O$10:$O$19,MATCH($F182,'Faculties'!$B$10:$B$19,0))),"N/A")</f>
        <v/>
      </c>
      <c r="I182" s="52">
        <f>IFERROR(IF(INDEX('Faculties'!$O$26:$O$35,MATCH($F182,'Faculties'!$B$26:$B$35,0))="","Cell will autofill based on response",INDEX('Faculties'!$O$26:$O$35,MATCH($F182,'Faculties'!$B$26:$B$35,0))),"N/A")</f>
        <v/>
      </c>
      <c r="J182" s="52">
        <f>IFERROR(IF(INDEX('Faculties'!$O$42:$O$51,MATCH($F182,'Faculties'!$B$42:$B$51,0))="","Cell will autofill based on response",INDEX('Faculties'!$O$42:$O$51,MATCH($F182,'Faculties'!$B$42:$B$51,0))),"N/A")</f>
        <v/>
      </c>
      <c r="K182" s="52">
        <f>IFERROR(IF(INDEX('Faculties'!$O$58:$O$67,MATCH($F182,'Faculties'!$B$58:$B$67,0))="","Cell will autofill based on response",INDEX('Faculties'!$O$58:$O$67,MATCH($F182,'Faculties'!$B$58:$B$67,0))),"N/A")</f>
        <v/>
      </c>
      <c r="L182" s="52">
        <f>IFERROR(IF(INDEX('CI&amp;S'!$O$10:$O$15,MATCH($F182,'CI&amp;S'!$B$10:$B$15,0))="","Cell will autofill based on response",INDEX('CI&amp;S'!$O$10:$O$15,MATCH($F182,'CI&amp;S'!$B$10:$B$15,0))),"N/A")</f>
        <v/>
      </c>
      <c r="M182" s="52">
        <f>IFERROR(IF(INDEX('CI&amp;S'!$O$22:$O$36,MATCH($F182,'CI&amp;S'!$B$22:$B$36,0))="","Cell will autofill based on response",INDEX('CI&amp;S'!$O$22:$O$36,MATCH($F182,'CI&amp;S'!$B$22:$B$36,0))),"N/A")</f>
        <v/>
      </c>
      <c r="N182" s="52">
        <f>IFERROR(IF(INDEX('CFOG'!$O$10:$O$16,MATCH($F182,'CFOG'!$B$10:$B$16,0))="","Cell will autofill based on response",INDEX('CFOG'!$O$10:$O$16,MATCH($F182,'CFOG'!$B$10:$B$16,0))),"N/A")</f>
        <v/>
      </c>
      <c r="O182" s="52">
        <f>IFERROR(IF(INDEX('CFOG'!$O$23:$O$24,MATCH($F182,'CFOG'!$B$23:$B$24,0))="","Cell will autofill based on response",INDEX('CFOG'!$O$23:$O$24,MATCH($F182,'CFOG'!$B$23:$B$24,0))),"N/A")</f>
        <v/>
      </c>
      <c r="P182" s="52">
        <f>IFERROR(IF(INDEX('ESG'!$O$10:$O$17,MATCH($F182,'ESG'!$B$10:$B$17,0))="","Cell will autofill based on response",INDEX('ESG'!$O$10:$O$17,MATCH($F182,'ESG'!$B$10:$B$17,0))),"N/A")</f>
        <v/>
      </c>
      <c r="Q182" s="52">
        <f>IFERROR(IF(INDEX('CIOG'!$O$10:$O$14,MATCH($F182,'CIOG'!$B$10:$B$14,0))="","Cell will autofill based on response",INDEX('CIOG'!$O$10:$O$14,MATCH($F182,'CIOG'!$B$10:$B$14,0))),"N/A")</f>
        <v/>
      </c>
      <c r="R182" s="52">
        <f>IFERROR(IF(INDEX('MRE'!$O$10:$O$18,MATCH($F182,'MRE'!$B$10:$B$18,0))="","Cell will autofill based on response",INDEX('MRE'!$O$10:$O$18,MATCH($F182,'MRE'!$B$10:$B$18,0))),"N/A")</f>
        <v/>
      </c>
      <c r="S182" s="52">
        <f>IFERROR(IF(INDEX('AC&amp;M'!$O$10:$O$14,MATCH($F182,'AC&amp;M'!$B$10:$B$14,0))="","Cell will autofill based on response",INDEX('AC&amp;M'!$O$10:$O$14,MATCH($F182,'AC&amp;M'!$B$10:$B$14,0))),"N/A")</f>
        <v/>
      </c>
      <c r="T182" s="52">
        <f>IFERROR(IF(INDEX('GCE'!$O$10:$O$12,MATCH($F182,'GCE'!$B$10:$B$12,0))="","Cell will autofill based on response",INDEX('GCE'!$O$10:$O$12,MATCH($F182,'GCE'!$B$10:$B$12,0))),"N/A")</f>
        <v/>
      </c>
      <c r="U182" s="52">
        <f>IFERROR(IF(INDEX('Education'!$O$10:$O$13,MATCH($F182,'Education'!$B$10:$B$13,0))="","Cell will autofill based on response",INDEX('Education'!$O$10:$O$13,MATCH($F182,'Education'!$B$10:$B$13,0))),"N/A")</f>
        <v/>
      </c>
      <c r="V182" s="52">
        <f>IFERROR(IF(INDEX('SaSS'!$O$10:$O$12,MATCH($F182,'SaSS'!$B$10:$B$12,0))="","Cell will autofill based on response",INDEX('SaSS'!$O$10:$O$12,MATCH($F182,'SaSS'!$B$10:$B$12,0))),"N/A")</f>
        <v/>
      </c>
      <c r="W182" s="52">
        <f>IFERROR(IF(INDEX('Indigenous'!$O$10:$O$11,MATCH($F182,'Indigenous'!$B$10:$B$11,0))="","Cell will autofill based on response",INDEX('Indigenous'!$O$10:$O$11,MATCH($F182,'Indigenous'!$B$10:$B$11,0))),"N/A")</f>
        <v/>
      </c>
      <c r="X182" s="52">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2">
        <f>IFERROR(IF(INDEX('Faculties'!$P$10:$P$19,MATCH($F183,'Faculties'!$B$10:$B$19,0))="","Cell will autofill based on response",INDEX('Faculties'!$P$10:$P$19,MATCH($F183,'Faculties'!$B$10:$B$19,0))),"N/A")</f>
        <v/>
      </c>
      <c r="I183" s="52">
        <f>IFERROR(IF(INDEX('Faculties'!$P$26:$P$35,MATCH($F183,'Faculties'!$B$26:$B$35,0))="","Cell will autofill based on response",INDEX('Faculties'!$P$26:$P$35,MATCH($F183,'Faculties'!$B$26:$B$35,0))),"N/A")</f>
        <v/>
      </c>
      <c r="J183" s="52">
        <f>IFERROR(IF(INDEX('Faculties'!$P$42:$P$51,MATCH($F183,'Faculties'!$B$42:$B$51,0))="","Cell will autofill based on response",INDEX('Faculties'!$P$42:$P$51,MATCH($F183,'Faculties'!$B$42:$B$51,0))),"N/A")</f>
        <v/>
      </c>
      <c r="K183" s="52">
        <f>IFERROR(IF(INDEX('Faculties'!$P$58:$P$67,MATCH($F183,'Faculties'!$B$58:$B$67,0))="","Cell will autofill based on response",INDEX('Faculties'!$P$58:$P$67,MATCH($F183,'Faculties'!$B$58:$B$67,0))),"N/A")</f>
        <v/>
      </c>
      <c r="L183" s="52">
        <f>IFERROR(IF(INDEX('CI&amp;S'!$P$10:$P$15,MATCH($F183,'CI&amp;S'!$B$10:$B$15,0))="","Cell will autofill based on response",INDEX('CI&amp;S'!$P$10:$P$15,MATCH($F183,'CI&amp;S'!$B$10:$B$15,0))),"N/A")</f>
        <v/>
      </c>
      <c r="M183" s="52">
        <f>IFERROR(IF(INDEX('CI&amp;S'!$P$22:$P$36,MATCH($F183,'CI&amp;S'!$B$22:$B$36,0))="","Cell will autofill based on response",INDEX('CI&amp;S'!$P$22:$P$36,MATCH($F183,'CI&amp;S'!$B$22:$B$36,0))),"N/A")</f>
        <v/>
      </c>
      <c r="N183" s="52">
        <f>IFERROR(IF(INDEX('CFOG'!$P$10:$P$16,MATCH($F183,'CFOG'!$B$10:$B$16,0))="","Cell will autofill based on response",INDEX('CFOG'!$P$10:$P$16,MATCH($F183,'CFOG'!$B$10:$B$16,0))),"N/A")</f>
        <v/>
      </c>
      <c r="O183" s="52">
        <f>IFERROR(IF(INDEX('CFOG'!$P$23:$P$24,MATCH($F183,'CFOG'!$B$23:$B$24,0))="","Cell will autofill based on response",INDEX('CFOG'!$P$23:$P$24,MATCH($F183,'CFOG'!$B$23:$B$24,0))),"N/A")</f>
        <v/>
      </c>
      <c r="P183" s="52">
        <f>IFERROR(IF(INDEX('ESG'!$P$10:$P$17,MATCH($F183,'ESG'!$B$10:$B$17,0))="","Cell will autofill based on response",INDEX('ESG'!$P$10:$P$17,MATCH($F183,'ESG'!$B$10:$B$17,0))),"N/A")</f>
        <v/>
      </c>
      <c r="Q183" s="52">
        <f>IFERROR(IF(INDEX('CIOG'!$P$10:$P$14,MATCH($F183,'CIOG'!$B$10:$B$14,0))="","Cell will autofill based on response",INDEX('CIOG'!$P$10:$P$14,MATCH($F183,'CIOG'!$B$10:$B$14,0))),"N/A")</f>
        <v/>
      </c>
      <c r="R183" s="52">
        <f>IFERROR(IF(INDEX('MRE'!$P$10:$P$18,MATCH($F183,'MRE'!$B$10:$B$18,0))="","Cell will autofill based on response",INDEX('MRE'!$P$10:$P$18,MATCH($F183,'MRE'!$B$10:$B$18,0))),"N/A")</f>
        <v/>
      </c>
      <c r="S183" s="52">
        <f>IFERROR(IF(INDEX('AC&amp;M'!$P$10:$P$14,MATCH($F183,'AC&amp;M'!$B$10:$B$14,0))="","Cell will autofill based on response",INDEX('AC&amp;M'!$P$10:$P$14,MATCH($F183,'AC&amp;M'!$B$10:$B$14,0))),"N/A")</f>
        <v/>
      </c>
      <c r="T183" s="52">
        <f>IFERROR(IF(INDEX('GCE'!$P$10:$P$12,MATCH($F183,'GCE'!$B$10:$B$12,0))="","Cell will autofill based on response",INDEX('GCE'!$P$10:$P$12,MATCH($F183,'GCE'!$B$10:$B$12,0))),"N/A")</f>
        <v/>
      </c>
      <c r="U183" s="52">
        <f>IFERROR(IF(INDEX('Education'!$P$10:$P$13,MATCH($F183,'Education'!$B$10:$B$13,0))="","Cell will autofill based on response",INDEX('Education'!$P$10:$P$13,MATCH($F183,'Education'!$B$10:$B$13,0))),"N/A")</f>
        <v/>
      </c>
      <c r="V183" s="52">
        <f>IFERROR(IF(INDEX('SaSS'!$P$10:$P$12,MATCH($F183,'SaSS'!$B$10:$B$12,0))="","Cell will autofill based on response",INDEX('SaSS'!$P$10:$P$12,MATCH($F183,'SaSS'!$B$10:$B$12,0))),"N/A")</f>
        <v/>
      </c>
      <c r="W183" s="52">
        <f>IFERROR(IF(INDEX('Indigenous'!$P$10:$P$11,MATCH($F183,'Indigenous'!$B$10:$B$11,0))="","Cell will autofill based on response",INDEX('Indigenous'!$P$10:$P$11,MATCH($F183,'Indigenous'!$B$10:$B$11,0))),"N/A")</f>
        <v/>
      </c>
      <c r="X183" s="52">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2">
        <f>IFERROR(IF(INDEX('Faculties'!$Q$10:$Q$19,MATCH($F184,'Faculties'!$B$10:$B$19,0))="","Cell will autofill based on response",INDEX('Faculties'!$Q$10:$Q$19,MATCH($F184,'Faculties'!$B$10:$B$19,0))),"N/A")</f>
        <v/>
      </c>
      <c r="I184" s="52">
        <f>IFERROR(IF(INDEX('Faculties'!$Q$26:$Q$35,MATCH($F184,'Faculties'!$B$26:$B$35,0))="","Cell will autofill based on response",INDEX('Faculties'!$Q$26:$Q$35,MATCH($F184,'Faculties'!$B$26:$B$35,0))),"N/A")</f>
        <v/>
      </c>
      <c r="J184" s="52">
        <f>IFERROR(IF(INDEX('Faculties'!$Q$42:$Q$51,MATCH($F184,'Faculties'!$B$42:$B$51,0))="","Cell will autofill based on response",INDEX('Faculties'!$Q$42:$Q$51,MATCH($F184,'Faculties'!$B$42:$B$51,0))),"N/A")</f>
        <v/>
      </c>
      <c r="K184" s="52">
        <f>IFERROR(IF(INDEX('Faculties'!$Q$58:$Q$67,MATCH($F184,'Faculties'!$B$58:$B$67,0))="","Cell will autofill based on response",INDEX('Faculties'!$Q$58:$Q$67,MATCH($F184,'Faculties'!$B$58:$B$67,0))),"N/A")</f>
        <v/>
      </c>
      <c r="L184" s="52">
        <f>IFERROR(IF(INDEX('CI&amp;S'!$Q$10:$Q$15,MATCH($F184,'CI&amp;S'!$B$10:$B$15,0))="","Cell will autofill based on response",INDEX('CI&amp;S'!$Q$10:$Q$15,MATCH($F184,'CI&amp;S'!$B$10:$B$15,0))),"N/A")</f>
        <v/>
      </c>
      <c r="M184" s="52">
        <f>IFERROR(IF(INDEX('CI&amp;S'!$Q$22:$Q$36,MATCH($F184,'CI&amp;S'!$B$22:$B$36,0))="","Cell will autofill based on response",INDEX('CI&amp;S'!$Q$22:$Q$36,MATCH($F184,'CI&amp;S'!$B$22:$B$36,0))),"N/A")</f>
        <v/>
      </c>
      <c r="N184" s="52">
        <f>IFERROR(IF(INDEX('CFOG'!$Q$10:$Q$16,MATCH($F184,'CFOG'!$B$10:$B$16,0))="","Cell will autofill based on response",INDEX('CFOG'!$Q$10:$Q$16,MATCH($F184,'CFOG'!$B$10:$B$16,0))),"N/A")</f>
        <v/>
      </c>
      <c r="O184" s="52">
        <f>IFERROR(IF(INDEX('CFOG'!$Q$23:$Q$24,MATCH($F184,'CFOG'!$B$23:$B$24,0))="","Cell will autofill based on response",INDEX('CFOG'!$Q$23:$Q$24,MATCH($F184,'CFOG'!$B$23:$B$24,0))),"N/A")</f>
        <v/>
      </c>
      <c r="P184" s="52">
        <f>IFERROR(IF(INDEX('ESG'!$Q$10:$Q$17,MATCH($F184,'ESG'!$B$10:$B$17,0))="","Cell will autofill based on response",INDEX('ESG'!$Q$10:$Q$17,MATCH($F184,'ESG'!$B$10:$B$17,0))),"N/A")</f>
        <v/>
      </c>
      <c r="Q184" s="52">
        <f>IFERROR(IF(INDEX('CIOG'!$Q$10:$Q$14,MATCH($F184,'CIOG'!$B$10:$B$14,0))="","Cell will autofill based on response",INDEX('CIOG'!$Q$10:$Q$14,MATCH($F184,'CIOG'!$B$10:$B$14,0))),"N/A")</f>
        <v/>
      </c>
      <c r="R184" s="52">
        <f>IFERROR(IF(INDEX('MRE'!$Q$10:$Q$18,MATCH($F184,'MRE'!$B$10:$B$18,0))="","Cell will autofill based on response",INDEX('MRE'!$Q$10:$Q$18,MATCH($F184,'MRE'!$B$10:$B$18,0))),"N/A")</f>
        <v/>
      </c>
      <c r="S184" s="52">
        <f>IFERROR(IF(INDEX('AC&amp;M'!$Q$10:$Q$14,MATCH($F184,'AC&amp;M'!$B$10:$B$14,0))="","Cell will autofill based on response",INDEX('AC&amp;M'!$Q$10:$Q$14,MATCH($F184,'AC&amp;M'!$B$10:$B$14,0))),"N/A")</f>
        <v/>
      </c>
      <c r="T184" s="52">
        <f>IFERROR(IF(INDEX('GCE'!$Q$10:$Q$12,MATCH($F184,'GCE'!$B$10:$B$12,0))="","Cell will autofill based on response",INDEX('GCE'!$Q$10:$Q$12,MATCH($F184,'GCE'!$B$10:$B$12,0))),"N/A")</f>
        <v/>
      </c>
      <c r="U184" s="52">
        <f>IFERROR(IF(INDEX('Education'!$Q$10:$Q$13,MATCH($F184,'Education'!$B$10:$B$13,0))="","Cell will autofill based on response",INDEX('Education'!$Q$10:$Q$13,MATCH($F184,'Education'!$B$10:$B$13,0))),"N/A")</f>
        <v/>
      </c>
      <c r="V184" s="52">
        <f>IFERROR(IF(INDEX('SaSS'!$Q$10:$Q$12,MATCH($F184,'SaSS'!$B$10:$B$12,0))="","Cell will autofill based on response",INDEX('SaSS'!$Q$10:$Q$12,MATCH($F184,'SaSS'!$B$10:$B$12,0))),"N/A")</f>
        <v/>
      </c>
      <c r="W184" s="52">
        <f>IFERROR(IF(INDEX('Indigenous'!$Q$10:$Q$11,MATCH($F184,'Indigenous'!$B$10:$B$11,0))="","Cell will autofill based on response",INDEX('Indigenous'!$Q$10:$Q$11,MATCH($F184,'Indigenous'!$B$10:$B$11,0))),"N/A")</f>
        <v/>
      </c>
      <c r="X184" s="52">
        <f>IFERROR(IF(INDEX('L&amp;R'!$Q$10:$Q$11,MATCH($F184,'L&amp;R'!$B$10:$B$11,0))="","Cell will autofill based on response",INDEX('L&amp;R'!$Q$10:$Q$11,MATCH($F184,'L&amp;R'!$B$10:$B$11,0))),"N/A")</f>
        <v/>
      </c>
    </row>
    <row r="185">
      <c r="A185">
        <f>F185&amp;"|"&amp;G185</f>
        <v/>
      </c>
      <c r="B185" s="7" t="inlineStr">
        <is>
          <t>EI1(c)</t>
        </is>
      </c>
      <c r="C185" s="50" t="inlineStr">
        <is>
          <t>Estate and infrastructure</t>
        </is>
      </c>
      <c r="D185" s="50" t="inlineStr">
        <is>
          <t>Reporting on relevant activities and impacts for the University’s major estate and infrastructure projects and programs aligned with the other priority areas in Sustainability 2030</t>
        </is>
      </c>
      <c r="E185"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0" t="inlineStr">
        <is>
          <t>EI1(c)</t>
        </is>
      </c>
      <c r="G185" s="50" t="inlineStr">
        <is>
          <t>Confirm end-2026 target status</t>
        </is>
      </c>
      <c r="H185" s="52">
        <f>IFERROR(IF(INDEX('Faculties'!$L$10:$L$19,MATCH($F185,'Faculties'!$B$10:$B$19,0))="","Cell will autofill based on response",INDEX('Faculties'!$L$10:$L$19,MATCH($F185,'Faculties'!$B$10:$B$19,0))),"N/A")</f>
        <v/>
      </c>
      <c r="I185" s="52">
        <f>IFERROR(IF(INDEX('Faculties'!$L$26:$L$35,MATCH($F185,'Faculties'!$B$26:$B$35,0))="","Cell will autofill based on response",INDEX('Faculties'!$L$26:$L$35,MATCH($F185,'Faculties'!$B$26:$B$35,0))),"N/A")</f>
        <v/>
      </c>
      <c r="J185" s="52">
        <f>IFERROR(IF(INDEX('Faculties'!$L$42:$L$51,MATCH($F185,'Faculties'!$B$42:$B$51,0))="","Cell will autofill based on response",INDEX('Faculties'!$L$42:$L$51,MATCH($F185,'Faculties'!$B$42:$B$51,0))),"N/A")</f>
        <v/>
      </c>
      <c r="K185" s="52">
        <f>IFERROR(IF(INDEX('Faculties'!$L$58:$L$67,MATCH($F185,'Faculties'!$B$58:$B$67,0))="","Cell will autofill based on response",INDEX('Faculties'!$L$58:$L$67,MATCH($F185,'Faculties'!$B$58:$B$67,0))),"N/A")</f>
        <v/>
      </c>
      <c r="L185" s="52">
        <f>IFERROR(IF(INDEX('CI&amp;S'!$L$10:$L$15,MATCH($F185,'CI&amp;S'!$B$10:$B$15,0))="","Cell will autofill based on response",INDEX('CI&amp;S'!$L$10:$L$15,MATCH($F185,'CI&amp;S'!$B$10:$B$15,0))),"N/A")</f>
        <v/>
      </c>
      <c r="M185" s="52">
        <f>IFERROR(IF(INDEX('CI&amp;S'!$L$22:$L$36,MATCH($F185,'CI&amp;S'!$B$22:$B$36,0))="","Cell will autofill based on response",INDEX('CI&amp;S'!$L$22:$L$36,MATCH($F185,'CI&amp;S'!$B$22:$B$36,0))),"N/A")</f>
        <v/>
      </c>
      <c r="N185" s="52">
        <f>IFERROR(IF(INDEX('CFOG'!$L$10:$L$16,MATCH($F185,'CFOG'!$B$10:$B$16,0))="","Cell will autofill based on response",INDEX('CFOG'!$L$10:$L$16,MATCH($F185,'CFOG'!$B$10:$B$16,0))),"N/A")</f>
        <v/>
      </c>
      <c r="O185" s="52">
        <f>IFERROR(IF(INDEX('CFOG'!$L$23:$L$24,MATCH($F185,'CFOG'!$B$23:$B$24,0))="","Cell will autofill based on response",INDEX('CFOG'!$L$23:$L$24,MATCH($F185,'CFOG'!$B$23:$B$24,0))),"N/A")</f>
        <v/>
      </c>
      <c r="P185" s="52">
        <f>IFERROR(IF(INDEX('ESG'!$L$10:$L$17,MATCH($F185,'ESG'!$B$10:$B$17,0))="","Cell will autofill based on response",INDEX('ESG'!$L$10:$L$17,MATCH($F185,'ESG'!$B$10:$B$17,0))),"N/A")</f>
        <v/>
      </c>
      <c r="Q185" s="52">
        <f>IFERROR(IF(INDEX('CIOG'!$L$10:$L$14,MATCH($F185,'CIOG'!$B$10:$B$14,0))="","Cell will autofill based on response",INDEX('CIOG'!$L$10:$L$14,MATCH($F185,'CIOG'!$B$10:$B$14,0))),"N/A")</f>
        <v/>
      </c>
      <c r="R185" s="52">
        <f>IFERROR(IF(INDEX('MRE'!$L$10:$L$18,MATCH($F185,'MRE'!$B$10:$B$18,0))="","Cell will autofill based on response",INDEX('MRE'!$L$10:$L$18,MATCH($F185,'MRE'!$B$10:$B$18,0))),"N/A")</f>
        <v/>
      </c>
      <c r="S185" s="52">
        <f>IFERROR(IF(INDEX('AC&amp;M'!$L$10:$L$14,MATCH($F185,'AC&amp;M'!$B$10:$B$14,0))="","Cell will autofill based on response",INDEX('AC&amp;M'!$L$10:$L$14,MATCH($F185,'AC&amp;M'!$B$10:$B$14,0))),"N/A")</f>
        <v/>
      </c>
      <c r="T185" s="52">
        <f>IFERROR(IF(INDEX('GCE'!$L$10:$L$12,MATCH($F185,'GCE'!$B$10:$B$12,0))="","Cell will autofill based on response",INDEX('GCE'!$L$10:$L$12,MATCH($F185,'GCE'!$B$10:$B$12,0))),"N/A")</f>
        <v/>
      </c>
      <c r="U185" s="52">
        <f>IFERROR(IF(INDEX('Education'!$L$10:$L$13,MATCH($F185,'Education'!$B$10:$B$13,0))="","Cell will autofill based on response",INDEX('Education'!$L$10:$L$13,MATCH($F185,'Education'!$B$10:$B$13,0))),"N/A")</f>
        <v/>
      </c>
      <c r="V185" s="52">
        <f>IFERROR(IF(INDEX('SaSS'!$L$10:$L$12,MATCH($F185,'SaSS'!$B$10:$B$12,0))="","Cell will autofill based on response",INDEX('SaSS'!$L$10:$L$12,MATCH($F185,'SaSS'!$B$10:$B$12,0))),"N/A")</f>
        <v/>
      </c>
      <c r="W185" s="52">
        <f>IFERROR(IF(INDEX('Indigenous'!$L$10:$L$11,MATCH($F185,'Indigenous'!$B$10:$B$11,0))="","Cell will autofill based on response",INDEX('Indigenous'!$L$10:$L$11,MATCH($F185,'Indigenous'!$B$10:$B$11,0))),"N/A")</f>
        <v/>
      </c>
      <c r="X185" s="52">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3">
        <f>IF(AF185&gt;0,AE185/AF185,"No valid responses to date")</f>
        <v/>
      </c>
      <c r="AH185" s="10">
        <f>IF(ISNUMBER(AG185),INDEX(Lists!$G$2:$G$5,MATCH(ROUND(AG185,0),Lists!$H$2:$H$5,0)),"")</f>
        <v/>
      </c>
      <c r="AI185" s="54">
        <f>IF(AF185&gt;0,AD185/AF185,"")</f>
        <v/>
      </c>
      <c r="AJ185" s="54">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2">
        <f>IFERROR(IF(INDEX('Faculties'!$M$10:$M$19,MATCH($F186,'Faculties'!$B$10:$B$19,0))="","Cell will autofill based on response",INDEX('Faculties'!$M$10:$M$19,MATCH($F186,'Faculties'!$B$10:$B$19,0))),"N/A")</f>
        <v/>
      </c>
      <c r="I186" s="52">
        <f>IFERROR(IF(INDEX('Faculties'!$M$26:$M$35,MATCH($F186,'Faculties'!$B$26:$B$35,0))="","Cell will autofill based on response",INDEX('Faculties'!$M$26:$M$35,MATCH($F186,'Faculties'!$B$26:$B$35,0))),"N/A")</f>
        <v/>
      </c>
      <c r="J186" s="52">
        <f>IFERROR(IF(INDEX('Faculties'!$M$42:$M$51,MATCH($F186,'Faculties'!$B$42:$B$51,0))="","Cell will autofill based on response",INDEX('Faculties'!$M$42:$M$51,MATCH($F186,'Faculties'!$B$42:$B$51,0))),"N/A")</f>
        <v/>
      </c>
      <c r="K186" s="52">
        <f>IFERROR(IF(INDEX('Faculties'!$M$58:$M$67,MATCH($F186,'Faculties'!$B$58:$B$67,0))="","Cell will autofill based on response",INDEX('Faculties'!$M$58:$M$67,MATCH($F186,'Faculties'!$B$58:$B$67,0))),"N/A")</f>
        <v/>
      </c>
      <c r="L186" s="52">
        <f>IFERROR(IF(INDEX('CI&amp;S'!$M$10:$M$15,MATCH($F186,'CI&amp;S'!$B$10:$B$15,0))="","Cell will autofill based on response",INDEX('CI&amp;S'!$M$10:$M$15,MATCH($F186,'CI&amp;S'!$B$10:$B$15,0))),"N/A")</f>
        <v/>
      </c>
      <c r="M186" s="52">
        <f>IFERROR(IF(INDEX('CI&amp;S'!$M$22:$M$36,MATCH($F186,'CI&amp;S'!$B$22:$B$36,0))="","Cell will autofill based on response",INDEX('CI&amp;S'!$M$22:$M$36,MATCH($F186,'CI&amp;S'!$B$22:$B$36,0))),"N/A")</f>
        <v/>
      </c>
      <c r="N186" s="52">
        <f>IFERROR(IF(INDEX('CFOG'!$M$10:$M$16,MATCH($F186,'CFOG'!$B$10:$B$16,0))="","Cell will autofill based on response",INDEX('CFOG'!$M$10:$M$16,MATCH($F186,'CFOG'!$B$10:$B$16,0))),"N/A")</f>
        <v/>
      </c>
      <c r="O186" s="52">
        <f>IFERROR(IF(INDEX('CFOG'!$M$23:$M$24,MATCH($F186,'CFOG'!$B$23:$B$24,0))="","Cell will autofill based on response",INDEX('CFOG'!$M$23:$M$24,MATCH($F186,'CFOG'!$B$23:$B$24,0))),"N/A")</f>
        <v/>
      </c>
      <c r="P186" s="52">
        <f>IFERROR(IF(INDEX('ESG'!$M$10:$M$17,MATCH($F186,'ESG'!$B$10:$B$17,0))="","Cell will autofill based on response",INDEX('ESG'!$M$10:$M$17,MATCH($F186,'ESG'!$B$10:$B$17,0))),"N/A")</f>
        <v/>
      </c>
      <c r="Q186" s="52">
        <f>IFERROR(IF(INDEX('CIOG'!$M$10:$M$14,MATCH($F186,'CIOG'!$B$10:$B$14,0))="","Cell will autofill based on response",INDEX('CIOG'!$M$10:$M$14,MATCH($F186,'CIOG'!$B$10:$B$14,0))),"N/A")</f>
        <v/>
      </c>
      <c r="R186" s="52">
        <f>IFERROR(IF(INDEX('MRE'!$M$10:$M$18,MATCH($F186,'MRE'!$B$10:$B$18,0))="","Cell will autofill based on response",INDEX('MRE'!$M$10:$M$18,MATCH($F186,'MRE'!$B$10:$B$18,0))),"N/A")</f>
        <v/>
      </c>
      <c r="S186" s="52">
        <f>IFERROR(IF(INDEX('AC&amp;M'!$M$10:$M$14,MATCH($F186,'AC&amp;M'!$B$10:$B$14,0))="","Cell will autofill based on response",INDEX('AC&amp;M'!$M$10:$M$14,MATCH($F186,'AC&amp;M'!$B$10:$B$14,0))),"N/A")</f>
        <v/>
      </c>
      <c r="T186" s="52">
        <f>IFERROR(IF(INDEX('GCE'!$M$10:$M$12,MATCH($F186,'GCE'!$B$10:$B$12,0))="","Cell will autofill based on response",INDEX('GCE'!$M$10:$M$12,MATCH($F186,'GCE'!$B$10:$B$12,0))),"N/A")</f>
        <v/>
      </c>
      <c r="U186" s="52">
        <f>IFERROR(IF(INDEX('Education'!$M$10:$M$13,MATCH($F186,'Education'!$B$10:$B$13,0))="","Cell will autofill based on response",INDEX('Education'!$M$10:$M$13,MATCH($F186,'Education'!$B$10:$B$13,0))),"N/A")</f>
        <v/>
      </c>
      <c r="V186" s="52">
        <f>IFERROR(IF(INDEX('SaSS'!$M$10:$M$12,MATCH($F186,'SaSS'!$B$10:$B$12,0))="","Cell will autofill based on response",INDEX('SaSS'!$M$10:$M$12,MATCH($F186,'SaSS'!$B$10:$B$12,0))),"N/A")</f>
        <v/>
      </c>
      <c r="W186" s="52">
        <f>IFERROR(IF(INDEX('Indigenous'!$M$10:$M$11,MATCH($F186,'Indigenous'!$B$10:$B$11,0))="","Cell will autofill based on response",INDEX('Indigenous'!$M$10:$M$11,MATCH($F186,'Indigenous'!$B$10:$B$11,0))),"N/A")</f>
        <v/>
      </c>
      <c r="X186" s="52">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2">
        <f>IFERROR(IF(INDEX('Faculties'!$N$10:$N$19,MATCH($F187,'Faculties'!$B$10:$B$19,0))="","Cell will autofill based on response",INDEX('Faculties'!$N$10:$N$19,MATCH($F187,'Faculties'!$B$10:$B$19,0))),"N/A")</f>
        <v/>
      </c>
      <c r="I187" s="52">
        <f>IFERROR(IF(INDEX('Faculties'!$N$26:$N$35,MATCH($F187,'Faculties'!$B$26:$B$35,0))="","Cell will autofill based on response",INDEX('Faculties'!$N$26:$N$35,MATCH($F187,'Faculties'!$B$26:$B$35,0))),"N/A")</f>
        <v/>
      </c>
      <c r="J187" s="52">
        <f>IFERROR(IF(INDEX('Faculties'!$N$42:$N$51,MATCH($F187,'Faculties'!$B$42:$B$51,0))="","Cell will autofill based on response",INDEX('Faculties'!$N$42:$N$51,MATCH($F187,'Faculties'!$B$42:$B$51,0))),"N/A")</f>
        <v/>
      </c>
      <c r="K187" s="52">
        <f>IFERROR(IF(INDEX('Faculties'!$N$58:$N$67,MATCH($F187,'Faculties'!$B$58:$B$67,0))="","Cell will autofill based on response",INDEX('Faculties'!$N$58:$N$67,MATCH($F187,'Faculties'!$B$58:$B$67,0))),"N/A")</f>
        <v/>
      </c>
      <c r="L187" s="52">
        <f>IFERROR(IF(INDEX('CI&amp;S'!$N$10:$N$15,MATCH($F187,'CI&amp;S'!$B$10:$B$15,0))="","Cell will autofill based on response",INDEX('CI&amp;S'!$N$10:$N$15,MATCH($F187,'CI&amp;S'!$B$10:$B$15,0))),"N/A")</f>
        <v/>
      </c>
      <c r="M187" s="52">
        <f>IFERROR(IF(INDEX('CI&amp;S'!$N$22:$N$36,MATCH($F187,'CI&amp;S'!$B$22:$B$36,0))="","Cell will autofill based on response",INDEX('CI&amp;S'!$N$22:$N$36,MATCH($F187,'CI&amp;S'!$B$22:$B$36,0))),"N/A")</f>
        <v/>
      </c>
      <c r="N187" s="52">
        <f>IFERROR(IF(INDEX('CFOG'!$N$10:$N$16,MATCH($F187,'CFOG'!$B$10:$B$16,0))="","Cell will autofill based on response",INDEX('CFOG'!$N$10:$N$16,MATCH($F187,'CFOG'!$B$10:$B$16,0))),"N/A")</f>
        <v/>
      </c>
      <c r="O187" s="52">
        <f>IFERROR(IF(INDEX('CFOG'!$N$23:$N$24,MATCH($F187,'CFOG'!$B$23:$B$24,0))="","Cell will autofill based on response",INDEX('CFOG'!$N$23:$N$24,MATCH($F187,'CFOG'!$B$23:$B$24,0))),"N/A")</f>
        <v/>
      </c>
      <c r="P187" s="52">
        <f>IFERROR(IF(INDEX('ESG'!$N$10:$N$17,MATCH($F187,'ESG'!$B$10:$B$17,0))="","Cell will autofill based on response",INDEX('ESG'!$N$10:$N$17,MATCH($F187,'ESG'!$B$10:$B$17,0))),"N/A")</f>
        <v/>
      </c>
      <c r="Q187" s="52">
        <f>IFERROR(IF(INDEX('CIOG'!$N$10:$N$14,MATCH($F187,'CIOG'!$B$10:$B$14,0))="","Cell will autofill based on response",INDEX('CIOG'!$N$10:$N$14,MATCH($F187,'CIOG'!$B$10:$B$14,0))),"N/A")</f>
        <v/>
      </c>
      <c r="R187" s="52">
        <f>IFERROR(IF(INDEX('MRE'!$N$10:$N$18,MATCH($F187,'MRE'!$B$10:$B$18,0))="","Cell will autofill based on response",INDEX('MRE'!$N$10:$N$18,MATCH($F187,'MRE'!$B$10:$B$18,0))),"N/A")</f>
        <v/>
      </c>
      <c r="S187" s="52">
        <f>IFERROR(IF(INDEX('AC&amp;M'!$N$10:$N$14,MATCH($F187,'AC&amp;M'!$B$10:$B$14,0))="","Cell will autofill based on response",INDEX('AC&amp;M'!$N$10:$N$14,MATCH($F187,'AC&amp;M'!$B$10:$B$14,0))),"N/A")</f>
        <v/>
      </c>
      <c r="T187" s="52">
        <f>IFERROR(IF(INDEX('GCE'!$N$10:$N$12,MATCH($F187,'GCE'!$B$10:$B$12,0))="","Cell will autofill based on response",INDEX('GCE'!$N$10:$N$12,MATCH($F187,'GCE'!$B$10:$B$12,0))),"N/A")</f>
        <v/>
      </c>
      <c r="U187" s="52">
        <f>IFERROR(IF(INDEX('Education'!$N$10:$N$13,MATCH($F187,'Education'!$B$10:$B$13,0))="","Cell will autofill based on response",INDEX('Education'!$N$10:$N$13,MATCH($F187,'Education'!$B$10:$B$13,0))),"N/A")</f>
        <v/>
      </c>
      <c r="V187" s="52">
        <f>IFERROR(IF(INDEX('SaSS'!$N$10:$N$12,MATCH($F187,'SaSS'!$B$10:$B$12,0))="","Cell will autofill based on response",INDEX('SaSS'!$N$10:$N$12,MATCH($F187,'SaSS'!$B$10:$B$12,0))),"N/A")</f>
        <v/>
      </c>
      <c r="W187" s="52">
        <f>IFERROR(IF(INDEX('Indigenous'!$N$10:$N$11,MATCH($F187,'Indigenous'!$B$10:$B$11,0))="","Cell will autofill based on response",INDEX('Indigenous'!$N$10:$N$11,MATCH($F187,'Indigenous'!$B$10:$B$11,0))),"N/A")</f>
        <v/>
      </c>
      <c r="X187" s="52">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2">
        <f>IFERROR(IF(INDEX('Faculties'!$O$10:$O$19,MATCH($F188,'Faculties'!$B$10:$B$19,0))="","Cell will autofill based on response",INDEX('Faculties'!$O$10:$O$19,MATCH($F188,'Faculties'!$B$10:$B$19,0))),"N/A")</f>
        <v/>
      </c>
      <c r="I188" s="52">
        <f>IFERROR(IF(INDEX('Faculties'!$O$26:$O$35,MATCH($F188,'Faculties'!$B$26:$B$35,0))="","Cell will autofill based on response",INDEX('Faculties'!$O$26:$O$35,MATCH($F188,'Faculties'!$B$26:$B$35,0))),"N/A")</f>
        <v/>
      </c>
      <c r="J188" s="52">
        <f>IFERROR(IF(INDEX('Faculties'!$O$42:$O$51,MATCH($F188,'Faculties'!$B$42:$B$51,0))="","Cell will autofill based on response",INDEX('Faculties'!$O$42:$O$51,MATCH($F188,'Faculties'!$B$42:$B$51,0))),"N/A")</f>
        <v/>
      </c>
      <c r="K188" s="52">
        <f>IFERROR(IF(INDEX('Faculties'!$O$58:$O$67,MATCH($F188,'Faculties'!$B$58:$B$67,0))="","Cell will autofill based on response",INDEX('Faculties'!$O$58:$O$67,MATCH($F188,'Faculties'!$B$58:$B$67,0))),"N/A")</f>
        <v/>
      </c>
      <c r="L188" s="52">
        <f>IFERROR(IF(INDEX('CI&amp;S'!$O$10:$O$15,MATCH($F188,'CI&amp;S'!$B$10:$B$15,0))="","Cell will autofill based on response",INDEX('CI&amp;S'!$O$10:$O$15,MATCH($F188,'CI&amp;S'!$B$10:$B$15,0))),"N/A")</f>
        <v/>
      </c>
      <c r="M188" s="52">
        <f>IFERROR(IF(INDEX('CI&amp;S'!$O$22:$O$36,MATCH($F188,'CI&amp;S'!$B$22:$B$36,0))="","Cell will autofill based on response",INDEX('CI&amp;S'!$O$22:$O$36,MATCH($F188,'CI&amp;S'!$B$22:$B$36,0))),"N/A")</f>
        <v/>
      </c>
      <c r="N188" s="52">
        <f>IFERROR(IF(INDEX('CFOG'!$O$10:$O$16,MATCH($F188,'CFOG'!$B$10:$B$16,0))="","Cell will autofill based on response",INDEX('CFOG'!$O$10:$O$16,MATCH($F188,'CFOG'!$B$10:$B$16,0))),"N/A")</f>
        <v/>
      </c>
      <c r="O188" s="52">
        <f>IFERROR(IF(INDEX('CFOG'!$O$23:$O$24,MATCH($F188,'CFOG'!$B$23:$B$24,0))="","Cell will autofill based on response",INDEX('CFOG'!$O$23:$O$24,MATCH($F188,'CFOG'!$B$23:$B$24,0))),"N/A")</f>
        <v/>
      </c>
      <c r="P188" s="52">
        <f>IFERROR(IF(INDEX('ESG'!$O$10:$O$17,MATCH($F188,'ESG'!$B$10:$B$17,0))="","Cell will autofill based on response",INDEX('ESG'!$O$10:$O$17,MATCH($F188,'ESG'!$B$10:$B$17,0))),"N/A")</f>
        <v/>
      </c>
      <c r="Q188" s="52">
        <f>IFERROR(IF(INDEX('CIOG'!$O$10:$O$14,MATCH($F188,'CIOG'!$B$10:$B$14,0))="","Cell will autofill based on response",INDEX('CIOG'!$O$10:$O$14,MATCH($F188,'CIOG'!$B$10:$B$14,0))),"N/A")</f>
        <v/>
      </c>
      <c r="R188" s="52">
        <f>IFERROR(IF(INDEX('MRE'!$O$10:$O$18,MATCH($F188,'MRE'!$B$10:$B$18,0))="","Cell will autofill based on response",INDEX('MRE'!$O$10:$O$18,MATCH($F188,'MRE'!$B$10:$B$18,0))),"N/A")</f>
        <v/>
      </c>
      <c r="S188" s="52">
        <f>IFERROR(IF(INDEX('AC&amp;M'!$O$10:$O$14,MATCH($F188,'AC&amp;M'!$B$10:$B$14,0))="","Cell will autofill based on response",INDEX('AC&amp;M'!$O$10:$O$14,MATCH($F188,'AC&amp;M'!$B$10:$B$14,0))),"N/A")</f>
        <v/>
      </c>
      <c r="T188" s="52">
        <f>IFERROR(IF(INDEX('GCE'!$O$10:$O$12,MATCH($F188,'GCE'!$B$10:$B$12,0))="","Cell will autofill based on response",INDEX('GCE'!$O$10:$O$12,MATCH($F188,'GCE'!$B$10:$B$12,0))),"N/A")</f>
        <v/>
      </c>
      <c r="U188" s="52">
        <f>IFERROR(IF(INDEX('Education'!$O$10:$O$13,MATCH($F188,'Education'!$B$10:$B$13,0))="","Cell will autofill based on response",INDEX('Education'!$O$10:$O$13,MATCH($F188,'Education'!$B$10:$B$13,0))),"N/A")</f>
        <v/>
      </c>
      <c r="V188" s="52">
        <f>IFERROR(IF(INDEX('SaSS'!$O$10:$O$12,MATCH($F188,'SaSS'!$B$10:$B$12,0))="","Cell will autofill based on response",INDEX('SaSS'!$O$10:$O$12,MATCH($F188,'SaSS'!$B$10:$B$12,0))),"N/A")</f>
        <v/>
      </c>
      <c r="W188" s="52">
        <f>IFERROR(IF(INDEX('Indigenous'!$O$10:$O$11,MATCH($F188,'Indigenous'!$B$10:$B$11,0))="","Cell will autofill based on response",INDEX('Indigenous'!$O$10:$O$11,MATCH($F188,'Indigenous'!$B$10:$B$11,0))),"N/A")</f>
        <v/>
      </c>
      <c r="X188" s="52">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2">
        <f>IFERROR(IF(INDEX('Faculties'!$P$10:$P$19,MATCH($F189,'Faculties'!$B$10:$B$19,0))="","Cell will autofill based on response",INDEX('Faculties'!$P$10:$P$19,MATCH($F189,'Faculties'!$B$10:$B$19,0))),"N/A")</f>
        <v/>
      </c>
      <c r="I189" s="52">
        <f>IFERROR(IF(INDEX('Faculties'!$P$26:$P$35,MATCH($F189,'Faculties'!$B$26:$B$35,0))="","Cell will autofill based on response",INDEX('Faculties'!$P$26:$P$35,MATCH($F189,'Faculties'!$B$26:$B$35,0))),"N/A")</f>
        <v/>
      </c>
      <c r="J189" s="52">
        <f>IFERROR(IF(INDEX('Faculties'!$P$42:$P$51,MATCH($F189,'Faculties'!$B$42:$B$51,0))="","Cell will autofill based on response",INDEX('Faculties'!$P$42:$P$51,MATCH($F189,'Faculties'!$B$42:$B$51,0))),"N/A")</f>
        <v/>
      </c>
      <c r="K189" s="52">
        <f>IFERROR(IF(INDEX('Faculties'!$P$58:$P$67,MATCH($F189,'Faculties'!$B$58:$B$67,0))="","Cell will autofill based on response",INDEX('Faculties'!$P$58:$P$67,MATCH($F189,'Faculties'!$B$58:$B$67,0))),"N/A")</f>
        <v/>
      </c>
      <c r="L189" s="52">
        <f>IFERROR(IF(INDEX('CI&amp;S'!$P$10:$P$15,MATCH($F189,'CI&amp;S'!$B$10:$B$15,0))="","Cell will autofill based on response",INDEX('CI&amp;S'!$P$10:$P$15,MATCH($F189,'CI&amp;S'!$B$10:$B$15,0))),"N/A")</f>
        <v/>
      </c>
      <c r="M189" s="52">
        <f>IFERROR(IF(INDEX('CI&amp;S'!$P$22:$P$36,MATCH($F189,'CI&amp;S'!$B$22:$B$36,0))="","Cell will autofill based on response",INDEX('CI&amp;S'!$P$22:$P$36,MATCH($F189,'CI&amp;S'!$B$22:$B$36,0))),"N/A")</f>
        <v/>
      </c>
      <c r="N189" s="52">
        <f>IFERROR(IF(INDEX('CFOG'!$P$10:$P$16,MATCH($F189,'CFOG'!$B$10:$B$16,0))="","Cell will autofill based on response",INDEX('CFOG'!$P$10:$P$16,MATCH($F189,'CFOG'!$B$10:$B$16,0))),"N/A")</f>
        <v/>
      </c>
      <c r="O189" s="52">
        <f>IFERROR(IF(INDEX('CFOG'!$P$23:$P$24,MATCH($F189,'CFOG'!$B$23:$B$24,0))="","Cell will autofill based on response",INDEX('CFOG'!$P$23:$P$24,MATCH($F189,'CFOG'!$B$23:$B$24,0))),"N/A")</f>
        <v/>
      </c>
      <c r="P189" s="52">
        <f>IFERROR(IF(INDEX('ESG'!$P$10:$P$17,MATCH($F189,'ESG'!$B$10:$B$17,0))="","Cell will autofill based on response",INDEX('ESG'!$P$10:$P$17,MATCH($F189,'ESG'!$B$10:$B$17,0))),"N/A")</f>
        <v/>
      </c>
      <c r="Q189" s="52">
        <f>IFERROR(IF(INDEX('CIOG'!$P$10:$P$14,MATCH($F189,'CIOG'!$B$10:$B$14,0))="","Cell will autofill based on response",INDEX('CIOG'!$P$10:$P$14,MATCH($F189,'CIOG'!$B$10:$B$14,0))),"N/A")</f>
        <v/>
      </c>
      <c r="R189" s="52">
        <f>IFERROR(IF(INDEX('MRE'!$P$10:$P$18,MATCH($F189,'MRE'!$B$10:$B$18,0))="","Cell will autofill based on response",INDEX('MRE'!$P$10:$P$18,MATCH($F189,'MRE'!$B$10:$B$18,0))),"N/A")</f>
        <v/>
      </c>
      <c r="S189" s="52">
        <f>IFERROR(IF(INDEX('AC&amp;M'!$P$10:$P$14,MATCH($F189,'AC&amp;M'!$B$10:$B$14,0))="","Cell will autofill based on response",INDEX('AC&amp;M'!$P$10:$P$14,MATCH($F189,'AC&amp;M'!$B$10:$B$14,0))),"N/A")</f>
        <v/>
      </c>
      <c r="T189" s="52">
        <f>IFERROR(IF(INDEX('GCE'!$P$10:$P$12,MATCH($F189,'GCE'!$B$10:$B$12,0))="","Cell will autofill based on response",INDEX('GCE'!$P$10:$P$12,MATCH($F189,'GCE'!$B$10:$B$12,0))),"N/A")</f>
        <v/>
      </c>
      <c r="U189" s="52">
        <f>IFERROR(IF(INDEX('Education'!$P$10:$P$13,MATCH($F189,'Education'!$B$10:$B$13,0))="","Cell will autofill based on response",INDEX('Education'!$P$10:$P$13,MATCH($F189,'Education'!$B$10:$B$13,0))),"N/A")</f>
        <v/>
      </c>
      <c r="V189" s="52">
        <f>IFERROR(IF(INDEX('SaSS'!$P$10:$P$12,MATCH($F189,'SaSS'!$B$10:$B$12,0))="","Cell will autofill based on response",INDEX('SaSS'!$P$10:$P$12,MATCH($F189,'SaSS'!$B$10:$B$12,0))),"N/A")</f>
        <v/>
      </c>
      <c r="W189" s="52">
        <f>IFERROR(IF(INDEX('Indigenous'!$P$10:$P$11,MATCH($F189,'Indigenous'!$B$10:$B$11,0))="","Cell will autofill based on response",INDEX('Indigenous'!$P$10:$P$11,MATCH($F189,'Indigenous'!$B$10:$B$11,0))),"N/A")</f>
        <v/>
      </c>
      <c r="X189" s="52">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2">
        <f>IFERROR(IF(INDEX('Faculties'!$Q$10:$Q$19,MATCH($F190,'Faculties'!$B$10:$B$19,0))="","Cell will autofill based on response",INDEX('Faculties'!$Q$10:$Q$19,MATCH($F190,'Faculties'!$B$10:$B$19,0))),"N/A")</f>
        <v/>
      </c>
      <c r="I190" s="52">
        <f>IFERROR(IF(INDEX('Faculties'!$Q$26:$Q$35,MATCH($F190,'Faculties'!$B$26:$B$35,0))="","Cell will autofill based on response",INDEX('Faculties'!$Q$26:$Q$35,MATCH($F190,'Faculties'!$B$26:$B$35,0))),"N/A")</f>
        <v/>
      </c>
      <c r="J190" s="52">
        <f>IFERROR(IF(INDEX('Faculties'!$Q$42:$Q$51,MATCH($F190,'Faculties'!$B$42:$B$51,0))="","Cell will autofill based on response",INDEX('Faculties'!$Q$42:$Q$51,MATCH($F190,'Faculties'!$B$42:$B$51,0))),"N/A")</f>
        <v/>
      </c>
      <c r="K190" s="52">
        <f>IFERROR(IF(INDEX('Faculties'!$Q$58:$Q$67,MATCH($F190,'Faculties'!$B$58:$B$67,0))="","Cell will autofill based on response",INDEX('Faculties'!$Q$58:$Q$67,MATCH($F190,'Faculties'!$B$58:$B$67,0))),"N/A")</f>
        <v/>
      </c>
      <c r="L190" s="52">
        <f>IFERROR(IF(INDEX('CI&amp;S'!$Q$10:$Q$15,MATCH($F190,'CI&amp;S'!$B$10:$B$15,0))="","Cell will autofill based on response",INDEX('CI&amp;S'!$Q$10:$Q$15,MATCH($F190,'CI&amp;S'!$B$10:$B$15,0))),"N/A")</f>
        <v/>
      </c>
      <c r="M190" s="52">
        <f>IFERROR(IF(INDEX('CI&amp;S'!$Q$22:$Q$36,MATCH($F190,'CI&amp;S'!$B$22:$B$36,0))="","Cell will autofill based on response",INDEX('CI&amp;S'!$Q$22:$Q$36,MATCH($F190,'CI&amp;S'!$B$22:$B$36,0))),"N/A")</f>
        <v/>
      </c>
      <c r="N190" s="52">
        <f>IFERROR(IF(INDEX('CFOG'!$Q$10:$Q$16,MATCH($F190,'CFOG'!$B$10:$B$16,0))="","Cell will autofill based on response",INDEX('CFOG'!$Q$10:$Q$16,MATCH($F190,'CFOG'!$B$10:$B$16,0))),"N/A")</f>
        <v/>
      </c>
      <c r="O190" s="52">
        <f>IFERROR(IF(INDEX('CFOG'!$Q$23:$Q$24,MATCH($F190,'CFOG'!$B$23:$B$24,0))="","Cell will autofill based on response",INDEX('CFOG'!$Q$23:$Q$24,MATCH($F190,'CFOG'!$B$23:$B$24,0))),"N/A")</f>
        <v/>
      </c>
      <c r="P190" s="52">
        <f>IFERROR(IF(INDEX('ESG'!$Q$10:$Q$17,MATCH($F190,'ESG'!$B$10:$B$17,0))="","Cell will autofill based on response",INDEX('ESG'!$Q$10:$Q$17,MATCH($F190,'ESG'!$B$10:$B$17,0))),"N/A")</f>
        <v/>
      </c>
      <c r="Q190" s="52">
        <f>IFERROR(IF(INDEX('CIOG'!$Q$10:$Q$14,MATCH($F190,'CIOG'!$B$10:$B$14,0))="","Cell will autofill based on response",INDEX('CIOG'!$Q$10:$Q$14,MATCH($F190,'CIOG'!$B$10:$B$14,0))),"N/A")</f>
        <v/>
      </c>
      <c r="R190" s="52">
        <f>IFERROR(IF(INDEX('MRE'!$Q$10:$Q$18,MATCH($F190,'MRE'!$B$10:$B$18,0))="","Cell will autofill based on response",INDEX('MRE'!$Q$10:$Q$18,MATCH($F190,'MRE'!$B$10:$B$18,0))),"N/A")</f>
        <v/>
      </c>
      <c r="S190" s="52">
        <f>IFERROR(IF(INDEX('AC&amp;M'!$Q$10:$Q$14,MATCH($F190,'AC&amp;M'!$B$10:$B$14,0))="","Cell will autofill based on response",INDEX('AC&amp;M'!$Q$10:$Q$14,MATCH($F190,'AC&amp;M'!$B$10:$B$14,0))),"N/A")</f>
        <v/>
      </c>
      <c r="T190" s="52">
        <f>IFERROR(IF(INDEX('GCE'!$Q$10:$Q$12,MATCH($F190,'GCE'!$B$10:$B$12,0))="","Cell will autofill based on response",INDEX('GCE'!$Q$10:$Q$12,MATCH($F190,'GCE'!$B$10:$B$12,0))),"N/A")</f>
        <v/>
      </c>
      <c r="U190" s="52">
        <f>IFERROR(IF(INDEX('Education'!$Q$10:$Q$13,MATCH($F190,'Education'!$B$10:$B$13,0))="","Cell will autofill based on response",INDEX('Education'!$Q$10:$Q$13,MATCH($F190,'Education'!$B$10:$B$13,0))),"N/A")</f>
        <v/>
      </c>
      <c r="V190" s="52">
        <f>IFERROR(IF(INDEX('SaSS'!$Q$10:$Q$12,MATCH($F190,'SaSS'!$B$10:$B$12,0))="","Cell will autofill based on response",INDEX('SaSS'!$Q$10:$Q$12,MATCH($F190,'SaSS'!$B$10:$B$12,0))),"N/A")</f>
        <v/>
      </c>
      <c r="W190" s="52">
        <f>IFERROR(IF(INDEX('Indigenous'!$Q$10:$Q$11,MATCH($F190,'Indigenous'!$B$10:$B$11,0))="","Cell will autofill based on response",INDEX('Indigenous'!$Q$10:$Q$11,MATCH($F190,'Indigenous'!$B$10:$B$11,0))),"N/A")</f>
        <v/>
      </c>
      <c r="X190" s="52">
        <f>IFERROR(IF(INDEX('L&amp;R'!$Q$10:$Q$11,MATCH($F190,'L&amp;R'!$B$10:$B$11,0))="","Cell will autofill based on response",INDEX('L&amp;R'!$Q$10:$Q$11,MATCH($F190,'L&amp;R'!$B$10:$B$11,0))),"N/A")</f>
        <v/>
      </c>
    </row>
    <row r="191">
      <c r="A191">
        <f>F191&amp;"|"&amp;G191</f>
        <v/>
      </c>
      <c r="B191" s="7" t="inlineStr">
        <is>
          <t>EI1(d)</t>
        </is>
      </c>
      <c r="C191" s="50" t="inlineStr">
        <is>
          <t>Estate and infrastructure</t>
        </is>
      </c>
      <c r="D191" s="50" t="inlineStr">
        <is>
          <t>Evidence of understanding and integration of Indigenous approaches to sustainability in estate planning and development programs and projects.</t>
        </is>
      </c>
      <c r="E19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0" t="inlineStr">
        <is>
          <t>EI1(d)</t>
        </is>
      </c>
      <c r="G191" s="50" t="inlineStr">
        <is>
          <t>Confirm end-2026 target status</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3">
        <f>IF(AF191&gt;0,AE191/AF191,"No valid responses to date")</f>
        <v/>
      </c>
      <c r="AH191" s="10">
        <f>IF(ISNUMBER(AG191),INDEX(Lists!$G$2:$G$5,MATCH(ROUND(AG191,0),Lists!$H$2:$H$5,0)),"")</f>
        <v/>
      </c>
      <c r="AI191" s="54">
        <f>IF(AF191&gt;0,AD191/AF191,"")</f>
        <v/>
      </c>
      <c r="AJ191" s="54">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2">
        <f>IFERROR(IF(INDEX('Faculties'!$Q$10:$Q$19,MATCH($F196,'Faculties'!$B$10:$B$19,0))="","Cell will autofill based on response",INDEX('Faculties'!$Q$10:$Q$19,MATCH($F196,'Faculties'!$B$10:$B$19,0))),"N/A")</f>
        <v/>
      </c>
      <c r="I196" s="52">
        <f>IFERROR(IF(INDEX('Faculties'!$Q$26:$Q$35,MATCH($F196,'Faculties'!$B$26:$B$35,0))="","Cell will autofill based on response",INDEX('Faculties'!$Q$26:$Q$35,MATCH($F196,'Faculties'!$B$26:$B$35,0))),"N/A")</f>
        <v/>
      </c>
      <c r="J196" s="52">
        <f>IFERROR(IF(INDEX('Faculties'!$Q$42:$Q$51,MATCH($F196,'Faculties'!$B$42:$B$51,0))="","Cell will autofill based on response",INDEX('Faculties'!$Q$42:$Q$51,MATCH($F196,'Faculties'!$B$42:$B$51,0))),"N/A")</f>
        <v/>
      </c>
      <c r="K196" s="52">
        <f>IFERROR(IF(INDEX('Faculties'!$Q$58:$Q$67,MATCH($F196,'Faculties'!$B$58:$B$67,0))="","Cell will autofill based on response",INDEX('Faculties'!$Q$58:$Q$67,MATCH($F196,'Faculties'!$B$58:$B$67,0))),"N/A")</f>
        <v/>
      </c>
      <c r="L196" s="52">
        <f>IFERROR(IF(INDEX('CI&amp;S'!$Q$10:$Q$15,MATCH($F196,'CI&amp;S'!$B$10:$B$15,0))="","Cell will autofill based on response",INDEX('CI&amp;S'!$Q$10:$Q$15,MATCH($F196,'CI&amp;S'!$B$10:$B$15,0))),"N/A")</f>
        <v/>
      </c>
      <c r="M196" s="52">
        <f>IFERROR(IF(INDEX('CI&amp;S'!$Q$22:$Q$36,MATCH($F196,'CI&amp;S'!$B$22:$B$36,0))="","Cell will autofill based on response",INDEX('CI&amp;S'!$Q$22:$Q$36,MATCH($F196,'CI&amp;S'!$B$22:$B$36,0))),"N/A")</f>
        <v/>
      </c>
      <c r="N196" s="52">
        <f>IFERROR(IF(INDEX('CFOG'!$Q$10:$Q$16,MATCH($F196,'CFOG'!$B$10:$B$16,0))="","Cell will autofill based on response",INDEX('CFOG'!$Q$10:$Q$16,MATCH($F196,'CFOG'!$B$10:$B$16,0))),"N/A")</f>
        <v/>
      </c>
      <c r="O196" s="52">
        <f>IFERROR(IF(INDEX('CFOG'!$Q$23:$Q$24,MATCH($F196,'CFOG'!$B$23:$B$24,0))="","Cell will autofill based on response",INDEX('CFOG'!$Q$23:$Q$24,MATCH($F196,'CFOG'!$B$23:$B$24,0))),"N/A")</f>
        <v/>
      </c>
      <c r="P196" s="52">
        <f>IFERROR(IF(INDEX('ESG'!$Q$10:$Q$17,MATCH($F196,'ESG'!$B$10:$B$17,0))="","Cell will autofill based on response",INDEX('ESG'!$Q$10:$Q$17,MATCH($F196,'ESG'!$B$10:$B$17,0))),"N/A")</f>
        <v/>
      </c>
      <c r="Q196" s="52">
        <f>IFERROR(IF(INDEX('CIOG'!$Q$10:$Q$14,MATCH($F196,'CIOG'!$B$10:$B$14,0))="","Cell will autofill based on response",INDEX('CIOG'!$Q$10:$Q$14,MATCH($F196,'CIOG'!$B$10:$B$14,0))),"N/A")</f>
        <v/>
      </c>
      <c r="R196" s="52">
        <f>IFERROR(IF(INDEX('MRE'!$Q$10:$Q$18,MATCH($F196,'MRE'!$B$10:$B$18,0))="","Cell will autofill based on response",INDEX('MRE'!$Q$10:$Q$18,MATCH($F196,'MRE'!$B$10:$B$18,0))),"N/A")</f>
        <v/>
      </c>
      <c r="S196" s="52">
        <f>IFERROR(IF(INDEX('AC&amp;M'!$Q$10:$Q$14,MATCH($F196,'AC&amp;M'!$B$10:$B$14,0))="","Cell will autofill based on response",INDEX('AC&amp;M'!$Q$10:$Q$14,MATCH($F196,'AC&amp;M'!$B$10:$B$14,0))),"N/A")</f>
        <v/>
      </c>
      <c r="T196" s="52">
        <f>IFERROR(IF(INDEX('GCE'!$Q$10:$Q$12,MATCH($F196,'GCE'!$B$10:$B$12,0))="","Cell will autofill based on response",INDEX('GCE'!$Q$10:$Q$12,MATCH($F196,'GCE'!$B$10:$B$12,0))),"N/A")</f>
        <v/>
      </c>
      <c r="U196" s="52">
        <f>IFERROR(IF(INDEX('Education'!$Q$10:$Q$13,MATCH($F196,'Education'!$B$10:$B$13,0))="","Cell will autofill based on response",INDEX('Education'!$Q$10:$Q$13,MATCH($F196,'Education'!$B$10:$B$13,0))),"N/A")</f>
        <v/>
      </c>
      <c r="V196" s="52">
        <f>IFERROR(IF(INDEX('SaSS'!$Q$10:$Q$12,MATCH($F196,'SaSS'!$B$10:$B$12,0))="","Cell will autofill based on response",INDEX('SaSS'!$Q$10:$Q$12,MATCH($F196,'SaSS'!$B$10:$B$12,0))),"N/A")</f>
        <v/>
      </c>
      <c r="W196" s="52">
        <f>IFERROR(IF(INDEX('Indigenous'!$Q$10:$Q$11,MATCH($F196,'Indigenous'!$B$10:$B$11,0))="","Cell will autofill based on response",INDEX('Indigenous'!$Q$10:$Q$11,MATCH($F196,'Indigenous'!$B$10:$B$11,0))),"N/A")</f>
        <v/>
      </c>
      <c r="X196" s="52">
        <f>IFERROR(IF(INDEX('L&amp;R'!$Q$10:$Q$11,MATCH($F196,'L&amp;R'!$B$10:$B$11,0))="","Cell will autofill based on response",INDEX('L&amp;R'!$Q$10:$Q$11,MATCH($F196,'L&amp;R'!$B$10:$B$11,0))),"N/A")</f>
        <v/>
      </c>
    </row>
    <row r="197">
      <c r="A197">
        <f>F197&amp;"|"&amp;G197</f>
        <v/>
      </c>
      <c r="B197" s="7" t="inlineStr">
        <is>
          <t>RP1(a)</t>
        </is>
      </c>
      <c r="C197" s="50" t="inlineStr">
        <is>
          <t>Responsible procurement</t>
        </is>
      </c>
      <c r="D197" s="50" t="inlineStr">
        <is>
          <t>Case studies of maturity improvement related to responsible procurement process and systems.</t>
        </is>
      </c>
      <c r="E197" s="50" t="inlineStr">
        <is>
          <t>Maturity score if framework established; % procurement staff trained</t>
        </is>
      </c>
      <c r="F197" s="50" t="inlineStr">
        <is>
          <t>RP1(a)</t>
        </is>
      </c>
      <c r="G197" s="50" t="inlineStr">
        <is>
          <t>Confirm end-2026 target status</t>
        </is>
      </c>
      <c r="H197" s="52">
        <f>IFERROR(IF(INDEX('Faculties'!$L$10:$L$19,MATCH($F197,'Faculties'!$B$10:$B$19,0))="","Cell will autofill based on response",INDEX('Faculties'!$L$10:$L$19,MATCH($F197,'Faculties'!$B$10:$B$19,0))),"N/A")</f>
        <v/>
      </c>
      <c r="I197" s="52">
        <f>IFERROR(IF(INDEX('Faculties'!$L$26:$L$35,MATCH($F197,'Faculties'!$B$26:$B$35,0))="","Cell will autofill based on response",INDEX('Faculties'!$L$26:$L$35,MATCH($F197,'Faculties'!$B$26:$B$35,0))),"N/A")</f>
        <v/>
      </c>
      <c r="J197" s="52">
        <f>IFERROR(IF(INDEX('Faculties'!$L$42:$L$51,MATCH($F197,'Faculties'!$B$42:$B$51,0))="","Cell will autofill based on response",INDEX('Faculties'!$L$42:$L$51,MATCH($F197,'Faculties'!$B$42:$B$51,0))),"N/A")</f>
        <v/>
      </c>
      <c r="K197" s="52">
        <f>IFERROR(IF(INDEX('Faculties'!$L$58:$L$67,MATCH($F197,'Faculties'!$B$58:$B$67,0))="","Cell will autofill based on response",INDEX('Faculties'!$L$58:$L$67,MATCH($F197,'Faculties'!$B$58:$B$67,0))),"N/A")</f>
        <v/>
      </c>
      <c r="L197" s="52">
        <f>IFERROR(IF(INDEX('CI&amp;S'!$L$10:$L$15,MATCH($F197,'CI&amp;S'!$B$10:$B$15,0))="","Cell will autofill based on response",INDEX('CI&amp;S'!$L$10:$L$15,MATCH($F197,'CI&amp;S'!$B$10:$B$15,0))),"N/A")</f>
        <v/>
      </c>
      <c r="M197" s="52">
        <f>IFERROR(IF(INDEX('CI&amp;S'!$L$22:$L$36,MATCH($F197,'CI&amp;S'!$B$22:$B$36,0))="","Cell will autofill based on response",INDEX('CI&amp;S'!$L$22:$L$36,MATCH($F197,'CI&amp;S'!$B$22:$B$36,0))),"N/A")</f>
        <v/>
      </c>
      <c r="N197" s="52">
        <f>IFERROR(IF(INDEX('CFOG'!$L$10:$L$16,MATCH($F197,'CFOG'!$B$10:$B$16,0))="","Cell will autofill based on response",INDEX('CFOG'!$L$10:$L$16,MATCH($F197,'CFOG'!$B$10:$B$16,0))),"N/A")</f>
        <v/>
      </c>
      <c r="O197" s="52">
        <f>IFERROR(IF(INDEX('CFOG'!$L$23:$L$24,MATCH($F197,'CFOG'!$B$23:$B$24,0))="","Cell will autofill based on response",INDEX('CFOG'!$L$23:$L$24,MATCH($F197,'CFOG'!$B$23:$B$24,0))),"N/A")</f>
        <v/>
      </c>
      <c r="P197" s="52">
        <f>IFERROR(IF(INDEX('ESG'!$L$10:$L$17,MATCH($F197,'ESG'!$B$10:$B$17,0))="","Cell will autofill based on response",INDEX('ESG'!$L$10:$L$17,MATCH($F197,'ESG'!$B$10:$B$17,0))),"N/A")</f>
        <v/>
      </c>
      <c r="Q197" s="52">
        <f>IFERROR(IF(INDEX('CIOG'!$L$10:$L$14,MATCH($F197,'CIOG'!$B$10:$B$14,0))="","Cell will autofill based on response",INDEX('CIOG'!$L$10:$L$14,MATCH($F197,'CIOG'!$B$10:$B$14,0))),"N/A")</f>
        <v/>
      </c>
      <c r="R197" s="52">
        <f>IFERROR(IF(INDEX('MRE'!$L$10:$L$18,MATCH($F197,'MRE'!$B$10:$B$18,0))="","Cell will autofill based on response",INDEX('MRE'!$L$10:$L$18,MATCH($F197,'MRE'!$B$10:$B$18,0))),"N/A")</f>
        <v/>
      </c>
      <c r="S197" s="52">
        <f>IFERROR(IF(INDEX('AC&amp;M'!$L$10:$L$14,MATCH($F197,'AC&amp;M'!$B$10:$B$14,0))="","Cell will autofill based on response",INDEX('AC&amp;M'!$L$10:$L$14,MATCH($F197,'AC&amp;M'!$B$10:$B$14,0))),"N/A")</f>
        <v/>
      </c>
      <c r="T197" s="52">
        <f>IFERROR(IF(INDEX('GCE'!$L$10:$L$12,MATCH($F197,'GCE'!$B$10:$B$12,0))="","Cell will autofill based on response",INDEX('GCE'!$L$10:$L$12,MATCH($F197,'GCE'!$B$10:$B$12,0))),"N/A")</f>
        <v/>
      </c>
      <c r="U197" s="52">
        <f>IFERROR(IF(INDEX('Education'!$L$10:$L$13,MATCH($F197,'Education'!$B$10:$B$13,0))="","Cell will autofill based on response",INDEX('Education'!$L$10:$L$13,MATCH($F197,'Education'!$B$10:$B$13,0))),"N/A")</f>
        <v/>
      </c>
      <c r="V197" s="52">
        <f>IFERROR(IF(INDEX('SaSS'!$L$10:$L$12,MATCH($F197,'SaSS'!$B$10:$B$12,0))="","Cell will autofill based on response",INDEX('SaSS'!$L$10:$L$12,MATCH($F197,'SaSS'!$B$10:$B$12,0))),"N/A")</f>
        <v/>
      </c>
      <c r="W197" s="52">
        <f>IFERROR(IF(INDEX('Indigenous'!$L$10:$L$11,MATCH($F197,'Indigenous'!$B$10:$B$11,0))="","Cell will autofill based on response",INDEX('Indigenous'!$L$10:$L$11,MATCH($F197,'Indigenous'!$B$10:$B$11,0))),"N/A")</f>
        <v/>
      </c>
      <c r="X197" s="52">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3">
        <f>IF(AF197&gt;0,AE197/AF197,"No valid responses to date")</f>
        <v/>
      </c>
      <c r="AH197" s="10">
        <f>IF(ISNUMBER(AG197),INDEX(Lists!$G$2:$G$5,MATCH(ROUND(AG197,0),Lists!$H$2:$H$5,0)),"")</f>
        <v/>
      </c>
      <c r="AI197" s="54">
        <f>IF(AF197&gt;0,AD197/AF197,"")</f>
        <v/>
      </c>
      <c r="AJ197" s="54">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2">
        <f>IFERROR(IF(INDEX('Faculties'!$M$10:$M$19,MATCH($F198,'Faculties'!$B$10:$B$19,0))="","Cell will autofill based on response",INDEX('Faculties'!$M$10:$M$19,MATCH($F198,'Faculties'!$B$10:$B$19,0))),"N/A")</f>
        <v/>
      </c>
      <c r="I198" s="52">
        <f>IFERROR(IF(INDEX('Faculties'!$M$26:$M$35,MATCH($F198,'Faculties'!$B$26:$B$35,0))="","Cell will autofill based on response",INDEX('Faculties'!$M$26:$M$35,MATCH($F198,'Faculties'!$B$26:$B$35,0))),"N/A")</f>
        <v/>
      </c>
      <c r="J198" s="52">
        <f>IFERROR(IF(INDEX('Faculties'!$M$42:$M$51,MATCH($F198,'Faculties'!$B$42:$B$51,0))="","Cell will autofill based on response",INDEX('Faculties'!$M$42:$M$51,MATCH($F198,'Faculties'!$B$42:$B$51,0))),"N/A")</f>
        <v/>
      </c>
      <c r="K198" s="52">
        <f>IFERROR(IF(INDEX('Faculties'!$M$58:$M$67,MATCH($F198,'Faculties'!$B$58:$B$67,0))="","Cell will autofill based on response",INDEX('Faculties'!$M$58:$M$67,MATCH($F198,'Faculties'!$B$58:$B$67,0))),"N/A")</f>
        <v/>
      </c>
      <c r="L198" s="52">
        <f>IFERROR(IF(INDEX('CI&amp;S'!$M$10:$M$15,MATCH($F198,'CI&amp;S'!$B$10:$B$15,0))="","Cell will autofill based on response",INDEX('CI&amp;S'!$M$10:$M$15,MATCH($F198,'CI&amp;S'!$B$10:$B$15,0))),"N/A")</f>
        <v/>
      </c>
      <c r="M198" s="52">
        <f>IFERROR(IF(INDEX('CI&amp;S'!$M$22:$M$36,MATCH($F198,'CI&amp;S'!$B$22:$B$36,0))="","Cell will autofill based on response",INDEX('CI&amp;S'!$M$22:$M$36,MATCH($F198,'CI&amp;S'!$B$22:$B$36,0))),"N/A")</f>
        <v/>
      </c>
      <c r="N198" s="52">
        <f>IFERROR(IF(INDEX('CFOG'!$M$10:$M$16,MATCH($F198,'CFOG'!$B$10:$B$16,0))="","Cell will autofill based on response",INDEX('CFOG'!$M$10:$M$16,MATCH($F198,'CFOG'!$B$10:$B$16,0))),"N/A")</f>
        <v/>
      </c>
      <c r="O198" s="52">
        <f>IFERROR(IF(INDEX('CFOG'!$M$23:$M$24,MATCH($F198,'CFOG'!$B$23:$B$24,0))="","Cell will autofill based on response",INDEX('CFOG'!$M$23:$M$24,MATCH($F198,'CFOG'!$B$23:$B$24,0))),"N/A")</f>
        <v/>
      </c>
      <c r="P198" s="52">
        <f>IFERROR(IF(INDEX('ESG'!$M$10:$M$17,MATCH($F198,'ESG'!$B$10:$B$17,0))="","Cell will autofill based on response",INDEX('ESG'!$M$10:$M$17,MATCH($F198,'ESG'!$B$10:$B$17,0))),"N/A")</f>
        <v/>
      </c>
      <c r="Q198" s="52">
        <f>IFERROR(IF(INDEX('CIOG'!$M$10:$M$14,MATCH($F198,'CIOG'!$B$10:$B$14,0))="","Cell will autofill based on response",INDEX('CIOG'!$M$10:$M$14,MATCH($F198,'CIOG'!$B$10:$B$14,0))),"N/A")</f>
        <v/>
      </c>
      <c r="R198" s="52">
        <f>IFERROR(IF(INDEX('MRE'!$M$10:$M$18,MATCH($F198,'MRE'!$B$10:$B$18,0))="","Cell will autofill based on response",INDEX('MRE'!$M$10:$M$18,MATCH($F198,'MRE'!$B$10:$B$18,0))),"N/A")</f>
        <v/>
      </c>
      <c r="S198" s="52">
        <f>IFERROR(IF(INDEX('AC&amp;M'!$M$10:$M$14,MATCH($F198,'AC&amp;M'!$B$10:$B$14,0))="","Cell will autofill based on response",INDEX('AC&amp;M'!$M$10:$M$14,MATCH($F198,'AC&amp;M'!$B$10:$B$14,0))),"N/A")</f>
        <v/>
      </c>
      <c r="T198" s="52">
        <f>IFERROR(IF(INDEX('GCE'!$M$10:$M$12,MATCH($F198,'GCE'!$B$10:$B$12,0))="","Cell will autofill based on response",INDEX('GCE'!$M$10:$M$12,MATCH($F198,'GCE'!$B$10:$B$12,0))),"N/A")</f>
        <v/>
      </c>
      <c r="U198" s="52">
        <f>IFERROR(IF(INDEX('Education'!$M$10:$M$13,MATCH($F198,'Education'!$B$10:$B$13,0))="","Cell will autofill based on response",INDEX('Education'!$M$10:$M$13,MATCH($F198,'Education'!$B$10:$B$13,0))),"N/A")</f>
        <v/>
      </c>
      <c r="V198" s="52">
        <f>IFERROR(IF(INDEX('SaSS'!$M$10:$M$12,MATCH($F198,'SaSS'!$B$10:$B$12,0))="","Cell will autofill based on response",INDEX('SaSS'!$M$10:$M$12,MATCH($F198,'SaSS'!$B$10:$B$12,0))),"N/A")</f>
        <v/>
      </c>
      <c r="W198" s="52">
        <f>IFERROR(IF(INDEX('Indigenous'!$M$10:$M$11,MATCH($F198,'Indigenous'!$B$10:$B$11,0))="","Cell will autofill based on response",INDEX('Indigenous'!$M$10:$M$11,MATCH($F198,'Indigenous'!$B$10:$B$11,0))),"N/A")</f>
        <v/>
      </c>
      <c r="X198" s="52">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2">
        <f>IFERROR(IF(INDEX('Faculties'!$N$10:$N$19,MATCH($F199,'Faculties'!$B$10:$B$19,0))="","Cell will autofill based on response",INDEX('Faculties'!$N$10:$N$19,MATCH($F199,'Faculties'!$B$10:$B$19,0))),"N/A")</f>
        <v/>
      </c>
      <c r="I199" s="52">
        <f>IFERROR(IF(INDEX('Faculties'!$N$26:$N$35,MATCH($F199,'Faculties'!$B$26:$B$35,0))="","Cell will autofill based on response",INDEX('Faculties'!$N$26:$N$35,MATCH($F199,'Faculties'!$B$26:$B$35,0))),"N/A")</f>
        <v/>
      </c>
      <c r="J199" s="52">
        <f>IFERROR(IF(INDEX('Faculties'!$N$42:$N$51,MATCH($F199,'Faculties'!$B$42:$B$51,0))="","Cell will autofill based on response",INDEX('Faculties'!$N$42:$N$51,MATCH($F199,'Faculties'!$B$42:$B$51,0))),"N/A")</f>
        <v/>
      </c>
      <c r="K199" s="52">
        <f>IFERROR(IF(INDEX('Faculties'!$N$58:$N$67,MATCH($F199,'Faculties'!$B$58:$B$67,0))="","Cell will autofill based on response",INDEX('Faculties'!$N$58:$N$67,MATCH($F199,'Faculties'!$B$58:$B$67,0))),"N/A")</f>
        <v/>
      </c>
      <c r="L199" s="52">
        <f>IFERROR(IF(INDEX('CI&amp;S'!$N$10:$N$15,MATCH($F199,'CI&amp;S'!$B$10:$B$15,0))="","Cell will autofill based on response",INDEX('CI&amp;S'!$N$10:$N$15,MATCH($F199,'CI&amp;S'!$B$10:$B$15,0))),"N/A")</f>
        <v/>
      </c>
      <c r="M199" s="52">
        <f>IFERROR(IF(INDEX('CI&amp;S'!$N$22:$N$36,MATCH($F199,'CI&amp;S'!$B$22:$B$36,0))="","Cell will autofill based on response",INDEX('CI&amp;S'!$N$22:$N$36,MATCH($F199,'CI&amp;S'!$B$22:$B$36,0))),"N/A")</f>
        <v/>
      </c>
      <c r="N199" s="52">
        <f>IFERROR(IF(INDEX('CFOG'!$N$10:$N$16,MATCH($F199,'CFOG'!$B$10:$B$16,0))="","Cell will autofill based on response",INDEX('CFOG'!$N$10:$N$16,MATCH($F199,'CFOG'!$B$10:$B$16,0))),"N/A")</f>
        <v/>
      </c>
      <c r="O199" s="52">
        <f>IFERROR(IF(INDEX('CFOG'!$N$23:$N$24,MATCH($F199,'CFOG'!$B$23:$B$24,0))="","Cell will autofill based on response",INDEX('CFOG'!$N$23:$N$24,MATCH($F199,'CFOG'!$B$23:$B$24,0))),"N/A")</f>
        <v/>
      </c>
      <c r="P199" s="52">
        <f>IFERROR(IF(INDEX('ESG'!$N$10:$N$17,MATCH($F199,'ESG'!$B$10:$B$17,0))="","Cell will autofill based on response",INDEX('ESG'!$N$10:$N$17,MATCH($F199,'ESG'!$B$10:$B$17,0))),"N/A")</f>
        <v/>
      </c>
      <c r="Q199" s="52">
        <f>IFERROR(IF(INDEX('CIOG'!$N$10:$N$14,MATCH($F199,'CIOG'!$B$10:$B$14,0))="","Cell will autofill based on response",INDEX('CIOG'!$N$10:$N$14,MATCH($F199,'CIOG'!$B$10:$B$14,0))),"N/A")</f>
        <v/>
      </c>
      <c r="R199" s="52">
        <f>IFERROR(IF(INDEX('MRE'!$N$10:$N$18,MATCH($F199,'MRE'!$B$10:$B$18,0))="","Cell will autofill based on response",INDEX('MRE'!$N$10:$N$18,MATCH($F199,'MRE'!$B$10:$B$18,0))),"N/A")</f>
        <v/>
      </c>
      <c r="S199" s="52">
        <f>IFERROR(IF(INDEX('AC&amp;M'!$N$10:$N$14,MATCH($F199,'AC&amp;M'!$B$10:$B$14,0))="","Cell will autofill based on response",INDEX('AC&amp;M'!$N$10:$N$14,MATCH($F199,'AC&amp;M'!$B$10:$B$14,0))),"N/A")</f>
        <v/>
      </c>
      <c r="T199" s="52">
        <f>IFERROR(IF(INDEX('GCE'!$N$10:$N$12,MATCH($F199,'GCE'!$B$10:$B$12,0))="","Cell will autofill based on response",INDEX('GCE'!$N$10:$N$12,MATCH($F199,'GCE'!$B$10:$B$12,0))),"N/A")</f>
        <v/>
      </c>
      <c r="U199" s="52">
        <f>IFERROR(IF(INDEX('Education'!$N$10:$N$13,MATCH($F199,'Education'!$B$10:$B$13,0))="","Cell will autofill based on response",INDEX('Education'!$N$10:$N$13,MATCH($F199,'Education'!$B$10:$B$13,0))),"N/A")</f>
        <v/>
      </c>
      <c r="V199" s="52">
        <f>IFERROR(IF(INDEX('SaSS'!$N$10:$N$12,MATCH($F199,'SaSS'!$B$10:$B$12,0))="","Cell will autofill based on response",INDEX('SaSS'!$N$10:$N$12,MATCH($F199,'SaSS'!$B$10:$B$12,0))),"N/A")</f>
        <v/>
      </c>
      <c r="W199" s="52">
        <f>IFERROR(IF(INDEX('Indigenous'!$N$10:$N$11,MATCH($F199,'Indigenous'!$B$10:$B$11,0))="","Cell will autofill based on response",INDEX('Indigenous'!$N$10:$N$11,MATCH($F199,'Indigenous'!$B$10:$B$11,0))),"N/A")</f>
        <v/>
      </c>
      <c r="X199" s="52">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2">
        <f>IFERROR(IF(INDEX('Faculties'!$O$10:$O$19,MATCH($F200,'Faculties'!$B$10:$B$19,0))="","Cell will autofill based on response",INDEX('Faculties'!$O$10:$O$19,MATCH($F200,'Faculties'!$B$10:$B$19,0))),"N/A")</f>
        <v/>
      </c>
      <c r="I200" s="52">
        <f>IFERROR(IF(INDEX('Faculties'!$O$26:$O$35,MATCH($F200,'Faculties'!$B$26:$B$35,0))="","Cell will autofill based on response",INDEX('Faculties'!$O$26:$O$35,MATCH($F200,'Faculties'!$B$26:$B$35,0))),"N/A")</f>
        <v/>
      </c>
      <c r="J200" s="52">
        <f>IFERROR(IF(INDEX('Faculties'!$O$42:$O$51,MATCH($F200,'Faculties'!$B$42:$B$51,0))="","Cell will autofill based on response",INDEX('Faculties'!$O$42:$O$51,MATCH($F200,'Faculties'!$B$42:$B$51,0))),"N/A")</f>
        <v/>
      </c>
      <c r="K200" s="52">
        <f>IFERROR(IF(INDEX('Faculties'!$O$58:$O$67,MATCH($F200,'Faculties'!$B$58:$B$67,0))="","Cell will autofill based on response",INDEX('Faculties'!$O$58:$O$67,MATCH($F200,'Faculties'!$B$58:$B$67,0))),"N/A")</f>
        <v/>
      </c>
      <c r="L200" s="52">
        <f>IFERROR(IF(INDEX('CI&amp;S'!$O$10:$O$15,MATCH($F200,'CI&amp;S'!$B$10:$B$15,0))="","Cell will autofill based on response",INDEX('CI&amp;S'!$O$10:$O$15,MATCH($F200,'CI&amp;S'!$B$10:$B$15,0))),"N/A")</f>
        <v/>
      </c>
      <c r="M200" s="52">
        <f>IFERROR(IF(INDEX('CI&amp;S'!$O$22:$O$36,MATCH($F200,'CI&amp;S'!$B$22:$B$36,0))="","Cell will autofill based on response",INDEX('CI&amp;S'!$O$22:$O$36,MATCH($F200,'CI&amp;S'!$B$22:$B$36,0))),"N/A")</f>
        <v/>
      </c>
      <c r="N200" s="52">
        <f>IFERROR(IF(INDEX('CFOG'!$O$10:$O$16,MATCH($F200,'CFOG'!$B$10:$B$16,0))="","Cell will autofill based on response",INDEX('CFOG'!$O$10:$O$16,MATCH($F200,'CFOG'!$B$10:$B$16,0))),"N/A")</f>
        <v/>
      </c>
      <c r="O200" s="52">
        <f>IFERROR(IF(INDEX('CFOG'!$O$23:$O$24,MATCH($F200,'CFOG'!$B$23:$B$24,0))="","Cell will autofill based on response",INDEX('CFOG'!$O$23:$O$24,MATCH($F200,'CFOG'!$B$23:$B$24,0))),"N/A")</f>
        <v/>
      </c>
      <c r="P200" s="52">
        <f>IFERROR(IF(INDEX('ESG'!$O$10:$O$17,MATCH($F200,'ESG'!$B$10:$B$17,0))="","Cell will autofill based on response",INDEX('ESG'!$O$10:$O$17,MATCH($F200,'ESG'!$B$10:$B$17,0))),"N/A")</f>
        <v/>
      </c>
      <c r="Q200" s="52">
        <f>IFERROR(IF(INDEX('CIOG'!$O$10:$O$14,MATCH($F200,'CIOG'!$B$10:$B$14,0))="","Cell will autofill based on response",INDEX('CIOG'!$O$10:$O$14,MATCH($F200,'CIOG'!$B$10:$B$14,0))),"N/A")</f>
        <v/>
      </c>
      <c r="R200" s="52">
        <f>IFERROR(IF(INDEX('MRE'!$O$10:$O$18,MATCH($F200,'MRE'!$B$10:$B$18,0))="","Cell will autofill based on response",INDEX('MRE'!$O$10:$O$18,MATCH($F200,'MRE'!$B$10:$B$18,0))),"N/A")</f>
        <v/>
      </c>
      <c r="S200" s="52">
        <f>IFERROR(IF(INDEX('AC&amp;M'!$O$10:$O$14,MATCH($F200,'AC&amp;M'!$B$10:$B$14,0))="","Cell will autofill based on response",INDEX('AC&amp;M'!$O$10:$O$14,MATCH($F200,'AC&amp;M'!$B$10:$B$14,0))),"N/A")</f>
        <v/>
      </c>
      <c r="T200" s="52">
        <f>IFERROR(IF(INDEX('GCE'!$O$10:$O$12,MATCH($F200,'GCE'!$B$10:$B$12,0))="","Cell will autofill based on response",INDEX('GCE'!$O$10:$O$12,MATCH($F200,'GCE'!$B$10:$B$12,0))),"N/A")</f>
        <v/>
      </c>
      <c r="U200" s="52">
        <f>IFERROR(IF(INDEX('Education'!$O$10:$O$13,MATCH($F200,'Education'!$B$10:$B$13,0))="","Cell will autofill based on response",INDEX('Education'!$O$10:$O$13,MATCH($F200,'Education'!$B$10:$B$13,0))),"N/A")</f>
        <v/>
      </c>
      <c r="V200" s="52">
        <f>IFERROR(IF(INDEX('SaSS'!$O$10:$O$12,MATCH($F200,'SaSS'!$B$10:$B$12,0))="","Cell will autofill based on response",INDEX('SaSS'!$O$10:$O$12,MATCH($F200,'SaSS'!$B$10:$B$12,0))),"N/A")</f>
        <v/>
      </c>
      <c r="W200" s="52">
        <f>IFERROR(IF(INDEX('Indigenous'!$O$10:$O$11,MATCH($F200,'Indigenous'!$B$10:$B$11,0))="","Cell will autofill based on response",INDEX('Indigenous'!$O$10:$O$11,MATCH($F200,'Indigenous'!$B$10:$B$11,0))),"N/A")</f>
        <v/>
      </c>
      <c r="X200" s="52">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2">
        <f>IFERROR(IF(INDEX('Faculties'!$P$10:$P$19,MATCH($F201,'Faculties'!$B$10:$B$19,0))="","Cell will autofill based on response",INDEX('Faculties'!$P$10:$P$19,MATCH($F201,'Faculties'!$B$10:$B$19,0))),"N/A")</f>
        <v/>
      </c>
      <c r="I201" s="52">
        <f>IFERROR(IF(INDEX('Faculties'!$P$26:$P$35,MATCH($F201,'Faculties'!$B$26:$B$35,0))="","Cell will autofill based on response",INDEX('Faculties'!$P$26:$P$35,MATCH($F201,'Faculties'!$B$26:$B$35,0))),"N/A")</f>
        <v/>
      </c>
      <c r="J201" s="52">
        <f>IFERROR(IF(INDEX('Faculties'!$P$42:$P$51,MATCH($F201,'Faculties'!$B$42:$B$51,0))="","Cell will autofill based on response",INDEX('Faculties'!$P$42:$P$51,MATCH($F201,'Faculties'!$B$42:$B$51,0))),"N/A")</f>
        <v/>
      </c>
      <c r="K201" s="52">
        <f>IFERROR(IF(INDEX('Faculties'!$P$58:$P$67,MATCH($F201,'Faculties'!$B$58:$B$67,0))="","Cell will autofill based on response",INDEX('Faculties'!$P$58:$P$67,MATCH($F201,'Faculties'!$B$58:$B$67,0))),"N/A")</f>
        <v/>
      </c>
      <c r="L201" s="52">
        <f>IFERROR(IF(INDEX('CI&amp;S'!$P$10:$P$15,MATCH($F201,'CI&amp;S'!$B$10:$B$15,0))="","Cell will autofill based on response",INDEX('CI&amp;S'!$P$10:$P$15,MATCH($F201,'CI&amp;S'!$B$10:$B$15,0))),"N/A")</f>
        <v/>
      </c>
      <c r="M201" s="52">
        <f>IFERROR(IF(INDEX('CI&amp;S'!$P$22:$P$36,MATCH($F201,'CI&amp;S'!$B$22:$B$36,0))="","Cell will autofill based on response",INDEX('CI&amp;S'!$P$22:$P$36,MATCH($F201,'CI&amp;S'!$B$22:$B$36,0))),"N/A")</f>
        <v/>
      </c>
      <c r="N201" s="52">
        <f>IFERROR(IF(INDEX('CFOG'!$P$10:$P$16,MATCH($F201,'CFOG'!$B$10:$B$16,0))="","Cell will autofill based on response",INDEX('CFOG'!$P$10:$P$16,MATCH($F201,'CFOG'!$B$10:$B$16,0))),"N/A")</f>
        <v/>
      </c>
      <c r="O201" s="52">
        <f>IFERROR(IF(INDEX('CFOG'!$P$23:$P$24,MATCH($F201,'CFOG'!$B$23:$B$24,0))="","Cell will autofill based on response",INDEX('CFOG'!$P$23:$P$24,MATCH($F201,'CFOG'!$B$23:$B$24,0))),"N/A")</f>
        <v/>
      </c>
      <c r="P201" s="52">
        <f>IFERROR(IF(INDEX('ESG'!$P$10:$P$17,MATCH($F201,'ESG'!$B$10:$B$17,0))="","Cell will autofill based on response",INDEX('ESG'!$P$10:$P$17,MATCH($F201,'ESG'!$B$10:$B$17,0))),"N/A")</f>
        <v/>
      </c>
      <c r="Q201" s="52">
        <f>IFERROR(IF(INDEX('CIOG'!$P$10:$P$14,MATCH($F201,'CIOG'!$B$10:$B$14,0))="","Cell will autofill based on response",INDEX('CIOG'!$P$10:$P$14,MATCH($F201,'CIOG'!$B$10:$B$14,0))),"N/A")</f>
        <v/>
      </c>
      <c r="R201" s="52">
        <f>IFERROR(IF(INDEX('MRE'!$P$10:$P$18,MATCH($F201,'MRE'!$B$10:$B$18,0))="","Cell will autofill based on response",INDEX('MRE'!$P$10:$P$18,MATCH($F201,'MRE'!$B$10:$B$18,0))),"N/A")</f>
        <v/>
      </c>
      <c r="S201" s="52">
        <f>IFERROR(IF(INDEX('AC&amp;M'!$P$10:$P$14,MATCH($F201,'AC&amp;M'!$B$10:$B$14,0))="","Cell will autofill based on response",INDEX('AC&amp;M'!$P$10:$P$14,MATCH($F201,'AC&amp;M'!$B$10:$B$14,0))),"N/A")</f>
        <v/>
      </c>
      <c r="T201" s="52">
        <f>IFERROR(IF(INDEX('GCE'!$P$10:$P$12,MATCH($F201,'GCE'!$B$10:$B$12,0))="","Cell will autofill based on response",INDEX('GCE'!$P$10:$P$12,MATCH($F201,'GCE'!$B$10:$B$12,0))),"N/A")</f>
        <v/>
      </c>
      <c r="U201" s="52">
        <f>IFERROR(IF(INDEX('Education'!$P$10:$P$13,MATCH($F201,'Education'!$B$10:$B$13,0))="","Cell will autofill based on response",INDEX('Education'!$P$10:$P$13,MATCH($F201,'Education'!$B$10:$B$13,0))),"N/A")</f>
        <v/>
      </c>
      <c r="V201" s="52">
        <f>IFERROR(IF(INDEX('SaSS'!$P$10:$P$12,MATCH($F201,'SaSS'!$B$10:$B$12,0))="","Cell will autofill based on response",INDEX('SaSS'!$P$10:$P$12,MATCH($F201,'SaSS'!$B$10:$B$12,0))),"N/A")</f>
        <v/>
      </c>
      <c r="W201" s="52">
        <f>IFERROR(IF(INDEX('Indigenous'!$P$10:$P$11,MATCH($F201,'Indigenous'!$B$10:$B$11,0))="","Cell will autofill based on response",INDEX('Indigenous'!$P$10:$P$11,MATCH($F201,'Indigenous'!$B$10:$B$11,0))),"N/A")</f>
        <v/>
      </c>
      <c r="X201" s="52">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2">
        <f>IFERROR(IF(INDEX('Faculties'!$Q$10:$Q$19,MATCH($F202,'Faculties'!$B$10:$B$19,0))="","Cell will autofill based on response",INDEX('Faculties'!$Q$10:$Q$19,MATCH($F202,'Faculties'!$B$10:$B$19,0))),"N/A")</f>
        <v/>
      </c>
      <c r="I202" s="52">
        <f>IFERROR(IF(INDEX('Faculties'!$Q$26:$Q$35,MATCH($F202,'Faculties'!$B$26:$B$35,0))="","Cell will autofill based on response",INDEX('Faculties'!$Q$26:$Q$35,MATCH($F202,'Faculties'!$B$26:$B$35,0))),"N/A")</f>
        <v/>
      </c>
      <c r="J202" s="52">
        <f>IFERROR(IF(INDEX('Faculties'!$Q$42:$Q$51,MATCH($F202,'Faculties'!$B$42:$B$51,0))="","Cell will autofill based on response",INDEX('Faculties'!$Q$42:$Q$51,MATCH($F202,'Faculties'!$B$42:$B$51,0))),"N/A")</f>
        <v/>
      </c>
      <c r="K202" s="52">
        <f>IFERROR(IF(INDEX('Faculties'!$Q$58:$Q$67,MATCH($F202,'Faculties'!$B$58:$B$67,0))="","Cell will autofill based on response",INDEX('Faculties'!$Q$58:$Q$67,MATCH($F202,'Faculties'!$B$58:$B$67,0))),"N/A")</f>
        <v/>
      </c>
      <c r="L202" s="52">
        <f>IFERROR(IF(INDEX('CI&amp;S'!$Q$10:$Q$15,MATCH($F202,'CI&amp;S'!$B$10:$B$15,0))="","Cell will autofill based on response",INDEX('CI&amp;S'!$Q$10:$Q$15,MATCH($F202,'CI&amp;S'!$B$10:$B$15,0))),"N/A")</f>
        <v/>
      </c>
      <c r="M202" s="52">
        <f>IFERROR(IF(INDEX('CI&amp;S'!$Q$22:$Q$36,MATCH($F202,'CI&amp;S'!$B$22:$B$36,0))="","Cell will autofill based on response",INDEX('CI&amp;S'!$Q$22:$Q$36,MATCH($F202,'CI&amp;S'!$B$22:$B$36,0))),"N/A")</f>
        <v/>
      </c>
      <c r="N202" s="52">
        <f>IFERROR(IF(INDEX('CFOG'!$Q$10:$Q$16,MATCH($F202,'CFOG'!$B$10:$B$16,0))="","Cell will autofill based on response",INDEX('CFOG'!$Q$10:$Q$16,MATCH($F202,'CFOG'!$B$10:$B$16,0))),"N/A")</f>
        <v/>
      </c>
      <c r="O202" s="52">
        <f>IFERROR(IF(INDEX('CFOG'!$Q$23:$Q$24,MATCH($F202,'CFOG'!$B$23:$B$24,0))="","Cell will autofill based on response",INDEX('CFOG'!$Q$23:$Q$24,MATCH($F202,'CFOG'!$B$23:$B$24,0))),"N/A")</f>
        <v/>
      </c>
      <c r="P202" s="52">
        <f>IFERROR(IF(INDEX('ESG'!$Q$10:$Q$17,MATCH($F202,'ESG'!$B$10:$B$17,0))="","Cell will autofill based on response",INDEX('ESG'!$Q$10:$Q$17,MATCH($F202,'ESG'!$B$10:$B$17,0))),"N/A")</f>
        <v/>
      </c>
      <c r="Q202" s="52">
        <f>IFERROR(IF(INDEX('CIOG'!$Q$10:$Q$14,MATCH($F202,'CIOG'!$B$10:$B$14,0))="","Cell will autofill based on response",INDEX('CIOG'!$Q$10:$Q$14,MATCH($F202,'CIOG'!$B$10:$B$14,0))),"N/A")</f>
        <v/>
      </c>
      <c r="R202" s="52">
        <f>IFERROR(IF(INDEX('MRE'!$Q$10:$Q$18,MATCH($F202,'MRE'!$B$10:$B$18,0))="","Cell will autofill based on response",INDEX('MRE'!$Q$10:$Q$18,MATCH($F202,'MRE'!$B$10:$B$18,0))),"N/A")</f>
        <v/>
      </c>
      <c r="S202" s="52">
        <f>IFERROR(IF(INDEX('AC&amp;M'!$Q$10:$Q$14,MATCH($F202,'AC&amp;M'!$B$10:$B$14,0))="","Cell will autofill based on response",INDEX('AC&amp;M'!$Q$10:$Q$14,MATCH($F202,'AC&amp;M'!$B$10:$B$14,0))),"N/A")</f>
        <v/>
      </c>
      <c r="T202" s="52">
        <f>IFERROR(IF(INDEX('GCE'!$Q$10:$Q$12,MATCH($F202,'GCE'!$B$10:$B$12,0))="","Cell will autofill based on response",INDEX('GCE'!$Q$10:$Q$12,MATCH($F202,'GCE'!$B$10:$B$12,0))),"N/A")</f>
        <v/>
      </c>
      <c r="U202" s="52">
        <f>IFERROR(IF(INDEX('Education'!$Q$10:$Q$13,MATCH($F202,'Education'!$B$10:$B$13,0))="","Cell will autofill based on response",INDEX('Education'!$Q$10:$Q$13,MATCH($F202,'Education'!$B$10:$B$13,0))),"N/A")</f>
        <v/>
      </c>
      <c r="V202" s="52">
        <f>IFERROR(IF(INDEX('SaSS'!$Q$10:$Q$12,MATCH($F202,'SaSS'!$B$10:$B$12,0))="","Cell will autofill based on response",INDEX('SaSS'!$Q$10:$Q$12,MATCH($F202,'SaSS'!$B$10:$B$12,0))),"N/A")</f>
        <v/>
      </c>
      <c r="W202" s="52">
        <f>IFERROR(IF(INDEX('Indigenous'!$Q$10:$Q$11,MATCH($F202,'Indigenous'!$B$10:$B$11,0))="","Cell will autofill based on response",INDEX('Indigenous'!$Q$10:$Q$11,MATCH($F202,'Indigenous'!$B$10:$B$11,0))),"N/A")</f>
        <v/>
      </c>
      <c r="X202" s="52">
        <f>IFERROR(IF(INDEX('L&amp;R'!$Q$10:$Q$11,MATCH($F202,'L&amp;R'!$B$10:$B$11,0))="","Cell will autofill based on response",INDEX('L&amp;R'!$Q$10:$Q$11,MATCH($F202,'L&amp;R'!$B$10:$B$11,0))),"N/A")</f>
        <v/>
      </c>
    </row>
    <row r="203">
      <c r="A203">
        <f>F203&amp;"|"&amp;G203</f>
        <v/>
      </c>
      <c r="B203" s="7" t="inlineStr">
        <is>
          <t>MS1(a)</t>
        </is>
      </c>
      <c r="C203" s="50" t="inlineStr">
        <is>
          <t>Modern slavery and human rights</t>
        </is>
      </c>
      <c r="D203" s="50" t="inlineStr">
        <is>
          <t>Annual progress reporting via the Modern Slavery Statement</t>
        </is>
      </c>
      <c r="E203" s="50" t="inlineStr">
        <is>
          <t>Annual Modern Slavery Statement, with case studies</t>
        </is>
      </c>
      <c r="F203" s="50" t="inlineStr">
        <is>
          <t>MS1(a)</t>
        </is>
      </c>
      <c r="G203" s="50" t="inlineStr">
        <is>
          <t>Confirm end-2026 target status</t>
        </is>
      </c>
      <c r="H203" s="52">
        <f>IFERROR(IF(INDEX('Faculties'!$L$10:$L$19,MATCH($F203,'Faculties'!$B$10:$B$19,0))="","Cell will autofill based on response",INDEX('Faculties'!$L$10:$L$19,MATCH($F203,'Faculties'!$B$10:$B$19,0))),"N/A")</f>
        <v/>
      </c>
      <c r="I203" s="52">
        <f>IFERROR(IF(INDEX('Faculties'!$L$26:$L$35,MATCH($F203,'Faculties'!$B$26:$B$35,0))="","Cell will autofill based on response",INDEX('Faculties'!$L$26:$L$35,MATCH($F203,'Faculties'!$B$26:$B$35,0))),"N/A")</f>
        <v/>
      </c>
      <c r="J203" s="52">
        <f>IFERROR(IF(INDEX('Faculties'!$L$42:$L$51,MATCH($F203,'Faculties'!$B$42:$B$51,0))="","Cell will autofill based on response",INDEX('Faculties'!$L$42:$L$51,MATCH($F203,'Faculties'!$B$42:$B$51,0))),"N/A")</f>
        <v/>
      </c>
      <c r="K203" s="52">
        <f>IFERROR(IF(INDEX('Faculties'!$L$58:$L$67,MATCH($F203,'Faculties'!$B$58:$B$67,0))="","Cell will autofill based on response",INDEX('Faculties'!$L$58:$L$67,MATCH($F203,'Faculties'!$B$58:$B$67,0))),"N/A")</f>
        <v/>
      </c>
      <c r="L203" s="52">
        <f>IFERROR(IF(INDEX('CI&amp;S'!$L$10:$L$15,MATCH($F203,'CI&amp;S'!$B$10:$B$15,0))="","Cell will autofill based on response",INDEX('CI&amp;S'!$L$10:$L$15,MATCH($F203,'CI&amp;S'!$B$10:$B$15,0))),"N/A")</f>
        <v/>
      </c>
      <c r="M203" s="52">
        <f>IFERROR(IF(INDEX('CI&amp;S'!$L$22:$L$36,MATCH($F203,'CI&amp;S'!$B$22:$B$36,0))="","Cell will autofill based on response",INDEX('CI&amp;S'!$L$22:$L$36,MATCH($F203,'CI&amp;S'!$B$22:$B$36,0))),"N/A")</f>
        <v/>
      </c>
      <c r="N203" s="52">
        <f>IFERROR(IF(INDEX('CFOG'!$L$10:$L$16,MATCH($F203,'CFOG'!$B$10:$B$16,0))="","Cell will autofill based on response",INDEX('CFOG'!$L$10:$L$16,MATCH($F203,'CFOG'!$B$10:$B$16,0))),"N/A")</f>
        <v/>
      </c>
      <c r="O203" s="52">
        <f>IFERROR(IF(INDEX('CFOG'!$L$23:$L$24,MATCH($F203,'CFOG'!$B$23:$B$24,0))="","Cell will autofill based on response",INDEX('CFOG'!$L$23:$L$24,MATCH($F203,'CFOG'!$B$23:$B$24,0))),"N/A")</f>
        <v/>
      </c>
      <c r="P203" s="52">
        <f>IFERROR(IF(INDEX('ESG'!$L$10:$L$17,MATCH($F203,'ESG'!$B$10:$B$17,0))="","Cell will autofill based on response",INDEX('ESG'!$L$10:$L$17,MATCH($F203,'ESG'!$B$10:$B$17,0))),"N/A")</f>
        <v/>
      </c>
      <c r="Q203" s="52">
        <f>IFERROR(IF(INDEX('CIOG'!$L$10:$L$14,MATCH($F203,'CIOG'!$B$10:$B$14,0))="","Cell will autofill based on response",INDEX('CIOG'!$L$10:$L$14,MATCH($F203,'CIOG'!$B$10:$B$14,0))),"N/A")</f>
        <v/>
      </c>
      <c r="R203" s="52">
        <f>IFERROR(IF(INDEX('MRE'!$L$10:$L$18,MATCH($F203,'MRE'!$B$10:$B$18,0))="","Cell will autofill based on response",INDEX('MRE'!$L$10:$L$18,MATCH($F203,'MRE'!$B$10:$B$18,0))),"N/A")</f>
        <v/>
      </c>
      <c r="S203" s="52">
        <f>IFERROR(IF(INDEX('AC&amp;M'!$L$10:$L$14,MATCH($F203,'AC&amp;M'!$B$10:$B$14,0))="","Cell will autofill based on response",INDEX('AC&amp;M'!$L$10:$L$14,MATCH($F203,'AC&amp;M'!$B$10:$B$14,0))),"N/A")</f>
        <v/>
      </c>
      <c r="T203" s="52">
        <f>IFERROR(IF(INDEX('GCE'!$L$10:$L$12,MATCH($F203,'GCE'!$B$10:$B$12,0))="","Cell will autofill based on response",INDEX('GCE'!$L$10:$L$12,MATCH($F203,'GCE'!$B$10:$B$12,0))),"N/A")</f>
        <v/>
      </c>
      <c r="U203" s="52">
        <f>IFERROR(IF(INDEX('Education'!$L$10:$L$13,MATCH($F203,'Education'!$B$10:$B$13,0))="","Cell will autofill based on response",INDEX('Education'!$L$10:$L$13,MATCH($F203,'Education'!$B$10:$B$13,0))),"N/A")</f>
        <v/>
      </c>
      <c r="V203" s="52">
        <f>IFERROR(IF(INDEX('SaSS'!$L$10:$L$12,MATCH($F203,'SaSS'!$B$10:$B$12,0))="","Cell will autofill based on response",INDEX('SaSS'!$L$10:$L$12,MATCH($F203,'SaSS'!$B$10:$B$12,0))),"N/A")</f>
        <v/>
      </c>
      <c r="W203" s="52">
        <f>IFERROR(IF(INDEX('Indigenous'!$L$10:$L$11,MATCH($F203,'Indigenous'!$B$10:$B$11,0))="","Cell will autofill based on response",INDEX('Indigenous'!$L$10:$L$11,MATCH($F203,'Indigenous'!$B$10:$B$11,0))),"N/A")</f>
        <v/>
      </c>
      <c r="X203" s="52">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3">
        <f>IF(AF203&gt;0,AE203/AF203,"No valid responses to date")</f>
        <v/>
      </c>
      <c r="AH203" s="10">
        <f>IF(ISNUMBER(AG203),INDEX(Lists!$G$2:$G$5,MATCH(ROUND(AG203,0),Lists!$H$2:$H$5,0)),"")</f>
        <v/>
      </c>
      <c r="AI203" s="54">
        <f>IF(AF203&gt;0,AD203/AF203,"")</f>
        <v/>
      </c>
      <c r="AJ203" s="54">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2">
        <f>IFERROR(IF(INDEX('Faculties'!$M$10:$M$19,MATCH($F204,'Faculties'!$B$10:$B$19,0))="","Cell will autofill based on response",INDEX('Faculties'!$M$10:$M$19,MATCH($F204,'Faculties'!$B$10:$B$19,0))),"N/A")</f>
        <v/>
      </c>
      <c r="I204" s="52">
        <f>IFERROR(IF(INDEX('Faculties'!$M$26:$M$35,MATCH($F204,'Faculties'!$B$26:$B$35,0))="","Cell will autofill based on response",INDEX('Faculties'!$M$26:$M$35,MATCH($F204,'Faculties'!$B$26:$B$35,0))),"N/A")</f>
        <v/>
      </c>
      <c r="J204" s="52">
        <f>IFERROR(IF(INDEX('Faculties'!$M$42:$M$51,MATCH($F204,'Faculties'!$B$42:$B$51,0))="","Cell will autofill based on response",INDEX('Faculties'!$M$42:$M$51,MATCH($F204,'Faculties'!$B$42:$B$51,0))),"N/A")</f>
        <v/>
      </c>
      <c r="K204" s="52">
        <f>IFERROR(IF(INDEX('Faculties'!$M$58:$M$67,MATCH($F204,'Faculties'!$B$58:$B$67,0))="","Cell will autofill based on response",INDEX('Faculties'!$M$58:$M$67,MATCH($F204,'Faculties'!$B$58:$B$67,0))),"N/A")</f>
        <v/>
      </c>
      <c r="L204" s="52">
        <f>IFERROR(IF(INDEX('CI&amp;S'!$M$10:$M$15,MATCH($F204,'CI&amp;S'!$B$10:$B$15,0))="","Cell will autofill based on response",INDEX('CI&amp;S'!$M$10:$M$15,MATCH($F204,'CI&amp;S'!$B$10:$B$15,0))),"N/A")</f>
        <v/>
      </c>
      <c r="M204" s="52">
        <f>IFERROR(IF(INDEX('CI&amp;S'!$M$22:$M$36,MATCH($F204,'CI&amp;S'!$B$22:$B$36,0))="","Cell will autofill based on response",INDEX('CI&amp;S'!$M$22:$M$36,MATCH($F204,'CI&amp;S'!$B$22:$B$36,0))),"N/A")</f>
        <v/>
      </c>
      <c r="N204" s="52">
        <f>IFERROR(IF(INDEX('CFOG'!$M$10:$M$16,MATCH($F204,'CFOG'!$B$10:$B$16,0))="","Cell will autofill based on response",INDEX('CFOG'!$M$10:$M$16,MATCH($F204,'CFOG'!$B$10:$B$16,0))),"N/A")</f>
        <v/>
      </c>
      <c r="O204" s="52">
        <f>IFERROR(IF(INDEX('CFOG'!$M$23:$M$24,MATCH($F204,'CFOG'!$B$23:$B$24,0))="","Cell will autofill based on response",INDEX('CFOG'!$M$23:$M$24,MATCH($F204,'CFOG'!$B$23:$B$24,0))),"N/A")</f>
        <v/>
      </c>
      <c r="P204" s="52">
        <f>IFERROR(IF(INDEX('ESG'!$M$10:$M$17,MATCH($F204,'ESG'!$B$10:$B$17,0))="","Cell will autofill based on response",INDEX('ESG'!$M$10:$M$17,MATCH($F204,'ESG'!$B$10:$B$17,0))),"N/A")</f>
        <v/>
      </c>
      <c r="Q204" s="52">
        <f>IFERROR(IF(INDEX('CIOG'!$M$10:$M$14,MATCH($F204,'CIOG'!$B$10:$B$14,0))="","Cell will autofill based on response",INDEX('CIOG'!$M$10:$M$14,MATCH($F204,'CIOG'!$B$10:$B$14,0))),"N/A")</f>
        <v/>
      </c>
      <c r="R204" s="52">
        <f>IFERROR(IF(INDEX('MRE'!$M$10:$M$18,MATCH($F204,'MRE'!$B$10:$B$18,0))="","Cell will autofill based on response",INDEX('MRE'!$M$10:$M$18,MATCH($F204,'MRE'!$B$10:$B$18,0))),"N/A")</f>
        <v/>
      </c>
      <c r="S204" s="52">
        <f>IFERROR(IF(INDEX('AC&amp;M'!$M$10:$M$14,MATCH($F204,'AC&amp;M'!$B$10:$B$14,0))="","Cell will autofill based on response",INDEX('AC&amp;M'!$M$10:$M$14,MATCH($F204,'AC&amp;M'!$B$10:$B$14,0))),"N/A")</f>
        <v/>
      </c>
      <c r="T204" s="52">
        <f>IFERROR(IF(INDEX('GCE'!$M$10:$M$12,MATCH($F204,'GCE'!$B$10:$B$12,0))="","Cell will autofill based on response",INDEX('GCE'!$M$10:$M$12,MATCH($F204,'GCE'!$B$10:$B$12,0))),"N/A")</f>
        <v/>
      </c>
      <c r="U204" s="52">
        <f>IFERROR(IF(INDEX('Education'!$M$10:$M$13,MATCH($F204,'Education'!$B$10:$B$13,0))="","Cell will autofill based on response",INDEX('Education'!$M$10:$M$13,MATCH($F204,'Education'!$B$10:$B$13,0))),"N/A")</f>
        <v/>
      </c>
      <c r="V204" s="52">
        <f>IFERROR(IF(INDEX('SaSS'!$M$10:$M$12,MATCH($F204,'SaSS'!$B$10:$B$12,0))="","Cell will autofill based on response",INDEX('SaSS'!$M$10:$M$12,MATCH($F204,'SaSS'!$B$10:$B$12,0))),"N/A")</f>
        <v/>
      </c>
      <c r="W204" s="52">
        <f>IFERROR(IF(INDEX('Indigenous'!$M$10:$M$11,MATCH($F204,'Indigenous'!$B$10:$B$11,0))="","Cell will autofill based on response",INDEX('Indigenous'!$M$10:$M$11,MATCH($F204,'Indigenous'!$B$10:$B$11,0))),"N/A")</f>
        <v/>
      </c>
      <c r="X204" s="52">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2">
        <f>IFERROR(IF(INDEX('Faculties'!$N$10:$N$19,MATCH($F205,'Faculties'!$B$10:$B$19,0))="","Cell will autofill based on response",INDEX('Faculties'!$N$10:$N$19,MATCH($F205,'Faculties'!$B$10:$B$19,0))),"N/A")</f>
        <v/>
      </c>
      <c r="I205" s="52">
        <f>IFERROR(IF(INDEX('Faculties'!$N$26:$N$35,MATCH($F205,'Faculties'!$B$26:$B$35,0))="","Cell will autofill based on response",INDEX('Faculties'!$N$26:$N$35,MATCH($F205,'Faculties'!$B$26:$B$35,0))),"N/A")</f>
        <v/>
      </c>
      <c r="J205" s="52">
        <f>IFERROR(IF(INDEX('Faculties'!$N$42:$N$51,MATCH($F205,'Faculties'!$B$42:$B$51,0))="","Cell will autofill based on response",INDEX('Faculties'!$N$42:$N$51,MATCH($F205,'Faculties'!$B$42:$B$51,0))),"N/A")</f>
        <v/>
      </c>
      <c r="K205" s="52">
        <f>IFERROR(IF(INDEX('Faculties'!$N$58:$N$67,MATCH($F205,'Faculties'!$B$58:$B$67,0))="","Cell will autofill based on response",INDEX('Faculties'!$N$58:$N$67,MATCH($F205,'Faculties'!$B$58:$B$67,0))),"N/A")</f>
        <v/>
      </c>
      <c r="L205" s="52">
        <f>IFERROR(IF(INDEX('CI&amp;S'!$N$10:$N$15,MATCH($F205,'CI&amp;S'!$B$10:$B$15,0))="","Cell will autofill based on response",INDEX('CI&amp;S'!$N$10:$N$15,MATCH($F205,'CI&amp;S'!$B$10:$B$15,0))),"N/A")</f>
        <v/>
      </c>
      <c r="M205" s="52">
        <f>IFERROR(IF(INDEX('CI&amp;S'!$N$22:$N$36,MATCH($F205,'CI&amp;S'!$B$22:$B$36,0))="","Cell will autofill based on response",INDEX('CI&amp;S'!$N$22:$N$36,MATCH($F205,'CI&amp;S'!$B$22:$B$36,0))),"N/A")</f>
        <v/>
      </c>
      <c r="N205" s="52">
        <f>IFERROR(IF(INDEX('CFOG'!$N$10:$N$16,MATCH($F205,'CFOG'!$B$10:$B$16,0))="","Cell will autofill based on response",INDEX('CFOG'!$N$10:$N$16,MATCH($F205,'CFOG'!$B$10:$B$16,0))),"N/A")</f>
        <v/>
      </c>
      <c r="O205" s="52">
        <f>IFERROR(IF(INDEX('CFOG'!$N$23:$N$24,MATCH($F205,'CFOG'!$B$23:$B$24,0))="","Cell will autofill based on response",INDEX('CFOG'!$N$23:$N$24,MATCH($F205,'CFOG'!$B$23:$B$24,0))),"N/A")</f>
        <v/>
      </c>
      <c r="P205" s="52">
        <f>IFERROR(IF(INDEX('ESG'!$N$10:$N$17,MATCH($F205,'ESG'!$B$10:$B$17,0))="","Cell will autofill based on response",INDEX('ESG'!$N$10:$N$17,MATCH($F205,'ESG'!$B$10:$B$17,0))),"N/A")</f>
        <v/>
      </c>
      <c r="Q205" s="52">
        <f>IFERROR(IF(INDEX('CIOG'!$N$10:$N$14,MATCH($F205,'CIOG'!$B$10:$B$14,0))="","Cell will autofill based on response",INDEX('CIOG'!$N$10:$N$14,MATCH($F205,'CIOG'!$B$10:$B$14,0))),"N/A")</f>
        <v/>
      </c>
      <c r="R205" s="52">
        <f>IFERROR(IF(INDEX('MRE'!$N$10:$N$18,MATCH($F205,'MRE'!$B$10:$B$18,0))="","Cell will autofill based on response",INDEX('MRE'!$N$10:$N$18,MATCH($F205,'MRE'!$B$10:$B$18,0))),"N/A")</f>
        <v/>
      </c>
      <c r="S205" s="52">
        <f>IFERROR(IF(INDEX('AC&amp;M'!$N$10:$N$14,MATCH($F205,'AC&amp;M'!$B$10:$B$14,0))="","Cell will autofill based on response",INDEX('AC&amp;M'!$N$10:$N$14,MATCH($F205,'AC&amp;M'!$B$10:$B$14,0))),"N/A")</f>
        <v/>
      </c>
      <c r="T205" s="52">
        <f>IFERROR(IF(INDEX('GCE'!$N$10:$N$12,MATCH($F205,'GCE'!$B$10:$B$12,0))="","Cell will autofill based on response",INDEX('GCE'!$N$10:$N$12,MATCH($F205,'GCE'!$B$10:$B$12,0))),"N/A")</f>
        <v/>
      </c>
      <c r="U205" s="52">
        <f>IFERROR(IF(INDEX('Education'!$N$10:$N$13,MATCH($F205,'Education'!$B$10:$B$13,0))="","Cell will autofill based on response",INDEX('Education'!$N$10:$N$13,MATCH($F205,'Education'!$B$10:$B$13,0))),"N/A")</f>
        <v/>
      </c>
      <c r="V205" s="52">
        <f>IFERROR(IF(INDEX('SaSS'!$N$10:$N$12,MATCH($F205,'SaSS'!$B$10:$B$12,0))="","Cell will autofill based on response",INDEX('SaSS'!$N$10:$N$12,MATCH($F205,'SaSS'!$B$10:$B$12,0))),"N/A")</f>
        <v/>
      </c>
      <c r="W205" s="52">
        <f>IFERROR(IF(INDEX('Indigenous'!$N$10:$N$11,MATCH($F205,'Indigenous'!$B$10:$B$11,0))="","Cell will autofill based on response",INDEX('Indigenous'!$N$10:$N$11,MATCH($F205,'Indigenous'!$B$10:$B$11,0))),"N/A")</f>
        <v/>
      </c>
      <c r="X205" s="52">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2">
        <f>IFERROR(IF(INDEX('Faculties'!$O$10:$O$19,MATCH($F206,'Faculties'!$B$10:$B$19,0))="","Cell will autofill based on response",INDEX('Faculties'!$O$10:$O$19,MATCH($F206,'Faculties'!$B$10:$B$19,0))),"N/A")</f>
        <v/>
      </c>
      <c r="I206" s="52">
        <f>IFERROR(IF(INDEX('Faculties'!$O$26:$O$35,MATCH($F206,'Faculties'!$B$26:$B$35,0))="","Cell will autofill based on response",INDEX('Faculties'!$O$26:$O$35,MATCH($F206,'Faculties'!$B$26:$B$35,0))),"N/A")</f>
        <v/>
      </c>
      <c r="J206" s="52">
        <f>IFERROR(IF(INDEX('Faculties'!$O$42:$O$51,MATCH($F206,'Faculties'!$B$42:$B$51,0))="","Cell will autofill based on response",INDEX('Faculties'!$O$42:$O$51,MATCH($F206,'Faculties'!$B$42:$B$51,0))),"N/A")</f>
        <v/>
      </c>
      <c r="K206" s="52">
        <f>IFERROR(IF(INDEX('Faculties'!$O$58:$O$67,MATCH($F206,'Faculties'!$B$58:$B$67,0))="","Cell will autofill based on response",INDEX('Faculties'!$O$58:$O$67,MATCH($F206,'Faculties'!$B$58:$B$67,0))),"N/A")</f>
        <v/>
      </c>
      <c r="L206" s="52">
        <f>IFERROR(IF(INDEX('CI&amp;S'!$O$10:$O$15,MATCH($F206,'CI&amp;S'!$B$10:$B$15,0))="","Cell will autofill based on response",INDEX('CI&amp;S'!$O$10:$O$15,MATCH($F206,'CI&amp;S'!$B$10:$B$15,0))),"N/A")</f>
        <v/>
      </c>
      <c r="M206" s="52">
        <f>IFERROR(IF(INDEX('CI&amp;S'!$O$22:$O$36,MATCH($F206,'CI&amp;S'!$B$22:$B$36,0))="","Cell will autofill based on response",INDEX('CI&amp;S'!$O$22:$O$36,MATCH($F206,'CI&amp;S'!$B$22:$B$36,0))),"N/A")</f>
        <v/>
      </c>
      <c r="N206" s="52">
        <f>IFERROR(IF(INDEX('CFOG'!$O$10:$O$16,MATCH($F206,'CFOG'!$B$10:$B$16,0))="","Cell will autofill based on response",INDEX('CFOG'!$O$10:$O$16,MATCH($F206,'CFOG'!$B$10:$B$16,0))),"N/A")</f>
        <v/>
      </c>
      <c r="O206" s="52">
        <f>IFERROR(IF(INDEX('CFOG'!$O$23:$O$24,MATCH($F206,'CFOG'!$B$23:$B$24,0))="","Cell will autofill based on response",INDEX('CFOG'!$O$23:$O$24,MATCH($F206,'CFOG'!$B$23:$B$24,0))),"N/A")</f>
        <v/>
      </c>
      <c r="P206" s="52">
        <f>IFERROR(IF(INDEX('ESG'!$O$10:$O$17,MATCH($F206,'ESG'!$B$10:$B$17,0))="","Cell will autofill based on response",INDEX('ESG'!$O$10:$O$17,MATCH($F206,'ESG'!$B$10:$B$17,0))),"N/A")</f>
        <v/>
      </c>
      <c r="Q206" s="52">
        <f>IFERROR(IF(INDEX('CIOG'!$O$10:$O$14,MATCH($F206,'CIOG'!$B$10:$B$14,0))="","Cell will autofill based on response",INDEX('CIOG'!$O$10:$O$14,MATCH($F206,'CIOG'!$B$10:$B$14,0))),"N/A")</f>
        <v/>
      </c>
      <c r="R206" s="52">
        <f>IFERROR(IF(INDEX('MRE'!$O$10:$O$18,MATCH($F206,'MRE'!$B$10:$B$18,0))="","Cell will autofill based on response",INDEX('MRE'!$O$10:$O$18,MATCH($F206,'MRE'!$B$10:$B$18,0))),"N/A")</f>
        <v/>
      </c>
      <c r="S206" s="52">
        <f>IFERROR(IF(INDEX('AC&amp;M'!$O$10:$O$14,MATCH($F206,'AC&amp;M'!$B$10:$B$14,0))="","Cell will autofill based on response",INDEX('AC&amp;M'!$O$10:$O$14,MATCH($F206,'AC&amp;M'!$B$10:$B$14,0))),"N/A")</f>
        <v/>
      </c>
      <c r="T206" s="52">
        <f>IFERROR(IF(INDEX('GCE'!$O$10:$O$12,MATCH($F206,'GCE'!$B$10:$B$12,0))="","Cell will autofill based on response",INDEX('GCE'!$O$10:$O$12,MATCH($F206,'GCE'!$B$10:$B$12,0))),"N/A")</f>
        <v/>
      </c>
      <c r="U206" s="52">
        <f>IFERROR(IF(INDEX('Education'!$O$10:$O$13,MATCH($F206,'Education'!$B$10:$B$13,0))="","Cell will autofill based on response",INDEX('Education'!$O$10:$O$13,MATCH($F206,'Education'!$B$10:$B$13,0))),"N/A")</f>
        <v/>
      </c>
      <c r="V206" s="52">
        <f>IFERROR(IF(INDEX('SaSS'!$O$10:$O$12,MATCH($F206,'SaSS'!$B$10:$B$12,0))="","Cell will autofill based on response",INDEX('SaSS'!$O$10:$O$12,MATCH($F206,'SaSS'!$B$10:$B$12,0))),"N/A")</f>
        <v/>
      </c>
      <c r="W206" s="52">
        <f>IFERROR(IF(INDEX('Indigenous'!$O$10:$O$11,MATCH($F206,'Indigenous'!$B$10:$B$11,0))="","Cell will autofill based on response",INDEX('Indigenous'!$O$10:$O$11,MATCH($F206,'Indigenous'!$B$10:$B$11,0))),"N/A")</f>
        <v/>
      </c>
      <c r="X206" s="52">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2">
        <f>IFERROR(IF(INDEX('Faculties'!$P$10:$P$19,MATCH($F207,'Faculties'!$B$10:$B$19,0))="","Cell will autofill based on response",INDEX('Faculties'!$P$10:$P$19,MATCH($F207,'Faculties'!$B$10:$B$19,0))),"N/A")</f>
        <v/>
      </c>
      <c r="I207" s="52">
        <f>IFERROR(IF(INDEX('Faculties'!$P$26:$P$35,MATCH($F207,'Faculties'!$B$26:$B$35,0))="","Cell will autofill based on response",INDEX('Faculties'!$P$26:$P$35,MATCH($F207,'Faculties'!$B$26:$B$35,0))),"N/A")</f>
        <v/>
      </c>
      <c r="J207" s="52">
        <f>IFERROR(IF(INDEX('Faculties'!$P$42:$P$51,MATCH($F207,'Faculties'!$B$42:$B$51,0))="","Cell will autofill based on response",INDEX('Faculties'!$P$42:$P$51,MATCH($F207,'Faculties'!$B$42:$B$51,0))),"N/A")</f>
        <v/>
      </c>
      <c r="K207" s="52">
        <f>IFERROR(IF(INDEX('Faculties'!$P$58:$P$67,MATCH($F207,'Faculties'!$B$58:$B$67,0))="","Cell will autofill based on response",INDEX('Faculties'!$P$58:$P$67,MATCH($F207,'Faculties'!$B$58:$B$67,0))),"N/A")</f>
        <v/>
      </c>
      <c r="L207" s="52">
        <f>IFERROR(IF(INDEX('CI&amp;S'!$P$10:$P$15,MATCH($F207,'CI&amp;S'!$B$10:$B$15,0))="","Cell will autofill based on response",INDEX('CI&amp;S'!$P$10:$P$15,MATCH($F207,'CI&amp;S'!$B$10:$B$15,0))),"N/A")</f>
        <v/>
      </c>
      <c r="M207" s="52">
        <f>IFERROR(IF(INDEX('CI&amp;S'!$P$22:$P$36,MATCH($F207,'CI&amp;S'!$B$22:$B$36,0))="","Cell will autofill based on response",INDEX('CI&amp;S'!$P$22:$P$36,MATCH($F207,'CI&amp;S'!$B$22:$B$36,0))),"N/A")</f>
        <v/>
      </c>
      <c r="N207" s="52">
        <f>IFERROR(IF(INDEX('CFOG'!$P$10:$P$16,MATCH($F207,'CFOG'!$B$10:$B$16,0))="","Cell will autofill based on response",INDEX('CFOG'!$P$10:$P$16,MATCH($F207,'CFOG'!$B$10:$B$16,0))),"N/A")</f>
        <v/>
      </c>
      <c r="O207" s="52">
        <f>IFERROR(IF(INDEX('CFOG'!$P$23:$P$24,MATCH($F207,'CFOG'!$B$23:$B$24,0))="","Cell will autofill based on response",INDEX('CFOG'!$P$23:$P$24,MATCH($F207,'CFOG'!$B$23:$B$24,0))),"N/A")</f>
        <v/>
      </c>
      <c r="P207" s="52">
        <f>IFERROR(IF(INDEX('ESG'!$P$10:$P$17,MATCH($F207,'ESG'!$B$10:$B$17,0))="","Cell will autofill based on response",INDEX('ESG'!$P$10:$P$17,MATCH($F207,'ESG'!$B$10:$B$17,0))),"N/A")</f>
        <v/>
      </c>
      <c r="Q207" s="52">
        <f>IFERROR(IF(INDEX('CIOG'!$P$10:$P$14,MATCH($F207,'CIOG'!$B$10:$B$14,0))="","Cell will autofill based on response",INDEX('CIOG'!$P$10:$P$14,MATCH($F207,'CIOG'!$B$10:$B$14,0))),"N/A")</f>
        <v/>
      </c>
      <c r="R207" s="52">
        <f>IFERROR(IF(INDEX('MRE'!$P$10:$P$18,MATCH($F207,'MRE'!$B$10:$B$18,0))="","Cell will autofill based on response",INDEX('MRE'!$P$10:$P$18,MATCH($F207,'MRE'!$B$10:$B$18,0))),"N/A")</f>
        <v/>
      </c>
      <c r="S207" s="52">
        <f>IFERROR(IF(INDEX('AC&amp;M'!$P$10:$P$14,MATCH($F207,'AC&amp;M'!$B$10:$B$14,0))="","Cell will autofill based on response",INDEX('AC&amp;M'!$P$10:$P$14,MATCH($F207,'AC&amp;M'!$B$10:$B$14,0))),"N/A")</f>
        <v/>
      </c>
      <c r="T207" s="52">
        <f>IFERROR(IF(INDEX('GCE'!$P$10:$P$12,MATCH($F207,'GCE'!$B$10:$B$12,0))="","Cell will autofill based on response",INDEX('GCE'!$P$10:$P$12,MATCH($F207,'GCE'!$B$10:$B$12,0))),"N/A")</f>
        <v/>
      </c>
      <c r="U207" s="52">
        <f>IFERROR(IF(INDEX('Education'!$P$10:$P$13,MATCH($F207,'Education'!$B$10:$B$13,0))="","Cell will autofill based on response",INDEX('Education'!$P$10:$P$13,MATCH($F207,'Education'!$B$10:$B$13,0))),"N/A")</f>
        <v/>
      </c>
      <c r="V207" s="52">
        <f>IFERROR(IF(INDEX('SaSS'!$P$10:$P$12,MATCH($F207,'SaSS'!$B$10:$B$12,0))="","Cell will autofill based on response",INDEX('SaSS'!$P$10:$P$12,MATCH($F207,'SaSS'!$B$10:$B$12,0))),"N/A")</f>
        <v/>
      </c>
      <c r="W207" s="52">
        <f>IFERROR(IF(INDEX('Indigenous'!$P$10:$P$11,MATCH($F207,'Indigenous'!$B$10:$B$11,0))="","Cell will autofill based on response",INDEX('Indigenous'!$P$10:$P$11,MATCH($F207,'Indigenous'!$B$10:$B$11,0))),"N/A")</f>
        <v/>
      </c>
      <c r="X207" s="52">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2">
        <f>IFERROR(IF(INDEX('Faculties'!$Q$10:$Q$19,MATCH($F208,'Faculties'!$B$10:$B$19,0))="","Cell will autofill based on response",INDEX('Faculties'!$Q$10:$Q$19,MATCH($F208,'Faculties'!$B$10:$B$19,0))),"N/A")</f>
        <v/>
      </c>
      <c r="I208" s="52">
        <f>IFERROR(IF(INDEX('Faculties'!$Q$26:$Q$35,MATCH($F208,'Faculties'!$B$26:$B$35,0))="","Cell will autofill based on response",INDEX('Faculties'!$Q$26:$Q$35,MATCH($F208,'Faculties'!$B$26:$B$35,0))),"N/A")</f>
        <v/>
      </c>
      <c r="J208" s="52">
        <f>IFERROR(IF(INDEX('Faculties'!$Q$42:$Q$51,MATCH($F208,'Faculties'!$B$42:$B$51,0))="","Cell will autofill based on response",INDEX('Faculties'!$Q$42:$Q$51,MATCH($F208,'Faculties'!$B$42:$B$51,0))),"N/A")</f>
        <v/>
      </c>
      <c r="K208" s="52">
        <f>IFERROR(IF(INDEX('Faculties'!$Q$58:$Q$67,MATCH($F208,'Faculties'!$B$58:$B$67,0))="","Cell will autofill based on response",INDEX('Faculties'!$Q$58:$Q$67,MATCH($F208,'Faculties'!$B$58:$B$67,0))),"N/A")</f>
        <v/>
      </c>
      <c r="L208" s="52">
        <f>IFERROR(IF(INDEX('CI&amp;S'!$Q$10:$Q$15,MATCH($F208,'CI&amp;S'!$B$10:$B$15,0))="","Cell will autofill based on response",INDEX('CI&amp;S'!$Q$10:$Q$15,MATCH($F208,'CI&amp;S'!$B$10:$B$15,0))),"N/A")</f>
        <v/>
      </c>
      <c r="M208" s="52">
        <f>IFERROR(IF(INDEX('CI&amp;S'!$Q$22:$Q$36,MATCH($F208,'CI&amp;S'!$B$22:$B$36,0))="","Cell will autofill based on response",INDEX('CI&amp;S'!$Q$22:$Q$36,MATCH($F208,'CI&amp;S'!$B$22:$B$36,0))),"N/A")</f>
        <v/>
      </c>
      <c r="N208" s="52">
        <f>IFERROR(IF(INDEX('CFOG'!$Q$10:$Q$16,MATCH($F208,'CFOG'!$B$10:$B$16,0))="","Cell will autofill based on response",INDEX('CFOG'!$Q$10:$Q$16,MATCH($F208,'CFOG'!$B$10:$B$16,0))),"N/A")</f>
        <v/>
      </c>
      <c r="O208" s="52">
        <f>IFERROR(IF(INDEX('CFOG'!$Q$23:$Q$24,MATCH($F208,'CFOG'!$B$23:$B$24,0))="","Cell will autofill based on response",INDEX('CFOG'!$Q$23:$Q$24,MATCH($F208,'CFOG'!$B$23:$B$24,0))),"N/A")</f>
        <v/>
      </c>
      <c r="P208" s="52">
        <f>IFERROR(IF(INDEX('ESG'!$Q$10:$Q$17,MATCH($F208,'ESG'!$B$10:$B$17,0))="","Cell will autofill based on response",INDEX('ESG'!$Q$10:$Q$17,MATCH($F208,'ESG'!$B$10:$B$17,0))),"N/A")</f>
        <v/>
      </c>
      <c r="Q208" s="52">
        <f>IFERROR(IF(INDEX('CIOG'!$Q$10:$Q$14,MATCH($F208,'CIOG'!$B$10:$B$14,0))="","Cell will autofill based on response",INDEX('CIOG'!$Q$10:$Q$14,MATCH($F208,'CIOG'!$B$10:$B$14,0))),"N/A")</f>
        <v/>
      </c>
      <c r="R208" s="52">
        <f>IFERROR(IF(INDEX('MRE'!$Q$10:$Q$18,MATCH($F208,'MRE'!$B$10:$B$18,0))="","Cell will autofill based on response",INDEX('MRE'!$Q$10:$Q$18,MATCH($F208,'MRE'!$B$10:$B$18,0))),"N/A")</f>
        <v/>
      </c>
      <c r="S208" s="52">
        <f>IFERROR(IF(INDEX('AC&amp;M'!$Q$10:$Q$14,MATCH($F208,'AC&amp;M'!$B$10:$B$14,0))="","Cell will autofill based on response",INDEX('AC&amp;M'!$Q$10:$Q$14,MATCH($F208,'AC&amp;M'!$B$10:$B$14,0))),"N/A")</f>
        <v/>
      </c>
      <c r="T208" s="52">
        <f>IFERROR(IF(INDEX('GCE'!$Q$10:$Q$12,MATCH($F208,'GCE'!$B$10:$B$12,0))="","Cell will autofill based on response",INDEX('GCE'!$Q$10:$Q$12,MATCH($F208,'GCE'!$B$10:$B$12,0))),"N/A")</f>
        <v/>
      </c>
      <c r="U208" s="52">
        <f>IFERROR(IF(INDEX('Education'!$Q$10:$Q$13,MATCH($F208,'Education'!$B$10:$B$13,0))="","Cell will autofill based on response",INDEX('Education'!$Q$10:$Q$13,MATCH($F208,'Education'!$B$10:$B$13,0))),"N/A")</f>
        <v/>
      </c>
      <c r="V208" s="52">
        <f>IFERROR(IF(INDEX('SaSS'!$Q$10:$Q$12,MATCH($F208,'SaSS'!$B$10:$B$12,0))="","Cell will autofill based on response",INDEX('SaSS'!$Q$10:$Q$12,MATCH($F208,'SaSS'!$B$10:$B$12,0))),"N/A")</f>
        <v/>
      </c>
      <c r="W208" s="52">
        <f>IFERROR(IF(INDEX('Indigenous'!$Q$10:$Q$11,MATCH($F208,'Indigenous'!$B$10:$B$11,0))="","Cell will autofill based on response",INDEX('Indigenous'!$Q$10:$Q$11,MATCH($F208,'Indigenous'!$B$10:$B$11,0))),"N/A")</f>
        <v/>
      </c>
      <c r="X208" s="52">
        <f>IFERROR(IF(INDEX('L&amp;R'!$Q$10:$Q$11,MATCH($F208,'L&amp;R'!$B$10:$B$11,0))="","Cell will autofill based on response",INDEX('L&amp;R'!$Q$10:$Q$11,MATCH($F208,'L&amp;R'!$B$10:$B$11,0))),"N/A")</f>
        <v/>
      </c>
    </row>
    <row r="209">
      <c r="A209">
        <f>F209&amp;"|"&amp;G209</f>
        <v/>
      </c>
      <c r="B209" s="7" t="inlineStr">
        <is>
          <t>RI1(b)</t>
        </is>
      </c>
      <c r="C209" s="50" t="inlineStr">
        <is>
          <t>Responsible investments</t>
        </is>
      </c>
      <c r="D209" s="50" t="inlineStr">
        <is>
          <t>Continuous improvement of the reporting of the University’s sustainability-related investment profile metrics, could include investment in climate mitigation and transition solutions, and compliance with related obligations (eg UNPRI).</t>
        </is>
      </c>
      <c r="E209" s="50" t="inlineStr">
        <is>
          <t>Report on relevant sustainability-related investment portfolio metrics and report on how the University has complied with its related obligations</t>
        </is>
      </c>
      <c r="F209" s="50" t="inlineStr">
        <is>
          <t>RI1(b)</t>
        </is>
      </c>
      <c r="G209" s="50" t="inlineStr">
        <is>
          <t>Confirm end-2026 target status</t>
        </is>
      </c>
      <c r="H209" s="52">
        <f>IFERROR(IF(INDEX('Faculties'!$L$10:$L$19,MATCH($F209,'Faculties'!$B$10:$B$19,0))="","Cell will autofill based on response",INDEX('Faculties'!$L$10:$L$19,MATCH($F209,'Faculties'!$B$10:$B$19,0))),"N/A")</f>
        <v/>
      </c>
      <c r="I209" s="52">
        <f>IFERROR(IF(INDEX('Faculties'!$L$26:$L$35,MATCH($F209,'Faculties'!$B$26:$B$35,0))="","Cell will autofill based on response",INDEX('Faculties'!$L$26:$L$35,MATCH($F209,'Faculties'!$B$26:$B$35,0))),"N/A")</f>
        <v/>
      </c>
      <c r="J209" s="52">
        <f>IFERROR(IF(INDEX('Faculties'!$L$42:$L$51,MATCH($F209,'Faculties'!$B$42:$B$51,0))="","Cell will autofill based on response",INDEX('Faculties'!$L$42:$L$51,MATCH($F209,'Faculties'!$B$42:$B$51,0))),"N/A")</f>
        <v/>
      </c>
      <c r="K209" s="52">
        <f>IFERROR(IF(INDEX('Faculties'!$L$58:$L$67,MATCH($F209,'Faculties'!$B$58:$B$67,0))="","Cell will autofill based on response",INDEX('Faculties'!$L$58:$L$67,MATCH($F209,'Faculties'!$B$58:$B$67,0))),"N/A")</f>
        <v/>
      </c>
      <c r="L209" s="52">
        <f>IFERROR(IF(INDEX('CI&amp;S'!$L$10:$L$15,MATCH($F209,'CI&amp;S'!$B$10:$B$15,0))="","Cell will autofill based on response",INDEX('CI&amp;S'!$L$10:$L$15,MATCH($F209,'CI&amp;S'!$B$10:$B$15,0))),"N/A")</f>
        <v/>
      </c>
      <c r="M209" s="52">
        <f>IFERROR(IF(INDEX('CI&amp;S'!$L$22:$L$36,MATCH($F209,'CI&amp;S'!$B$22:$B$36,0))="","Cell will autofill based on response",INDEX('CI&amp;S'!$L$22:$L$36,MATCH($F209,'CI&amp;S'!$B$22:$B$36,0))),"N/A")</f>
        <v/>
      </c>
      <c r="N209" s="52">
        <f>IFERROR(IF(INDEX('CFOG'!$L$10:$L$16,MATCH($F209,'CFOG'!$B$10:$B$16,0))="","Cell will autofill based on response",INDEX('CFOG'!$L$10:$L$16,MATCH($F209,'CFOG'!$B$10:$B$16,0))),"N/A")</f>
        <v/>
      </c>
      <c r="O209" s="52">
        <f>IFERROR(IF(INDEX('CFOG'!$L$23:$L$24,MATCH($F209,'CFOG'!$B$23:$B$24,0))="","Cell will autofill based on response",INDEX('CFOG'!$L$23:$L$24,MATCH($F209,'CFOG'!$B$23:$B$24,0))),"N/A")</f>
        <v/>
      </c>
      <c r="P209" s="52">
        <f>IFERROR(IF(INDEX('ESG'!$L$10:$L$17,MATCH($F209,'ESG'!$B$10:$B$17,0))="","Cell will autofill based on response",INDEX('ESG'!$L$10:$L$17,MATCH($F209,'ESG'!$B$10:$B$17,0))),"N/A")</f>
        <v/>
      </c>
      <c r="Q209" s="52">
        <f>IFERROR(IF(INDEX('CIOG'!$L$10:$L$14,MATCH($F209,'CIOG'!$B$10:$B$14,0))="","Cell will autofill based on response",INDEX('CIOG'!$L$10:$L$14,MATCH($F209,'CIOG'!$B$10:$B$14,0))),"N/A")</f>
        <v/>
      </c>
      <c r="R209" s="52">
        <f>IFERROR(IF(INDEX('MRE'!$L$10:$L$18,MATCH($F209,'MRE'!$B$10:$B$18,0))="","Cell will autofill based on response",INDEX('MRE'!$L$10:$L$18,MATCH($F209,'MRE'!$B$10:$B$18,0))),"N/A")</f>
        <v/>
      </c>
      <c r="S209" s="52">
        <f>IFERROR(IF(INDEX('AC&amp;M'!$L$10:$L$14,MATCH($F209,'AC&amp;M'!$B$10:$B$14,0))="","Cell will autofill based on response",INDEX('AC&amp;M'!$L$10:$L$14,MATCH($F209,'AC&amp;M'!$B$10:$B$14,0))),"N/A")</f>
        <v/>
      </c>
      <c r="T209" s="52">
        <f>IFERROR(IF(INDEX('GCE'!$L$10:$L$12,MATCH($F209,'GCE'!$B$10:$B$12,0))="","Cell will autofill based on response",INDEX('GCE'!$L$10:$L$12,MATCH($F209,'GCE'!$B$10:$B$12,0))),"N/A")</f>
        <v/>
      </c>
      <c r="U209" s="52">
        <f>IFERROR(IF(INDEX('Education'!$L$10:$L$13,MATCH($F209,'Education'!$B$10:$B$13,0))="","Cell will autofill based on response",INDEX('Education'!$L$10:$L$13,MATCH($F209,'Education'!$B$10:$B$13,0))),"N/A")</f>
        <v/>
      </c>
      <c r="V209" s="52">
        <f>IFERROR(IF(INDEX('SaSS'!$L$10:$L$12,MATCH($F209,'SaSS'!$B$10:$B$12,0))="","Cell will autofill based on response",INDEX('SaSS'!$L$10:$L$12,MATCH($F209,'SaSS'!$B$10:$B$12,0))),"N/A")</f>
        <v/>
      </c>
      <c r="W209" s="52">
        <f>IFERROR(IF(INDEX('Indigenous'!$L$10:$L$11,MATCH($F209,'Indigenous'!$B$10:$B$11,0))="","Cell will autofill based on response",INDEX('Indigenous'!$L$10:$L$11,MATCH($F209,'Indigenous'!$B$10:$B$11,0))),"N/A")</f>
        <v/>
      </c>
      <c r="X209" s="52">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3">
        <f>IF(AF209&gt;0,AE209/AF209,"No valid responses to date")</f>
        <v/>
      </c>
      <c r="AH209" s="10">
        <f>IF(ISNUMBER(AG209),INDEX(Lists!$G$2:$G$5,MATCH(ROUND(AG209,0),Lists!$H$2:$H$5,0)),"")</f>
        <v/>
      </c>
      <c r="AI209" s="54">
        <f>IF(AF209&gt;0,AD209/AF209,"")</f>
        <v/>
      </c>
      <c r="AJ209" s="54">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2">
        <f>IFERROR(IF(INDEX('Faculties'!$M$10:$M$19,MATCH($F210,'Faculties'!$B$10:$B$19,0))="","Cell will autofill based on response",INDEX('Faculties'!$M$10:$M$19,MATCH($F210,'Faculties'!$B$10:$B$19,0))),"N/A")</f>
        <v/>
      </c>
      <c r="I210" s="52">
        <f>IFERROR(IF(INDEX('Faculties'!$M$26:$M$35,MATCH($F210,'Faculties'!$B$26:$B$35,0))="","Cell will autofill based on response",INDEX('Faculties'!$M$26:$M$35,MATCH($F210,'Faculties'!$B$26:$B$35,0))),"N/A")</f>
        <v/>
      </c>
      <c r="J210" s="52">
        <f>IFERROR(IF(INDEX('Faculties'!$M$42:$M$51,MATCH($F210,'Faculties'!$B$42:$B$51,0))="","Cell will autofill based on response",INDEX('Faculties'!$M$42:$M$51,MATCH($F210,'Faculties'!$B$42:$B$51,0))),"N/A")</f>
        <v/>
      </c>
      <c r="K210" s="52">
        <f>IFERROR(IF(INDEX('Faculties'!$M$58:$M$67,MATCH($F210,'Faculties'!$B$58:$B$67,0))="","Cell will autofill based on response",INDEX('Faculties'!$M$58:$M$67,MATCH($F210,'Faculties'!$B$58:$B$67,0))),"N/A")</f>
        <v/>
      </c>
      <c r="L210" s="52">
        <f>IFERROR(IF(INDEX('CI&amp;S'!$M$10:$M$15,MATCH($F210,'CI&amp;S'!$B$10:$B$15,0))="","Cell will autofill based on response",INDEX('CI&amp;S'!$M$10:$M$15,MATCH($F210,'CI&amp;S'!$B$10:$B$15,0))),"N/A")</f>
        <v/>
      </c>
      <c r="M210" s="52">
        <f>IFERROR(IF(INDEX('CI&amp;S'!$M$22:$M$36,MATCH($F210,'CI&amp;S'!$B$22:$B$36,0))="","Cell will autofill based on response",INDEX('CI&amp;S'!$M$22:$M$36,MATCH($F210,'CI&amp;S'!$B$22:$B$36,0))),"N/A")</f>
        <v/>
      </c>
      <c r="N210" s="52">
        <f>IFERROR(IF(INDEX('CFOG'!$M$10:$M$16,MATCH($F210,'CFOG'!$B$10:$B$16,0))="","Cell will autofill based on response",INDEX('CFOG'!$M$10:$M$16,MATCH($F210,'CFOG'!$B$10:$B$16,0))),"N/A")</f>
        <v/>
      </c>
      <c r="O210" s="52">
        <f>IFERROR(IF(INDEX('CFOG'!$M$23:$M$24,MATCH($F210,'CFOG'!$B$23:$B$24,0))="","Cell will autofill based on response",INDEX('CFOG'!$M$23:$M$24,MATCH($F210,'CFOG'!$B$23:$B$24,0))),"N/A")</f>
        <v/>
      </c>
      <c r="P210" s="52">
        <f>IFERROR(IF(INDEX('ESG'!$M$10:$M$17,MATCH($F210,'ESG'!$B$10:$B$17,0))="","Cell will autofill based on response",INDEX('ESG'!$M$10:$M$17,MATCH($F210,'ESG'!$B$10:$B$17,0))),"N/A")</f>
        <v/>
      </c>
      <c r="Q210" s="52">
        <f>IFERROR(IF(INDEX('CIOG'!$M$10:$M$14,MATCH($F210,'CIOG'!$B$10:$B$14,0))="","Cell will autofill based on response",INDEX('CIOG'!$M$10:$M$14,MATCH($F210,'CIOG'!$B$10:$B$14,0))),"N/A")</f>
        <v/>
      </c>
      <c r="R210" s="52">
        <f>IFERROR(IF(INDEX('MRE'!$M$10:$M$18,MATCH($F210,'MRE'!$B$10:$B$18,0))="","Cell will autofill based on response",INDEX('MRE'!$M$10:$M$18,MATCH($F210,'MRE'!$B$10:$B$18,0))),"N/A")</f>
        <v/>
      </c>
      <c r="S210" s="52">
        <f>IFERROR(IF(INDEX('AC&amp;M'!$M$10:$M$14,MATCH($F210,'AC&amp;M'!$B$10:$B$14,0))="","Cell will autofill based on response",INDEX('AC&amp;M'!$M$10:$M$14,MATCH($F210,'AC&amp;M'!$B$10:$B$14,0))),"N/A")</f>
        <v/>
      </c>
      <c r="T210" s="52">
        <f>IFERROR(IF(INDEX('GCE'!$M$10:$M$12,MATCH($F210,'GCE'!$B$10:$B$12,0))="","Cell will autofill based on response",INDEX('GCE'!$M$10:$M$12,MATCH($F210,'GCE'!$B$10:$B$12,0))),"N/A")</f>
        <v/>
      </c>
      <c r="U210" s="52">
        <f>IFERROR(IF(INDEX('Education'!$M$10:$M$13,MATCH($F210,'Education'!$B$10:$B$13,0))="","Cell will autofill based on response",INDEX('Education'!$M$10:$M$13,MATCH($F210,'Education'!$B$10:$B$13,0))),"N/A")</f>
        <v/>
      </c>
      <c r="V210" s="52">
        <f>IFERROR(IF(INDEX('SaSS'!$M$10:$M$12,MATCH($F210,'SaSS'!$B$10:$B$12,0))="","Cell will autofill based on response",INDEX('SaSS'!$M$10:$M$12,MATCH($F210,'SaSS'!$B$10:$B$12,0))),"N/A")</f>
        <v/>
      </c>
      <c r="W210" s="52">
        <f>IFERROR(IF(INDEX('Indigenous'!$M$10:$M$11,MATCH($F210,'Indigenous'!$B$10:$B$11,0))="","Cell will autofill based on response",INDEX('Indigenous'!$M$10:$M$11,MATCH($F210,'Indigenous'!$B$10:$B$11,0))),"N/A")</f>
        <v/>
      </c>
      <c r="X210" s="52">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2">
        <f>IFERROR(IF(INDEX('Faculties'!$N$10:$N$19,MATCH($F211,'Faculties'!$B$10:$B$19,0))="","Cell will autofill based on response",INDEX('Faculties'!$N$10:$N$19,MATCH($F211,'Faculties'!$B$10:$B$19,0))),"N/A")</f>
        <v/>
      </c>
      <c r="I211" s="52">
        <f>IFERROR(IF(INDEX('Faculties'!$N$26:$N$35,MATCH($F211,'Faculties'!$B$26:$B$35,0))="","Cell will autofill based on response",INDEX('Faculties'!$N$26:$N$35,MATCH($F211,'Faculties'!$B$26:$B$35,0))),"N/A")</f>
        <v/>
      </c>
      <c r="J211" s="52">
        <f>IFERROR(IF(INDEX('Faculties'!$N$42:$N$51,MATCH($F211,'Faculties'!$B$42:$B$51,0))="","Cell will autofill based on response",INDEX('Faculties'!$N$42:$N$51,MATCH($F211,'Faculties'!$B$42:$B$51,0))),"N/A")</f>
        <v/>
      </c>
      <c r="K211" s="52">
        <f>IFERROR(IF(INDEX('Faculties'!$N$58:$N$67,MATCH($F211,'Faculties'!$B$58:$B$67,0))="","Cell will autofill based on response",INDEX('Faculties'!$N$58:$N$67,MATCH($F211,'Faculties'!$B$58:$B$67,0))),"N/A")</f>
        <v/>
      </c>
      <c r="L211" s="52">
        <f>IFERROR(IF(INDEX('CI&amp;S'!$N$10:$N$15,MATCH($F211,'CI&amp;S'!$B$10:$B$15,0))="","Cell will autofill based on response",INDEX('CI&amp;S'!$N$10:$N$15,MATCH($F211,'CI&amp;S'!$B$10:$B$15,0))),"N/A")</f>
        <v/>
      </c>
      <c r="M211" s="52">
        <f>IFERROR(IF(INDEX('CI&amp;S'!$N$22:$N$36,MATCH($F211,'CI&amp;S'!$B$22:$B$36,0))="","Cell will autofill based on response",INDEX('CI&amp;S'!$N$22:$N$36,MATCH($F211,'CI&amp;S'!$B$22:$B$36,0))),"N/A")</f>
        <v/>
      </c>
      <c r="N211" s="52">
        <f>IFERROR(IF(INDEX('CFOG'!$N$10:$N$16,MATCH($F211,'CFOG'!$B$10:$B$16,0))="","Cell will autofill based on response",INDEX('CFOG'!$N$10:$N$16,MATCH($F211,'CFOG'!$B$10:$B$16,0))),"N/A")</f>
        <v/>
      </c>
      <c r="O211" s="52">
        <f>IFERROR(IF(INDEX('CFOG'!$N$23:$N$24,MATCH($F211,'CFOG'!$B$23:$B$24,0))="","Cell will autofill based on response",INDEX('CFOG'!$N$23:$N$24,MATCH($F211,'CFOG'!$B$23:$B$24,0))),"N/A")</f>
        <v/>
      </c>
      <c r="P211" s="52">
        <f>IFERROR(IF(INDEX('ESG'!$N$10:$N$17,MATCH($F211,'ESG'!$B$10:$B$17,0))="","Cell will autofill based on response",INDEX('ESG'!$N$10:$N$17,MATCH($F211,'ESG'!$B$10:$B$17,0))),"N/A")</f>
        <v/>
      </c>
      <c r="Q211" s="52">
        <f>IFERROR(IF(INDEX('CIOG'!$N$10:$N$14,MATCH($F211,'CIOG'!$B$10:$B$14,0))="","Cell will autofill based on response",INDEX('CIOG'!$N$10:$N$14,MATCH($F211,'CIOG'!$B$10:$B$14,0))),"N/A")</f>
        <v/>
      </c>
      <c r="R211" s="52">
        <f>IFERROR(IF(INDEX('MRE'!$N$10:$N$18,MATCH($F211,'MRE'!$B$10:$B$18,0))="","Cell will autofill based on response",INDEX('MRE'!$N$10:$N$18,MATCH($F211,'MRE'!$B$10:$B$18,0))),"N/A")</f>
        <v/>
      </c>
      <c r="S211" s="52">
        <f>IFERROR(IF(INDEX('AC&amp;M'!$N$10:$N$14,MATCH($F211,'AC&amp;M'!$B$10:$B$14,0))="","Cell will autofill based on response",INDEX('AC&amp;M'!$N$10:$N$14,MATCH($F211,'AC&amp;M'!$B$10:$B$14,0))),"N/A")</f>
        <v/>
      </c>
      <c r="T211" s="52">
        <f>IFERROR(IF(INDEX('GCE'!$N$10:$N$12,MATCH($F211,'GCE'!$B$10:$B$12,0))="","Cell will autofill based on response",INDEX('GCE'!$N$10:$N$12,MATCH($F211,'GCE'!$B$10:$B$12,0))),"N/A")</f>
        <v/>
      </c>
      <c r="U211" s="52">
        <f>IFERROR(IF(INDEX('Education'!$N$10:$N$13,MATCH($F211,'Education'!$B$10:$B$13,0))="","Cell will autofill based on response",INDEX('Education'!$N$10:$N$13,MATCH($F211,'Education'!$B$10:$B$13,0))),"N/A")</f>
        <v/>
      </c>
      <c r="V211" s="52">
        <f>IFERROR(IF(INDEX('SaSS'!$N$10:$N$12,MATCH($F211,'SaSS'!$B$10:$B$12,0))="","Cell will autofill based on response",INDEX('SaSS'!$N$10:$N$12,MATCH($F211,'SaSS'!$B$10:$B$12,0))),"N/A")</f>
        <v/>
      </c>
      <c r="W211" s="52">
        <f>IFERROR(IF(INDEX('Indigenous'!$N$10:$N$11,MATCH($F211,'Indigenous'!$B$10:$B$11,0))="","Cell will autofill based on response",INDEX('Indigenous'!$N$10:$N$11,MATCH($F211,'Indigenous'!$B$10:$B$11,0))),"N/A")</f>
        <v/>
      </c>
      <c r="X211" s="52">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2">
        <f>IFERROR(IF(INDEX('Faculties'!$O$10:$O$19,MATCH($F212,'Faculties'!$B$10:$B$19,0))="","Cell will autofill based on response",INDEX('Faculties'!$O$10:$O$19,MATCH($F212,'Faculties'!$B$10:$B$19,0))),"N/A")</f>
        <v/>
      </c>
      <c r="I212" s="52">
        <f>IFERROR(IF(INDEX('Faculties'!$O$26:$O$35,MATCH($F212,'Faculties'!$B$26:$B$35,0))="","Cell will autofill based on response",INDEX('Faculties'!$O$26:$O$35,MATCH($F212,'Faculties'!$B$26:$B$35,0))),"N/A")</f>
        <v/>
      </c>
      <c r="J212" s="52">
        <f>IFERROR(IF(INDEX('Faculties'!$O$42:$O$51,MATCH($F212,'Faculties'!$B$42:$B$51,0))="","Cell will autofill based on response",INDEX('Faculties'!$O$42:$O$51,MATCH($F212,'Faculties'!$B$42:$B$51,0))),"N/A")</f>
        <v/>
      </c>
      <c r="K212" s="52">
        <f>IFERROR(IF(INDEX('Faculties'!$O$58:$O$67,MATCH($F212,'Faculties'!$B$58:$B$67,0))="","Cell will autofill based on response",INDEX('Faculties'!$O$58:$O$67,MATCH($F212,'Faculties'!$B$58:$B$67,0))),"N/A")</f>
        <v/>
      </c>
      <c r="L212" s="52">
        <f>IFERROR(IF(INDEX('CI&amp;S'!$O$10:$O$15,MATCH($F212,'CI&amp;S'!$B$10:$B$15,0))="","Cell will autofill based on response",INDEX('CI&amp;S'!$O$10:$O$15,MATCH($F212,'CI&amp;S'!$B$10:$B$15,0))),"N/A")</f>
        <v/>
      </c>
      <c r="M212" s="52">
        <f>IFERROR(IF(INDEX('CI&amp;S'!$O$22:$O$36,MATCH($F212,'CI&amp;S'!$B$22:$B$36,0))="","Cell will autofill based on response",INDEX('CI&amp;S'!$O$22:$O$36,MATCH($F212,'CI&amp;S'!$B$22:$B$36,0))),"N/A")</f>
        <v/>
      </c>
      <c r="N212" s="52">
        <f>IFERROR(IF(INDEX('CFOG'!$O$10:$O$16,MATCH($F212,'CFOG'!$B$10:$B$16,0))="","Cell will autofill based on response",INDEX('CFOG'!$O$10:$O$16,MATCH($F212,'CFOG'!$B$10:$B$16,0))),"N/A")</f>
        <v/>
      </c>
      <c r="O212" s="52">
        <f>IFERROR(IF(INDEX('CFOG'!$O$23:$O$24,MATCH($F212,'CFOG'!$B$23:$B$24,0))="","Cell will autofill based on response",INDEX('CFOG'!$O$23:$O$24,MATCH($F212,'CFOG'!$B$23:$B$24,0))),"N/A")</f>
        <v/>
      </c>
      <c r="P212" s="52">
        <f>IFERROR(IF(INDEX('ESG'!$O$10:$O$17,MATCH($F212,'ESG'!$B$10:$B$17,0))="","Cell will autofill based on response",INDEX('ESG'!$O$10:$O$17,MATCH($F212,'ESG'!$B$10:$B$17,0))),"N/A")</f>
        <v/>
      </c>
      <c r="Q212" s="52">
        <f>IFERROR(IF(INDEX('CIOG'!$O$10:$O$14,MATCH($F212,'CIOG'!$B$10:$B$14,0))="","Cell will autofill based on response",INDEX('CIOG'!$O$10:$O$14,MATCH($F212,'CIOG'!$B$10:$B$14,0))),"N/A")</f>
        <v/>
      </c>
      <c r="R212" s="52">
        <f>IFERROR(IF(INDEX('MRE'!$O$10:$O$18,MATCH($F212,'MRE'!$B$10:$B$18,0))="","Cell will autofill based on response",INDEX('MRE'!$O$10:$O$18,MATCH($F212,'MRE'!$B$10:$B$18,0))),"N/A")</f>
        <v/>
      </c>
      <c r="S212" s="52">
        <f>IFERROR(IF(INDEX('AC&amp;M'!$O$10:$O$14,MATCH($F212,'AC&amp;M'!$B$10:$B$14,0))="","Cell will autofill based on response",INDEX('AC&amp;M'!$O$10:$O$14,MATCH($F212,'AC&amp;M'!$B$10:$B$14,0))),"N/A")</f>
        <v/>
      </c>
      <c r="T212" s="52">
        <f>IFERROR(IF(INDEX('GCE'!$O$10:$O$12,MATCH($F212,'GCE'!$B$10:$B$12,0))="","Cell will autofill based on response",INDEX('GCE'!$O$10:$O$12,MATCH($F212,'GCE'!$B$10:$B$12,0))),"N/A")</f>
        <v/>
      </c>
      <c r="U212" s="52">
        <f>IFERROR(IF(INDEX('Education'!$O$10:$O$13,MATCH($F212,'Education'!$B$10:$B$13,0))="","Cell will autofill based on response",INDEX('Education'!$O$10:$O$13,MATCH($F212,'Education'!$B$10:$B$13,0))),"N/A")</f>
        <v/>
      </c>
      <c r="V212" s="52">
        <f>IFERROR(IF(INDEX('SaSS'!$O$10:$O$12,MATCH($F212,'SaSS'!$B$10:$B$12,0))="","Cell will autofill based on response",INDEX('SaSS'!$O$10:$O$12,MATCH($F212,'SaSS'!$B$10:$B$12,0))),"N/A")</f>
        <v/>
      </c>
      <c r="W212" s="52">
        <f>IFERROR(IF(INDEX('Indigenous'!$O$10:$O$11,MATCH($F212,'Indigenous'!$B$10:$B$11,0))="","Cell will autofill based on response",INDEX('Indigenous'!$O$10:$O$11,MATCH($F212,'Indigenous'!$B$10:$B$11,0))),"N/A")</f>
        <v/>
      </c>
      <c r="X212" s="52">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2">
        <f>IFERROR(IF(INDEX('Faculties'!$P$10:$P$19,MATCH($F213,'Faculties'!$B$10:$B$19,0))="","Cell will autofill based on response",INDEX('Faculties'!$P$10:$P$19,MATCH($F213,'Faculties'!$B$10:$B$19,0))),"N/A")</f>
        <v/>
      </c>
      <c r="I213" s="52">
        <f>IFERROR(IF(INDEX('Faculties'!$P$26:$P$35,MATCH($F213,'Faculties'!$B$26:$B$35,0))="","Cell will autofill based on response",INDEX('Faculties'!$P$26:$P$35,MATCH($F213,'Faculties'!$B$26:$B$35,0))),"N/A")</f>
        <v/>
      </c>
      <c r="J213" s="52">
        <f>IFERROR(IF(INDEX('Faculties'!$P$42:$P$51,MATCH($F213,'Faculties'!$B$42:$B$51,0))="","Cell will autofill based on response",INDEX('Faculties'!$P$42:$P$51,MATCH($F213,'Faculties'!$B$42:$B$51,0))),"N/A")</f>
        <v/>
      </c>
      <c r="K213" s="52">
        <f>IFERROR(IF(INDEX('Faculties'!$P$58:$P$67,MATCH($F213,'Faculties'!$B$58:$B$67,0))="","Cell will autofill based on response",INDEX('Faculties'!$P$58:$P$67,MATCH($F213,'Faculties'!$B$58:$B$67,0))),"N/A")</f>
        <v/>
      </c>
      <c r="L213" s="52">
        <f>IFERROR(IF(INDEX('CI&amp;S'!$P$10:$P$15,MATCH($F213,'CI&amp;S'!$B$10:$B$15,0))="","Cell will autofill based on response",INDEX('CI&amp;S'!$P$10:$P$15,MATCH($F213,'CI&amp;S'!$B$10:$B$15,0))),"N/A")</f>
        <v/>
      </c>
      <c r="M213" s="52">
        <f>IFERROR(IF(INDEX('CI&amp;S'!$P$22:$P$36,MATCH($F213,'CI&amp;S'!$B$22:$B$36,0))="","Cell will autofill based on response",INDEX('CI&amp;S'!$P$22:$P$36,MATCH($F213,'CI&amp;S'!$B$22:$B$36,0))),"N/A")</f>
        <v/>
      </c>
      <c r="N213" s="52">
        <f>IFERROR(IF(INDEX('CFOG'!$P$10:$P$16,MATCH($F213,'CFOG'!$B$10:$B$16,0))="","Cell will autofill based on response",INDEX('CFOG'!$P$10:$P$16,MATCH($F213,'CFOG'!$B$10:$B$16,0))),"N/A")</f>
        <v/>
      </c>
      <c r="O213" s="52">
        <f>IFERROR(IF(INDEX('CFOG'!$P$23:$P$24,MATCH($F213,'CFOG'!$B$23:$B$24,0))="","Cell will autofill based on response",INDEX('CFOG'!$P$23:$P$24,MATCH($F213,'CFOG'!$B$23:$B$24,0))),"N/A")</f>
        <v/>
      </c>
      <c r="P213" s="52">
        <f>IFERROR(IF(INDEX('ESG'!$P$10:$P$17,MATCH($F213,'ESG'!$B$10:$B$17,0))="","Cell will autofill based on response",INDEX('ESG'!$P$10:$P$17,MATCH($F213,'ESG'!$B$10:$B$17,0))),"N/A")</f>
        <v/>
      </c>
      <c r="Q213" s="52">
        <f>IFERROR(IF(INDEX('CIOG'!$P$10:$P$14,MATCH($F213,'CIOG'!$B$10:$B$14,0))="","Cell will autofill based on response",INDEX('CIOG'!$P$10:$P$14,MATCH($F213,'CIOG'!$B$10:$B$14,0))),"N/A")</f>
        <v/>
      </c>
      <c r="R213" s="52">
        <f>IFERROR(IF(INDEX('MRE'!$P$10:$P$18,MATCH($F213,'MRE'!$B$10:$B$18,0))="","Cell will autofill based on response",INDEX('MRE'!$P$10:$P$18,MATCH($F213,'MRE'!$B$10:$B$18,0))),"N/A")</f>
        <v/>
      </c>
      <c r="S213" s="52">
        <f>IFERROR(IF(INDEX('AC&amp;M'!$P$10:$P$14,MATCH($F213,'AC&amp;M'!$B$10:$B$14,0))="","Cell will autofill based on response",INDEX('AC&amp;M'!$P$10:$P$14,MATCH($F213,'AC&amp;M'!$B$10:$B$14,0))),"N/A")</f>
        <v/>
      </c>
      <c r="T213" s="52">
        <f>IFERROR(IF(INDEX('GCE'!$P$10:$P$12,MATCH($F213,'GCE'!$B$10:$B$12,0))="","Cell will autofill based on response",INDEX('GCE'!$P$10:$P$12,MATCH($F213,'GCE'!$B$10:$B$12,0))),"N/A")</f>
        <v/>
      </c>
      <c r="U213" s="52">
        <f>IFERROR(IF(INDEX('Education'!$P$10:$P$13,MATCH($F213,'Education'!$B$10:$B$13,0))="","Cell will autofill based on response",INDEX('Education'!$P$10:$P$13,MATCH($F213,'Education'!$B$10:$B$13,0))),"N/A")</f>
        <v/>
      </c>
      <c r="V213" s="52">
        <f>IFERROR(IF(INDEX('SaSS'!$P$10:$P$12,MATCH($F213,'SaSS'!$B$10:$B$12,0))="","Cell will autofill based on response",INDEX('SaSS'!$P$10:$P$12,MATCH($F213,'SaSS'!$B$10:$B$12,0))),"N/A")</f>
        <v/>
      </c>
      <c r="W213" s="52">
        <f>IFERROR(IF(INDEX('Indigenous'!$P$10:$P$11,MATCH($F213,'Indigenous'!$B$10:$B$11,0))="","Cell will autofill based on response",INDEX('Indigenous'!$P$10:$P$11,MATCH($F213,'Indigenous'!$B$10:$B$11,0))),"N/A")</f>
        <v/>
      </c>
      <c r="X213" s="52">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2">
        <f>IFERROR(IF(INDEX('Faculties'!$Q$10:$Q$19,MATCH($F214,'Faculties'!$B$10:$B$19,0))="","Cell will autofill based on response",INDEX('Faculties'!$Q$10:$Q$19,MATCH($F214,'Faculties'!$B$10:$B$19,0))),"N/A")</f>
        <v/>
      </c>
      <c r="I214" s="52">
        <f>IFERROR(IF(INDEX('Faculties'!$Q$26:$Q$35,MATCH($F214,'Faculties'!$B$26:$B$35,0))="","Cell will autofill based on response",INDEX('Faculties'!$Q$26:$Q$35,MATCH($F214,'Faculties'!$B$26:$B$35,0))),"N/A")</f>
        <v/>
      </c>
      <c r="J214" s="52">
        <f>IFERROR(IF(INDEX('Faculties'!$Q$42:$Q$51,MATCH($F214,'Faculties'!$B$42:$B$51,0))="","Cell will autofill based on response",INDEX('Faculties'!$Q$42:$Q$51,MATCH($F214,'Faculties'!$B$42:$B$51,0))),"N/A")</f>
        <v/>
      </c>
      <c r="K214" s="52">
        <f>IFERROR(IF(INDEX('Faculties'!$Q$58:$Q$67,MATCH($F214,'Faculties'!$B$58:$B$67,0))="","Cell will autofill based on response",INDEX('Faculties'!$Q$58:$Q$67,MATCH($F214,'Faculties'!$B$58:$B$67,0))),"N/A")</f>
        <v/>
      </c>
      <c r="L214" s="52">
        <f>IFERROR(IF(INDEX('CI&amp;S'!$Q$10:$Q$15,MATCH($F214,'CI&amp;S'!$B$10:$B$15,0))="","Cell will autofill based on response",INDEX('CI&amp;S'!$Q$10:$Q$15,MATCH($F214,'CI&amp;S'!$B$10:$B$15,0))),"N/A")</f>
        <v/>
      </c>
      <c r="M214" s="52">
        <f>IFERROR(IF(INDEX('CI&amp;S'!$Q$22:$Q$36,MATCH($F214,'CI&amp;S'!$B$22:$B$36,0))="","Cell will autofill based on response",INDEX('CI&amp;S'!$Q$22:$Q$36,MATCH($F214,'CI&amp;S'!$B$22:$B$36,0))),"N/A")</f>
        <v/>
      </c>
      <c r="N214" s="52">
        <f>IFERROR(IF(INDEX('CFOG'!$Q$10:$Q$16,MATCH($F214,'CFOG'!$B$10:$B$16,0))="","Cell will autofill based on response",INDEX('CFOG'!$Q$10:$Q$16,MATCH($F214,'CFOG'!$B$10:$B$16,0))),"N/A")</f>
        <v/>
      </c>
      <c r="O214" s="52">
        <f>IFERROR(IF(INDEX('CFOG'!$Q$23:$Q$24,MATCH($F214,'CFOG'!$B$23:$B$24,0))="","Cell will autofill based on response",INDEX('CFOG'!$Q$23:$Q$24,MATCH($F214,'CFOG'!$B$23:$B$24,0))),"N/A")</f>
        <v/>
      </c>
      <c r="P214" s="52">
        <f>IFERROR(IF(INDEX('ESG'!$Q$10:$Q$17,MATCH($F214,'ESG'!$B$10:$B$17,0))="","Cell will autofill based on response",INDEX('ESG'!$Q$10:$Q$17,MATCH($F214,'ESG'!$B$10:$B$17,0))),"N/A")</f>
        <v/>
      </c>
      <c r="Q214" s="52">
        <f>IFERROR(IF(INDEX('CIOG'!$Q$10:$Q$14,MATCH($F214,'CIOG'!$B$10:$B$14,0))="","Cell will autofill based on response",INDEX('CIOG'!$Q$10:$Q$14,MATCH($F214,'CIOG'!$B$10:$B$14,0))),"N/A")</f>
        <v/>
      </c>
      <c r="R214" s="52">
        <f>IFERROR(IF(INDEX('MRE'!$Q$10:$Q$18,MATCH($F214,'MRE'!$B$10:$B$18,0))="","Cell will autofill based on response",INDEX('MRE'!$Q$10:$Q$18,MATCH($F214,'MRE'!$B$10:$B$18,0))),"N/A")</f>
        <v/>
      </c>
      <c r="S214" s="52">
        <f>IFERROR(IF(INDEX('AC&amp;M'!$Q$10:$Q$14,MATCH($F214,'AC&amp;M'!$B$10:$B$14,0))="","Cell will autofill based on response",INDEX('AC&amp;M'!$Q$10:$Q$14,MATCH($F214,'AC&amp;M'!$B$10:$B$14,0))),"N/A")</f>
        <v/>
      </c>
      <c r="T214" s="52">
        <f>IFERROR(IF(INDEX('GCE'!$Q$10:$Q$12,MATCH($F214,'GCE'!$B$10:$B$12,0))="","Cell will autofill based on response",INDEX('GCE'!$Q$10:$Q$12,MATCH($F214,'GCE'!$B$10:$B$12,0))),"N/A")</f>
        <v/>
      </c>
      <c r="U214" s="52">
        <f>IFERROR(IF(INDEX('Education'!$Q$10:$Q$13,MATCH($F214,'Education'!$B$10:$B$13,0))="","Cell will autofill based on response",INDEX('Education'!$Q$10:$Q$13,MATCH($F214,'Education'!$B$10:$B$13,0))),"N/A")</f>
        <v/>
      </c>
      <c r="V214" s="52">
        <f>IFERROR(IF(INDEX('SaSS'!$Q$10:$Q$12,MATCH($F214,'SaSS'!$B$10:$B$12,0))="","Cell will autofill based on response",INDEX('SaSS'!$Q$10:$Q$12,MATCH($F214,'SaSS'!$B$10:$B$12,0))),"N/A")</f>
        <v/>
      </c>
      <c r="W214" s="52">
        <f>IFERROR(IF(INDEX('Indigenous'!$Q$10:$Q$11,MATCH($F214,'Indigenous'!$B$10:$B$11,0))="","Cell will autofill based on response",INDEX('Indigenous'!$Q$10:$Q$11,MATCH($F214,'Indigenous'!$B$10:$B$11,0))),"N/A")</f>
        <v/>
      </c>
      <c r="X214" s="52">
        <f>IFERROR(IF(INDEX('L&amp;R'!$Q$10:$Q$11,MATCH($F214,'L&amp;R'!$B$10:$B$11,0))="","Cell will autofill based on response",INDEX('L&amp;R'!$Q$10:$Q$11,MATCH($F214,'L&amp;R'!$B$10:$B$11,0))),"N/A")</f>
        <v/>
      </c>
    </row>
    <row r="215">
      <c r="A215">
        <f>F215&amp;"|"&amp;G215</f>
        <v/>
      </c>
      <c r="B215" s="7" t="inlineStr">
        <is>
          <t>EN1(a)</t>
        </is>
      </c>
      <c r="C215" s="50" t="inlineStr">
        <is>
          <t>Enablers</t>
        </is>
      </c>
      <c r="D215" s="50" t="inlineStr">
        <is>
          <t>Evidence of sustainability outcomes informed by Indigenous knowledges</t>
        </is>
      </c>
      <c r="E215"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0" t="inlineStr">
        <is>
          <t>EN1(a)</t>
        </is>
      </c>
      <c r="G215" s="50" t="inlineStr">
        <is>
          <t>Confirm end-2026 target status</t>
        </is>
      </c>
      <c r="H215" s="52">
        <f>IFERROR(IF(INDEX('Faculties'!$L$10:$L$19,MATCH($F215,'Faculties'!$B$10:$B$19,0))="","Cell will autofill based on response",INDEX('Faculties'!$L$10:$L$19,MATCH($F215,'Faculties'!$B$10:$B$19,0))),"N/A")</f>
        <v/>
      </c>
      <c r="I215" s="52">
        <f>IFERROR(IF(INDEX('Faculties'!$L$26:$L$35,MATCH($F215,'Faculties'!$B$26:$B$35,0))="","Cell will autofill based on response",INDEX('Faculties'!$L$26:$L$35,MATCH($F215,'Faculties'!$B$26:$B$35,0))),"N/A")</f>
        <v/>
      </c>
      <c r="J215" s="52">
        <f>IFERROR(IF(INDEX('Faculties'!$L$42:$L$51,MATCH($F215,'Faculties'!$B$42:$B$51,0))="","Cell will autofill based on response",INDEX('Faculties'!$L$42:$L$51,MATCH($F215,'Faculties'!$B$42:$B$51,0))),"N/A")</f>
        <v/>
      </c>
      <c r="K215" s="52">
        <f>IFERROR(IF(INDEX('Faculties'!$L$58:$L$67,MATCH($F215,'Faculties'!$B$58:$B$67,0))="","Cell will autofill based on response",INDEX('Faculties'!$L$58:$L$67,MATCH($F215,'Faculties'!$B$58:$B$67,0))),"N/A")</f>
        <v/>
      </c>
      <c r="L215" s="52">
        <f>IFERROR(IF(INDEX('CI&amp;S'!$L$10:$L$15,MATCH($F215,'CI&amp;S'!$B$10:$B$15,0))="","Cell will autofill based on response",INDEX('CI&amp;S'!$L$10:$L$15,MATCH($F215,'CI&amp;S'!$B$10:$B$15,0))),"N/A")</f>
        <v/>
      </c>
      <c r="M215" s="52">
        <f>IFERROR(IF(INDEX('CI&amp;S'!$L$22:$L$36,MATCH($F215,'CI&amp;S'!$B$22:$B$36,0))="","Cell will autofill based on response",INDEX('CI&amp;S'!$L$22:$L$36,MATCH($F215,'CI&amp;S'!$B$22:$B$36,0))),"N/A")</f>
        <v/>
      </c>
      <c r="N215" s="52">
        <f>IFERROR(IF(INDEX('CFOG'!$L$10:$L$16,MATCH($F215,'CFOG'!$B$10:$B$16,0))="","Cell will autofill based on response",INDEX('CFOG'!$L$10:$L$16,MATCH($F215,'CFOG'!$B$10:$B$16,0))),"N/A")</f>
        <v/>
      </c>
      <c r="O215" s="52">
        <f>IFERROR(IF(INDEX('CFOG'!$L$23:$L$24,MATCH($F215,'CFOG'!$B$23:$B$24,0))="","Cell will autofill based on response",INDEX('CFOG'!$L$23:$L$24,MATCH($F215,'CFOG'!$B$23:$B$24,0))),"N/A")</f>
        <v/>
      </c>
      <c r="P215" s="52">
        <f>IFERROR(IF(INDEX('ESG'!$L$10:$L$17,MATCH($F215,'ESG'!$B$10:$B$17,0))="","Cell will autofill based on response",INDEX('ESG'!$L$10:$L$17,MATCH($F215,'ESG'!$B$10:$B$17,0))),"N/A")</f>
        <v/>
      </c>
      <c r="Q215" s="52">
        <f>IFERROR(IF(INDEX('CIOG'!$L$10:$L$14,MATCH($F215,'CIOG'!$B$10:$B$14,0))="","Cell will autofill based on response",INDEX('CIOG'!$L$10:$L$14,MATCH($F215,'CIOG'!$B$10:$B$14,0))),"N/A")</f>
        <v/>
      </c>
      <c r="R215" s="52">
        <f>IFERROR(IF(INDEX('MRE'!$L$10:$L$18,MATCH($F215,'MRE'!$B$10:$B$18,0))="","Cell will autofill based on response",INDEX('MRE'!$L$10:$L$18,MATCH($F215,'MRE'!$B$10:$B$18,0))),"N/A")</f>
        <v/>
      </c>
      <c r="S215" s="52">
        <f>IFERROR(IF(INDEX('AC&amp;M'!$L$10:$L$14,MATCH($F215,'AC&amp;M'!$B$10:$B$14,0))="","Cell will autofill based on response",INDEX('AC&amp;M'!$L$10:$L$14,MATCH($F215,'AC&amp;M'!$B$10:$B$14,0))),"N/A")</f>
        <v/>
      </c>
      <c r="T215" s="52">
        <f>IFERROR(IF(INDEX('GCE'!$L$10:$L$12,MATCH($F215,'GCE'!$B$10:$B$12,0))="","Cell will autofill based on response",INDEX('GCE'!$L$10:$L$12,MATCH($F215,'GCE'!$B$10:$B$12,0))),"N/A")</f>
        <v/>
      </c>
      <c r="U215" s="52">
        <f>IFERROR(IF(INDEX('Education'!$L$10:$L$13,MATCH($F215,'Education'!$B$10:$B$13,0))="","Cell will autofill based on response",INDEX('Education'!$L$10:$L$13,MATCH($F215,'Education'!$B$10:$B$13,0))),"N/A")</f>
        <v/>
      </c>
      <c r="V215" s="52">
        <f>IFERROR(IF(INDEX('SaSS'!$L$10:$L$12,MATCH($F215,'SaSS'!$B$10:$B$12,0))="","Cell will autofill based on response",INDEX('SaSS'!$L$10:$L$12,MATCH($F215,'SaSS'!$B$10:$B$12,0))),"N/A")</f>
        <v/>
      </c>
      <c r="W215" s="52">
        <f>IFERROR(IF(INDEX('Indigenous'!$L$10:$L$11,MATCH($F215,'Indigenous'!$B$10:$B$11,0))="","Cell will autofill based on response",INDEX('Indigenous'!$L$10:$L$11,MATCH($F215,'Indigenous'!$B$10:$B$11,0))),"N/A")</f>
        <v/>
      </c>
      <c r="X215" s="52">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3">
        <f>IF(AF215&gt;0,AE215/AF215,"No valid responses to date")</f>
        <v/>
      </c>
      <c r="AH215" s="10">
        <f>IF(ISNUMBER(AG215),INDEX(Lists!$G$2:$G$5,MATCH(ROUND(AG215,0),Lists!$H$2:$H$5,0)),"")</f>
        <v/>
      </c>
      <c r="AI215" s="54">
        <f>IF(AF215&gt;0,AD215/AF215,"")</f>
        <v/>
      </c>
      <c r="AJ215" s="54">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2">
        <f>IFERROR(IF(INDEX('Faculties'!$M$10:$M$19,MATCH($F216,'Faculties'!$B$10:$B$19,0))="","Cell will autofill based on response",INDEX('Faculties'!$M$10:$M$19,MATCH($F216,'Faculties'!$B$10:$B$19,0))),"N/A")</f>
        <v/>
      </c>
      <c r="I216" s="52">
        <f>IFERROR(IF(INDEX('Faculties'!$M$26:$M$35,MATCH($F216,'Faculties'!$B$26:$B$35,0))="","Cell will autofill based on response",INDEX('Faculties'!$M$26:$M$35,MATCH($F216,'Faculties'!$B$26:$B$35,0))),"N/A")</f>
        <v/>
      </c>
      <c r="J216" s="52">
        <f>IFERROR(IF(INDEX('Faculties'!$M$42:$M$51,MATCH($F216,'Faculties'!$B$42:$B$51,0))="","Cell will autofill based on response",INDEX('Faculties'!$M$42:$M$51,MATCH($F216,'Faculties'!$B$42:$B$51,0))),"N/A")</f>
        <v/>
      </c>
      <c r="K216" s="52">
        <f>IFERROR(IF(INDEX('Faculties'!$M$58:$M$67,MATCH($F216,'Faculties'!$B$58:$B$67,0))="","Cell will autofill based on response",INDEX('Faculties'!$M$58:$M$67,MATCH($F216,'Faculties'!$B$58:$B$67,0))),"N/A")</f>
        <v/>
      </c>
      <c r="L216" s="52">
        <f>IFERROR(IF(INDEX('CI&amp;S'!$M$10:$M$15,MATCH($F216,'CI&amp;S'!$B$10:$B$15,0))="","Cell will autofill based on response",INDEX('CI&amp;S'!$M$10:$M$15,MATCH($F216,'CI&amp;S'!$B$10:$B$15,0))),"N/A")</f>
        <v/>
      </c>
      <c r="M216" s="52">
        <f>IFERROR(IF(INDEX('CI&amp;S'!$M$22:$M$36,MATCH($F216,'CI&amp;S'!$B$22:$B$36,0))="","Cell will autofill based on response",INDEX('CI&amp;S'!$M$22:$M$36,MATCH($F216,'CI&amp;S'!$B$22:$B$36,0))),"N/A")</f>
        <v/>
      </c>
      <c r="N216" s="52">
        <f>IFERROR(IF(INDEX('CFOG'!$M$10:$M$16,MATCH($F216,'CFOG'!$B$10:$B$16,0))="","Cell will autofill based on response",INDEX('CFOG'!$M$10:$M$16,MATCH($F216,'CFOG'!$B$10:$B$16,0))),"N/A")</f>
        <v/>
      </c>
      <c r="O216" s="52">
        <f>IFERROR(IF(INDEX('CFOG'!$M$23:$M$24,MATCH($F216,'CFOG'!$B$23:$B$24,0))="","Cell will autofill based on response",INDEX('CFOG'!$M$23:$M$24,MATCH($F216,'CFOG'!$B$23:$B$24,0))),"N/A")</f>
        <v/>
      </c>
      <c r="P216" s="52">
        <f>IFERROR(IF(INDEX('ESG'!$M$10:$M$17,MATCH($F216,'ESG'!$B$10:$B$17,0))="","Cell will autofill based on response",INDEX('ESG'!$M$10:$M$17,MATCH($F216,'ESG'!$B$10:$B$17,0))),"N/A")</f>
        <v/>
      </c>
      <c r="Q216" s="52">
        <f>IFERROR(IF(INDEX('CIOG'!$M$10:$M$14,MATCH($F216,'CIOG'!$B$10:$B$14,0))="","Cell will autofill based on response",INDEX('CIOG'!$M$10:$M$14,MATCH($F216,'CIOG'!$B$10:$B$14,0))),"N/A")</f>
        <v/>
      </c>
      <c r="R216" s="52">
        <f>IFERROR(IF(INDEX('MRE'!$M$10:$M$18,MATCH($F216,'MRE'!$B$10:$B$18,0))="","Cell will autofill based on response",INDEX('MRE'!$M$10:$M$18,MATCH($F216,'MRE'!$B$10:$B$18,0))),"N/A")</f>
        <v/>
      </c>
      <c r="S216" s="52">
        <f>IFERROR(IF(INDEX('AC&amp;M'!$M$10:$M$14,MATCH($F216,'AC&amp;M'!$B$10:$B$14,0))="","Cell will autofill based on response",INDEX('AC&amp;M'!$M$10:$M$14,MATCH($F216,'AC&amp;M'!$B$10:$B$14,0))),"N/A")</f>
        <v/>
      </c>
      <c r="T216" s="52">
        <f>IFERROR(IF(INDEX('GCE'!$M$10:$M$12,MATCH($F216,'GCE'!$B$10:$B$12,0))="","Cell will autofill based on response",INDEX('GCE'!$M$10:$M$12,MATCH($F216,'GCE'!$B$10:$B$12,0))),"N/A")</f>
        <v/>
      </c>
      <c r="U216" s="52">
        <f>IFERROR(IF(INDEX('Education'!$M$10:$M$13,MATCH($F216,'Education'!$B$10:$B$13,0))="","Cell will autofill based on response",INDEX('Education'!$M$10:$M$13,MATCH($F216,'Education'!$B$10:$B$13,0))),"N/A")</f>
        <v/>
      </c>
      <c r="V216" s="52">
        <f>IFERROR(IF(INDEX('SaSS'!$M$10:$M$12,MATCH($F216,'SaSS'!$B$10:$B$12,0))="","Cell will autofill based on response",INDEX('SaSS'!$M$10:$M$12,MATCH($F216,'SaSS'!$B$10:$B$12,0))),"N/A")</f>
        <v/>
      </c>
      <c r="W216" s="52">
        <f>IFERROR(IF(INDEX('Indigenous'!$M$10:$M$11,MATCH($F216,'Indigenous'!$B$10:$B$11,0))="","Cell will autofill based on response",INDEX('Indigenous'!$M$10:$M$11,MATCH($F216,'Indigenous'!$B$10:$B$11,0))),"N/A")</f>
        <v/>
      </c>
      <c r="X216" s="52">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2">
        <f>IFERROR(IF(INDEX('Faculties'!$N$10:$N$19,MATCH($F217,'Faculties'!$B$10:$B$19,0))="","Cell will autofill based on response",INDEX('Faculties'!$N$10:$N$19,MATCH($F217,'Faculties'!$B$10:$B$19,0))),"N/A")</f>
        <v/>
      </c>
      <c r="I217" s="52">
        <f>IFERROR(IF(INDEX('Faculties'!$N$26:$N$35,MATCH($F217,'Faculties'!$B$26:$B$35,0))="","Cell will autofill based on response",INDEX('Faculties'!$N$26:$N$35,MATCH($F217,'Faculties'!$B$26:$B$35,0))),"N/A")</f>
        <v/>
      </c>
      <c r="J217" s="52">
        <f>IFERROR(IF(INDEX('Faculties'!$N$42:$N$51,MATCH($F217,'Faculties'!$B$42:$B$51,0))="","Cell will autofill based on response",INDEX('Faculties'!$N$42:$N$51,MATCH($F217,'Faculties'!$B$42:$B$51,0))),"N/A")</f>
        <v/>
      </c>
      <c r="K217" s="52">
        <f>IFERROR(IF(INDEX('Faculties'!$N$58:$N$67,MATCH($F217,'Faculties'!$B$58:$B$67,0))="","Cell will autofill based on response",INDEX('Faculties'!$N$58:$N$67,MATCH($F217,'Faculties'!$B$58:$B$67,0))),"N/A")</f>
        <v/>
      </c>
      <c r="L217" s="52">
        <f>IFERROR(IF(INDEX('CI&amp;S'!$N$10:$N$15,MATCH($F217,'CI&amp;S'!$B$10:$B$15,0))="","Cell will autofill based on response",INDEX('CI&amp;S'!$N$10:$N$15,MATCH($F217,'CI&amp;S'!$B$10:$B$15,0))),"N/A")</f>
        <v/>
      </c>
      <c r="M217" s="52">
        <f>IFERROR(IF(INDEX('CI&amp;S'!$N$22:$N$36,MATCH($F217,'CI&amp;S'!$B$22:$B$36,0))="","Cell will autofill based on response",INDEX('CI&amp;S'!$N$22:$N$36,MATCH($F217,'CI&amp;S'!$B$22:$B$36,0))),"N/A")</f>
        <v/>
      </c>
      <c r="N217" s="52">
        <f>IFERROR(IF(INDEX('CFOG'!$N$10:$N$16,MATCH($F217,'CFOG'!$B$10:$B$16,0))="","Cell will autofill based on response",INDEX('CFOG'!$N$10:$N$16,MATCH($F217,'CFOG'!$B$10:$B$16,0))),"N/A")</f>
        <v/>
      </c>
      <c r="O217" s="52">
        <f>IFERROR(IF(INDEX('CFOG'!$N$23:$N$24,MATCH($F217,'CFOG'!$B$23:$B$24,0))="","Cell will autofill based on response",INDEX('CFOG'!$N$23:$N$24,MATCH($F217,'CFOG'!$B$23:$B$24,0))),"N/A")</f>
        <v/>
      </c>
      <c r="P217" s="52">
        <f>IFERROR(IF(INDEX('ESG'!$N$10:$N$17,MATCH($F217,'ESG'!$B$10:$B$17,0))="","Cell will autofill based on response",INDEX('ESG'!$N$10:$N$17,MATCH($F217,'ESG'!$B$10:$B$17,0))),"N/A")</f>
        <v/>
      </c>
      <c r="Q217" s="52">
        <f>IFERROR(IF(INDEX('CIOG'!$N$10:$N$14,MATCH($F217,'CIOG'!$B$10:$B$14,0))="","Cell will autofill based on response",INDEX('CIOG'!$N$10:$N$14,MATCH($F217,'CIOG'!$B$10:$B$14,0))),"N/A")</f>
        <v/>
      </c>
      <c r="R217" s="52">
        <f>IFERROR(IF(INDEX('MRE'!$N$10:$N$18,MATCH($F217,'MRE'!$B$10:$B$18,0))="","Cell will autofill based on response",INDEX('MRE'!$N$10:$N$18,MATCH($F217,'MRE'!$B$10:$B$18,0))),"N/A")</f>
        <v/>
      </c>
      <c r="S217" s="52">
        <f>IFERROR(IF(INDEX('AC&amp;M'!$N$10:$N$14,MATCH($F217,'AC&amp;M'!$B$10:$B$14,0))="","Cell will autofill based on response",INDEX('AC&amp;M'!$N$10:$N$14,MATCH($F217,'AC&amp;M'!$B$10:$B$14,0))),"N/A")</f>
        <v/>
      </c>
      <c r="T217" s="52">
        <f>IFERROR(IF(INDEX('GCE'!$N$10:$N$12,MATCH($F217,'GCE'!$B$10:$B$12,0))="","Cell will autofill based on response",INDEX('GCE'!$N$10:$N$12,MATCH($F217,'GCE'!$B$10:$B$12,0))),"N/A")</f>
        <v/>
      </c>
      <c r="U217" s="52">
        <f>IFERROR(IF(INDEX('Education'!$N$10:$N$13,MATCH($F217,'Education'!$B$10:$B$13,0))="","Cell will autofill based on response",INDEX('Education'!$N$10:$N$13,MATCH($F217,'Education'!$B$10:$B$13,0))),"N/A")</f>
        <v/>
      </c>
      <c r="V217" s="52">
        <f>IFERROR(IF(INDEX('SaSS'!$N$10:$N$12,MATCH($F217,'SaSS'!$B$10:$B$12,0))="","Cell will autofill based on response",INDEX('SaSS'!$N$10:$N$12,MATCH($F217,'SaSS'!$B$10:$B$12,0))),"N/A")</f>
        <v/>
      </c>
      <c r="W217" s="52">
        <f>IFERROR(IF(INDEX('Indigenous'!$N$10:$N$11,MATCH($F217,'Indigenous'!$B$10:$B$11,0))="","Cell will autofill based on response",INDEX('Indigenous'!$N$10:$N$11,MATCH($F217,'Indigenous'!$B$10:$B$11,0))),"N/A")</f>
        <v/>
      </c>
      <c r="X217" s="52">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2">
        <f>IFERROR(IF(INDEX('Faculties'!$O$10:$O$19,MATCH($F218,'Faculties'!$B$10:$B$19,0))="","Cell will autofill based on response",INDEX('Faculties'!$O$10:$O$19,MATCH($F218,'Faculties'!$B$10:$B$19,0))),"N/A")</f>
        <v/>
      </c>
      <c r="I218" s="52">
        <f>IFERROR(IF(INDEX('Faculties'!$O$26:$O$35,MATCH($F218,'Faculties'!$B$26:$B$35,0))="","Cell will autofill based on response",INDEX('Faculties'!$O$26:$O$35,MATCH($F218,'Faculties'!$B$26:$B$35,0))),"N/A")</f>
        <v/>
      </c>
      <c r="J218" s="52">
        <f>IFERROR(IF(INDEX('Faculties'!$O$42:$O$51,MATCH($F218,'Faculties'!$B$42:$B$51,0))="","Cell will autofill based on response",INDEX('Faculties'!$O$42:$O$51,MATCH($F218,'Faculties'!$B$42:$B$51,0))),"N/A")</f>
        <v/>
      </c>
      <c r="K218" s="52">
        <f>IFERROR(IF(INDEX('Faculties'!$O$58:$O$67,MATCH($F218,'Faculties'!$B$58:$B$67,0))="","Cell will autofill based on response",INDEX('Faculties'!$O$58:$O$67,MATCH($F218,'Faculties'!$B$58:$B$67,0))),"N/A")</f>
        <v/>
      </c>
      <c r="L218" s="52">
        <f>IFERROR(IF(INDEX('CI&amp;S'!$O$10:$O$15,MATCH($F218,'CI&amp;S'!$B$10:$B$15,0))="","Cell will autofill based on response",INDEX('CI&amp;S'!$O$10:$O$15,MATCH($F218,'CI&amp;S'!$B$10:$B$15,0))),"N/A")</f>
        <v/>
      </c>
      <c r="M218" s="52">
        <f>IFERROR(IF(INDEX('CI&amp;S'!$O$22:$O$36,MATCH($F218,'CI&amp;S'!$B$22:$B$36,0))="","Cell will autofill based on response",INDEX('CI&amp;S'!$O$22:$O$36,MATCH($F218,'CI&amp;S'!$B$22:$B$36,0))),"N/A")</f>
        <v/>
      </c>
      <c r="N218" s="52">
        <f>IFERROR(IF(INDEX('CFOG'!$O$10:$O$16,MATCH($F218,'CFOG'!$B$10:$B$16,0))="","Cell will autofill based on response",INDEX('CFOG'!$O$10:$O$16,MATCH($F218,'CFOG'!$B$10:$B$16,0))),"N/A")</f>
        <v/>
      </c>
      <c r="O218" s="52">
        <f>IFERROR(IF(INDEX('CFOG'!$O$23:$O$24,MATCH($F218,'CFOG'!$B$23:$B$24,0))="","Cell will autofill based on response",INDEX('CFOG'!$O$23:$O$24,MATCH($F218,'CFOG'!$B$23:$B$24,0))),"N/A")</f>
        <v/>
      </c>
      <c r="P218" s="52">
        <f>IFERROR(IF(INDEX('ESG'!$O$10:$O$17,MATCH($F218,'ESG'!$B$10:$B$17,0))="","Cell will autofill based on response",INDEX('ESG'!$O$10:$O$17,MATCH($F218,'ESG'!$B$10:$B$17,0))),"N/A")</f>
        <v/>
      </c>
      <c r="Q218" s="52">
        <f>IFERROR(IF(INDEX('CIOG'!$O$10:$O$14,MATCH($F218,'CIOG'!$B$10:$B$14,0))="","Cell will autofill based on response",INDEX('CIOG'!$O$10:$O$14,MATCH($F218,'CIOG'!$B$10:$B$14,0))),"N/A")</f>
        <v/>
      </c>
      <c r="R218" s="52">
        <f>IFERROR(IF(INDEX('MRE'!$O$10:$O$18,MATCH($F218,'MRE'!$B$10:$B$18,0))="","Cell will autofill based on response",INDEX('MRE'!$O$10:$O$18,MATCH($F218,'MRE'!$B$10:$B$18,0))),"N/A")</f>
        <v/>
      </c>
      <c r="S218" s="52">
        <f>IFERROR(IF(INDEX('AC&amp;M'!$O$10:$O$14,MATCH($F218,'AC&amp;M'!$B$10:$B$14,0))="","Cell will autofill based on response",INDEX('AC&amp;M'!$O$10:$O$14,MATCH($F218,'AC&amp;M'!$B$10:$B$14,0))),"N/A")</f>
        <v/>
      </c>
      <c r="T218" s="52">
        <f>IFERROR(IF(INDEX('GCE'!$O$10:$O$12,MATCH($F218,'GCE'!$B$10:$B$12,0))="","Cell will autofill based on response",INDEX('GCE'!$O$10:$O$12,MATCH($F218,'GCE'!$B$10:$B$12,0))),"N/A")</f>
        <v/>
      </c>
      <c r="U218" s="52">
        <f>IFERROR(IF(INDEX('Education'!$O$10:$O$13,MATCH($F218,'Education'!$B$10:$B$13,0))="","Cell will autofill based on response",INDEX('Education'!$O$10:$O$13,MATCH($F218,'Education'!$B$10:$B$13,0))),"N/A")</f>
        <v/>
      </c>
      <c r="V218" s="52">
        <f>IFERROR(IF(INDEX('SaSS'!$O$10:$O$12,MATCH($F218,'SaSS'!$B$10:$B$12,0))="","Cell will autofill based on response",INDEX('SaSS'!$O$10:$O$12,MATCH($F218,'SaSS'!$B$10:$B$12,0))),"N/A")</f>
        <v/>
      </c>
      <c r="W218" s="52">
        <f>IFERROR(IF(INDEX('Indigenous'!$O$10:$O$11,MATCH($F218,'Indigenous'!$B$10:$B$11,0))="","Cell will autofill based on response",INDEX('Indigenous'!$O$10:$O$11,MATCH($F218,'Indigenous'!$B$10:$B$11,0))),"N/A")</f>
        <v/>
      </c>
      <c r="X218" s="52">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2">
        <f>IFERROR(IF(INDEX('Faculties'!$P$10:$P$19,MATCH($F219,'Faculties'!$B$10:$B$19,0))="","Cell will autofill based on response",INDEX('Faculties'!$P$10:$P$19,MATCH($F219,'Faculties'!$B$10:$B$19,0))),"N/A")</f>
        <v/>
      </c>
      <c r="I219" s="52">
        <f>IFERROR(IF(INDEX('Faculties'!$P$26:$P$35,MATCH($F219,'Faculties'!$B$26:$B$35,0))="","Cell will autofill based on response",INDEX('Faculties'!$P$26:$P$35,MATCH($F219,'Faculties'!$B$26:$B$35,0))),"N/A")</f>
        <v/>
      </c>
      <c r="J219" s="52">
        <f>IFERROR(IF(INDEX('Faculties'!$P$42:$P$51,MATCH($F219,'Faculties'!$B$42:$B$51,0))="","Cell will autofill based on response",INDEX('Faculties'!$P$42:$P$51,MATCH($F219,'Faculties'!$B$42:$B$51,0))),"N/A")</f>
        <v/>
      </c>
      <c r="K219" s="52">
        <f>IFERROR(IF(INDEX('Faculties'!$P$58:$P$67,MATCH($F219,'Faculties'!$B$58:$B$67,0))="","Cell will autofill based on response",INDEX('Faculties'!$P$58:$P$67,MATCH($F219,'Faculties'!$B$58:$B$67,0))),"N/A")</f>
        <v/>
      </c>
      <c r="L219" s="52">
        <f>IFERROR(IF(INDEX('CI&amp;S'!$P$10:$P$15,MATCH($F219,'CI&amp;S'!$B$10:$B$15,0))="","Cell will autofill based on response",INDEX('CI&amp;S'!$P$10:$P$15,MATCH($F219,'CI&amp;S'!$B$10:$B$15,0))),"N/A")</f>
        <v/>
      </c>
      <c r="M219" s="52">
        <f>IFERROR(IF(INDEX('CI&amp;S'!$P$22:$P$36,MATCH($F219,'CI&amp;S'!$B$22:$B$36,0))="","Cell will autofill based on response",INDEX('CI&amp;S'!$P$22:$P$36,MATCH($F219,'CI&amp;S'!$B$22:$B$36,0))),"N/A")</f>
        <v/>
      </c>
      <c r="N219" s="52">
        <f>IFERROR(IF(INDEX('CFOG'!$P$10:$P$16,MATCH($F219,'CFOG'!$B$10:$B$16,0))="","Cell will autofill based on response",INDEX('CFOG'!$P$10:$P$16,MATCH($F219,'CFOG'!$B$10:$B$16,0))),"N/A")</f>
        <v/>
      </c>
      <c r="O219" s="52">
        <f>IFERROR(IF(INDEX('CFOG'!$P$23:$P$24,MATCH($F219,'CFOG'!$B$23:$B$24,0))="","Cell will autofill based on response",INDEX('CFOG'!$P$23:$P$24,MATCH($F219,'CFOG'!$B$23:$B$24,0))),"N/A")</f>
        <v/>
      </c>
      <c r="P219" s="52">
        <f>IFERROR(IF(INDEX('ESG'!$P$10:$P$17,MATCH($F219,'ESG'!$B$10:$B$17,0))="","Cell will autofill based on response",INDEX('ESG'!$P$10:$P$17,MATCH($F219,'ESG'!$B$10:$B$17,0))),"N/A")</f>
        <v/>
      </c>
      <c r="Q219" s="52">
        <f>IFERROR(IF(INDEX('CIOG'!$P$10:$P$14,MATCH($F219,'CIOG'!$B$10:$B$14,0))="","Cell will autofill based on response",INDEX('CIOG'!$P$10:$P$14,MATCH($F219,'CIOG'!$B$10:$B$14,0))),"N/A")</f>
        <v/>
      </c>
      <c r="R219" s="52">
        <f>IFERROR(IF(INDEX('MRE'!$P$10:$P$18,MATCH($F219,'MRE'!$B$10:$B$18,0))="","Cell will autofill based on response",INDEX('MRE'!$P$10:$P$18,MATCH($F219,'MRE'!$B$10:$B$18,0))),"N/A")</f>
        <v/>
      </c>
      <c r="S219" s="52">
        <f>IFERROR(IF(INDEX('AC&amp;M'!$P$10:$P$14,MATCH($F219,'AC&amp;M'!$B$10:$B$14,0))="","Cell will autofill based on response",INDEX('AC&amp;M'!$P$10:$P$14,MATCH($F219,'AC&amp;M'!$B$10:$B$14,0))),"N/A")</f>
        <v/>
      </c>
      <c r="T219" s="52">
        <f>IFERROR(IF(INDEX('GCE'!$P$10:$P$12,MATCH($F219,'GCE'!$B$10:$B$12,0))="","Cell will autofill based on response",INDEX('GCE'!$P$10:$P$12,MATCH($F219,'GCE'!$B$10:$B$12,0))),"N/A")</f>
        <v/>
      </c>
      <c r="U219" s="52">
        <f>IFERROR(IF(INDEX('Education'!$P$10:$P$13,MATCH($F219,'Education'!$B$10:$B$13,0))="","Cell will autofill based on response",INDEX('Education'!$P$10:$P$13,MATCH($F219,'Education'!$B$10:$B$13,0))),"N/A")</f>
        <v/>
      </c>
      <c r="V219" s="52">
        <f>IFERROR(IF(INDEX('SaSS'!$P$10:$P$12,MATCH($F219,'SaSS'!$B$10:$B$12,0))="","Cell will autofill based on response",INDEX('SaSS'!$P$10:$P$12,MATCH($F219,'SaSS'!$B$10:$B$12,0))),"N/A")</f>
        <v/>
      </c>
      <c r="W219" s="52">
        <f>IFERROR(IF(INDEX('Indigenous'!$P$10:$P$11,MATCH($F219,'Indigenous'!$B$10:$B$11,0))="","Cell will autofill based on response",INDEX('Indigenous'!$P$10:$P$11,MATCH($F219,'Indigenous'!$B$10:$B$11,0))),"N/A")</f>
        <v/>
      </c>
      <c r="X219" s="52">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2">
        <f>IFERROR(IF(INDEX('Faculties'!$Q$10:$Q$19,MATCH($F220,'Faculties'!$B$10:$B$19,0))="","Cell will autofill based on response",INDEX('Faculties'!$Q$10:$Q$19,MATCH($F220,'Faculties'!$B$10:$B$19,0))),"N/A")</f>
        <v/>
      </c>
      <c r="I220" s="52">
        <f>IFERROR(IF(INDEX('Faculties'!$Q$26:$Q$35,MATCH($F220,'Faculties'!$B$26:$B$35,0))="","Cell will autofill based on response",INDEX('Faculties'!$Q$26:$Q$35,MATCH($F220,'Faculties'!$B$26:$B$35,0))),"N/A")</f>
        <v/>
      </c>
      <c r="J220" s="52">
        <f>IFERROR(IF(INDEX('Faculties'!$Q$42:$Q$51,MATCH($F220,'Faculties'!$B$42:$B$51,0))="","Cell will autofill based on response",INDEX('Faculties'!$Q$42:$Q$51,MATCH($F220,'Faculties'!$B$42:$B$51,0))),"N/A")</f>
        <v/>
      </c>
      <c r="K220" s="52">
        <f>IFERROR(IF(INDEX('Faculties'!$Q$58:$Q$67,MATCH($F220,'Faculties'!$B$58:$B$67,0))="","Cell will autofill based on response",INDEX('Faculties'!$Q$58:$Q$67,MATCH($F220,'Faculties'!$B$58:$B$67,0))),"N/A")</f>
        <v/>
      </c>
      <c r="L220" s="52">
        <f>IFERROR(IF(INDEX('CI&amp;S'!$Q$10:$Q$15,MATCH($F220,'CI&amp;S'!$B$10:$B$15,0))="","Cell will autofill based on response",INDEX('CI&amp;S'!$Q$10:$Q$15,MATCH($F220,'CI&amp;S'!$B$10:$B$15,0))),"N/A")</f>
        <v/>
      </c>
      <c r="M220" s="52">
        <f>IFERROR(IF(INDEX('CI&amp;S'!$Q$22:$Q$36,MATCH($F220,'CI&amp;S'!$B$22:$B$36,0))="","Cell will autofill based on response",INDEX('CI&amp;S'!$Q$22:$Q$36,MATCH($F220,'CI&amp;S'!$B$22:$B$36,0))),"N/A")</f>
        <v/>
      </c>
      <c r="N220" s="52">
        <f>IFERROR(IF(INDEX('CFOG'!$Q$10:$Q$16,MATCH($F220,'CFOG'!$B$10:$B$16,0))="","Cell will autofill based on response",INDEX('CFOG'!$Q$10:$Q$16,MATCH($F220,'CFOG'!$B$10:$B$16,0))),"N/A")</f>
        <v/>
      </c>
      <c r="O220" s="52">
        <f>IFERROR(IF(INDEX('CFOG'!$Q$23:$Q$24,MATCH($F220,'CFOG'!$B$23:$B$24,0))="","Cell will autofill based on response",INDEX('CFOG'!$Q$23:$Q$24,MATCH($F220,'CFOG'!$B$23:$B$24,0))),"N/A")</f>
        <v/>
      </c>
      <c r="P220" s="52">
        <f>IFERROR(IF(INDEX('ESG'!$Q$10:$Q$17,MATCH($F220,'ESG'!$B$10:$B$17,0))="","Cell will autofill based on response",INDEX('ESG'!$Q$10:$Q$17,MATCH($F220,'ESG'!$B$10:$B$17,0))),"N/A")</f>
        <v/>
      </c>
      <c r="Q220" s="52">
        <f>IFERROR(IF(INDEX('CIOG'!$Q$10:$Q$14,MATCH($F220,'CIOG'!$B$10:$B$14,0))="","Cell will autofill based on response",INDEX('CIOG'!$Q$10:$Q$14,MATCH($F220,'CIOG'!$B$10:$B$14,0))),"N/A")</f>
        <v/>
      </c>
      <c r="R220" s="52">
        <f>IFERROR(IF(INDEX('MRE'!$Q$10:$Q$18,MATCH($F220,'MRE'!$B$10:$B$18,0))="","Cell will autofill based on response",INDEX('MRE'!$Q$10:$Q$18,MATCH($F220,'MRE'!$B$10:$B$18,0))),"N/A")</f>
        <v/>
      </c>
      <c r="S220" s="52">
        <f>IFERROR(IF(INDEX('AC&amp;M'!$Q$10:$Q$14,MATCH($F220,'AC&amp;M'!$B$10:$B$14,0))="","Cell will autofill based on response",INDEX('AC&amp;M'!$Q$10:$Q$14,MATCH($F220,'AC&amp;M'!$B$10:$B$14,0))),"N/A")</f>
        <v/>
      </c>
      <c r="T220" s="52">
        <f>IFERROR(IF(INDEX('GCE'!$Q$10:$Q$12,MATCH($F220,'GCE'!$B$10:$B$12,0))="","Cell will autofill based on response",INDEX('GCE'!$Q$10:$Q$12,MATCH($F220,'GCE'!$B$10:$B$12,0))),"N/A")</f>
        <v/>
      </c>
      <c r="U220" s="52">
        <f>IFERROR(IF(INDEX('Education'!$Q$10:$Q$13,MATCH($F220,'Education'!$B$10:$B$13,0))="","Cell will autofill based on response",INDEX('Education'!$Q$10:$Q$13,MATCH($F220,'Education'!$B$10:$B$13,0))),"N/A")</f>
        <v/>
      </c>
      <c r="V220" s="52">
        <f>IFERROR(IF(INDEX('SaSS'!$Q$10:$Q$12,MATCH($F220,'SaSS'!$B$10:$B$12,0))="","Cell will autofill based on response",INDEX('SaSS'!$Q$10:$Q$12,MATCH($F220,'SaSS'!$B$10:$B$12,0))),"N/A")</f>
        <v/>
      </c>
      <c r="W220" s="52">
        <f>IFERROR(IF(INDEX('Indigenous'!$Q$10:$Q$11,MATCH($F220,'Indigenous'!$B$10:$B$11,0))="","Cell will autofill based on response",INDEX('Indigenous'!$Q$10:$Q$11,MATCH($F220,'Indigenous'!$B$10:$B$11,0))),"N/A")</f>
        <v/>
      </c>
      <c r="X220" s="52">
        <f>IFERROR(IF(INDEX('L&amp;R'!$Q$10:$Q$11,MATCH($F220,'L&amp;R'!$B$10:$B$11,0))="","Cell will autofill based on response",INDEX('L&amp;R'!$Q$10:$Q$11,MATCH($F220,'L&amp;R'!$B$10:$B$11,0))),"N/A")</f>
        <v/>
      </c>
    </row>
    <row r="221">
      <c r="A221">
        <f>F221&amp;"|"&amp;G221</f>
        <v/>
      </c>
      <c r="B221" s="7" t="inlineStr">
        <is>
          <t>EN1(b)</t>
        </is>
      </c>
      <c r="C221" s="50" t="inlineStr">
        <is>
          <t>Enablers</t>
        </is>
      </c>
      <c r="D221" s="50" t="inlineStr">
        <is>
          <t>Living laboratories enabling applied learning, research and operational sustainability outcomes</t>
        </is>
      </c>
      <c r="E221" s="50" t="inlineStr">
        <is>
          <t>Comment on living labs in the Faculty - outputs, outcomes, and impact</t>
        </is>
      </c>
      <c r="F221" s="50" t="inlineStr">
        <is>
          <t>EN1(b)</t>
        </is>
      </c>
      <c r="G221" s="50" t="inlineStr">
        <is>
          <t>Confirm end-2026 target status</t>
        </is>
      </c>
      <c r="H221" s="52">
        <f>IFERROR(IF(INDEX('Faculties'!$L$10:$L$19,MATCH($F221,'Faculties'!$B$10:$B$19,0))="","Cell will autofill based on response",INDEX('Faculties'!$L$10:$L$19,MATCH($F221,'Faculties'!$B$10:$B$19,0))),"N/A")</f>
        <v/>
      </c>
      <c r="I221" s="52">
        <f>IFERROR(IF(INDEX('Faculties'!$L$26:$L$35,MATCH($F221,'Faculties'!$B$26:$B$35,0))="","Cell will autofill based on response",INDEX('Faculties'!$L$26:$L$35,MATCH($F221,'Faculties'!$B$26:$B$35,0))),"N/A")</f>
        <v/>
      </c>
      <c r="J221" s="52">
        <f>IFERROR(IF(INDEX('Faculties'!$L$42:$L$51,MATCH($F221,'Faculties'!$B$42:$B$51,0))="","Cell will autofill based on response",INDEX('Faculties'!$L$42:$L$51,MATCH($F221,'Faculties'!$B$42:$B$51,0))),"N/A")</f>
        <v/>
      </c>
      <c r="K221" s="52">
        <f>IFERROR(IF(INDEX('Faculties'!$L$58:$L$67,MATCH($F221,'Faculties'!$B$58:$B$67,0))="","Cell will autofill based on response",INDEX('Faculties'!$L$58:$L$67,MATCH($F221,'Faculties'!$B$58:$B$67,0))),"N/A")</f>
        <v/>
      </c>
      <c r="L221" s="52">
        <f>IFERROR(IF(INDEX('CI&amp;S'!$L$10:$L$15,MATCH($F221,'CI&amp;S'!$B$10:$B$15,0))="","Cell will autofill based on response",INDEX('CI&amp;S'!$L$10:$L$15,MATCH($F221,'CI&amp;S'!$B$10:$B$15,0))),"N/A")</f>
        <v/>
      </c>
      <c r="M221" s="52">
        <f>IFERROR(IF(INDEX('CI&amp;S'!$L$22:$L$36,MATCH($F221,'CI&amp;S'!$B$22:$B$36,0))="","Cell will autofill based on response",INDEX('CI&amp;S'!$L$22:$L$36,MATCH($F221,'CI&amp;S'!$B$22:$B$36,0))),"N/A")</f>
        <v/>
      </c>
      <c r="N221" s="52">
        <f>IFERROR(IF(INDEX('CFOG'!$L$10:$L$16,MATCH($F221,'CFOG'!$B$10:$B$16,0))="","Cell will autofill based on response",INDEX('CFOG'!$L$10:$L$16,MATCH($F221,'CFOG'!$B$10:$B$16,0))),"N/A")</f>
        <v/>
      </c>
      <c r="O221" s="52">
        <f>IFERROR(IF(INDEX('CFOG'!$L$23:$L$24,MATCH($F221,'CFOG'!$B$23:$B$24,0))="","Cell will autofill based on response",INDEX('CFOG'!$L$23:$L$24,MATCH($F221,'CFOG'!$B$23:$B$24,0))),"N/A")</f>
        <v/>
      </c>
      <c r="P221" s="52">
        <f>IFERROR(IF(INDEX('ESG'!$L$10:$L$17,MATCH($F221,'ESG'!$B$10:$B$17,0))="","Cell will autofill based on response",INDEX('ESG'!$L$10:$L$17,MATCH($F221,'ESG'!$B$10:$B$17,0))),"N/A")</f>
        <v/>
      </c>
      <c r="Q221" s="52">
        <f>IFERROR(IF(INDEX('CIOG'!$L$10:$L$14,MATCH($F221,'CIOG'!$B$10:$B$14,0))="","Cell will autofill based on response",INDEX('CIOG'!$L$10:$L$14,MATCH($F221,'CIOG'!$B$10:$B$14,0))),"N/A")</f>
        <v/>
      </c>
      <c r="R221" s="52">
        <f>IFERROR(IF(INDEX('MRE'!$L$10:$L$18,MATCH($F221,'MRE'!$B$10:$B$18,0))="","Cell will autofill based on response",INDEX('MRE'!$L$10:$L$18,MATCH($F221,'MRE'!$B$10:$B$18,0))),"N/A")</f>
        <v/>
      </c>
      <c r="S221" s="52">
        <f>IFERROR(IF(INDEX('AC&amp;M'!$L$10:$L$14,MATCH($F221,'AC&amp;M'!$B$10:$B$14,0))="","Cell will autofill based on response",INDEX('AC&amp;M'!$L$10:$L$14,MATCH($F221,'AC&amp;M'!$B$10:$B$14,0))),"N/A")</f>
        <v/>
      </c>
      <c r="T221" s="52">
        <f>IFERROR(IF(INDEX('GCE'!$L$10:$L$12,MATCH($F221,'GCE'!$B$10:$B$12,0))="","Cell will autofill based on response",INDEX('GCE'!$L$10:$L$12,MATCH($F221,'GCE'!$B$10:$B$12,0))),"N/A")</f>
        <v/>
      </c>
      <c r="U221" s="52">
        <f>IFERROR(IF(INDEX('Education'!$L$10:$L$13,MATCH($F221,'Education'!$B$10:$B$13,0))="","Cell will autofill based on response",INDEX('Education'!$L$10:$L$13,MATCH($F221,'Education'!$B$10:$B$13,0))),"N/A")</f>
        <v/>
      </c>
      <c r="V221" s="52">
        <f>IFERROR(IF(INDEX('SaSS'!$L$10:$L$12,MATCH($F221,'SaSS'!$B$10:$B$12,0))="","Cell will autofill based on response",INDEX('SaSS'!$L$10:$L$12,MATCH($F221,'SaSS'!$B$10:$B$12,0))),"N/A")</f>
        <v/>
      </c>
      <c r="W221" s="52">
        <f>IFERROR(IF(INDEX('Indigenous'!$L$10:$L$11,MATCH($F221,'Indigenous'!$B$10:$B$11,0))="","Cell will autofill based on response",INDEX('Indigenous'!$L$10:$L$11,MATCH($F221,'Indigenous'!$B$10:$B$11,0))),"N/A")</f>
        <v/>
      </c>
      <c r="X221" s="52">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3">
        <f>IF(AF221&gt;0,AE221/AF221,"No valid responses to date")</f>
        <v/>
      </c>
      <c r="AH221" s="10">
        <f>IF(ISNUMBER(AG221),INDEX(Lists!$G$2:$G$5,MATCH(ROUND(AG221,0),Lists!$H$2:$H$5,0)),"")</f>
        <v/>
      </c>
      <c r="AI221" s="54">
        <f>IF(AF221&gt;0,AD221/AF221,"")</f>
        <v/>
      </c>
      <c r="AJ221" s="54">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2">
        <f>IFERROR(IF(INDEX('Faculties'!$M$10:$M$19,MATCH($F222,'Faculties'!$B$10:$B$19,0))="","Cell will autofill based on response",INDEX('Faculties'!$M$10:$M$19,MATCH($F222,'Faculties'!$B$10:$B$19,0))),"N/A")</f>
        <v/>
      </c>
      <c r="I222" s="52">
        <f>IFERROR(IF(INDEX('Faculties'!$M$26:$M$35,MATCH($F222,'Faculties'!$B$26:$B$35,0))="","Cell will autofill based on response",INDEX('Faculties'!$M$26:$M$35,MATCH($F222,'Faculties'!$B$26:$B$35,0))),"N/A")</f>
        <v/>
      </c>
      <c r="J222" s="52">
        <f>IFERROR(IF(INDEX('Faculties'!$M$42:$M$51,MATCH($F222,'Faculties'!$B$42:$B$51,0))="","Cell will autofill based on response",INDEX('Faculties'!$M$42:$M$51,MATCH($F222,'Faculties'!$B$42:$B$51,0))),"N/A")</f>
        <v/>
      </c>
      <c r="K222" s="52">
        <f>IFERROR(IF(INDEX('Faculties'!$M$58:$M$67,MATCH($F222,'Faculties'!$B$58:$B$67,0))="","Cell will autofill based on response",INDEX('Faculties'!$M$58:$M$67,MATCH($F222,'Faculties'!$B$58:$B$67,0))),"N/A")</f>
        <v/>
      </c>
      <c r="L222" s="52">
        <f>IFERROR(IF(INDEX('CI&amp;S'!$M$10:$M$15,MATCH($F222,'CI&amp;S'!$B$10:$B$15,0))="","Cell will autofill based on response",INDEX('CI&amp;S'!$M$10:$M$15,MATCH($F222,'CI&amp;S'!$B$10:$B$15,0))),"N/A")</f>
        <v/>
      </c>
      <c r="M222" s="52">
        <f>IFERROR(IF(INDEX('CI&amp;S'!$M$22:$M$36,MATCH($F222,'CI&amp;S'!$B$22:$B$36,0))="","Cell will autofill based on response",INDEX('CI&amp;S'!$M$22:$M$36,MATCH($F222,'CI&amp;S'!$B$22:$B$36,0))),"N/A")</f>
        <v/>
      </c>
      <c r="N222" s="52">
        <f>IFERROR(IF(INDEX('CFOG'!$M$10:$M$16,MATCH($F222,'CFOG'!$B$10:$B$16,0))="","Cell will autofill based on response",INDEX('CFOG'!$M$10:$M$16,MATCH($F222,'CFOG'!$B$10:$B$16,0))),"N/A")</f>
        <v/>
      </c>
      <c r="O222" s="52">
        <f>IFERROR(IF(INDEX('CFOG'!$M$23:$M$24,MATCH($F222,'CFOG'!$B$23:$B$24,0))="","Cell will autofill based on response",INDEX('CFOG'!$M$23:$M$24,MATCH($F222,'CFOG'!$B$23:$B$24,0))),"N/A")</f>
        <v/>
      </c>
      <c r="P222" s="52">
        <f>IFERROR(IF(INDEX('ESG'!$M$10:$M$17,MATCH($F222,'ESG'!$B$10:$B$17,0))="","Cell will autofill based on response",INDEX('ESG'!$M$10:$M$17,MATCH($F222,'ESG'!$B$10:$B$17,0))),"N/A")</f>
        <v/>
      </c>
      <c r="Q222" s="52">
        <f>IFERROR(IF(INDEX('CIOG'!$M$10:$M$14,MATCH($F222,'CIOG'!$B$10:$B$14,0))="","Cell will autofill based on response",INDEX('CIOG'!$M$10:$M$14,MATCH($F222,'CIOG'!$B$10:$B$14,0))),"N/A")</f>
        <v/>
      </c>
      <c r="R222" s="52">
        <f>IFERROR(IF(INDEX('MRE'!$M$10:$M$18,MATCH($F222,'MRE'!$B$10:$B$18,0))="","Cell will autofill based on response",INDEX('MRE'!$M$10:$M$18,MATCH($F222,'MRE'!$B$10:$B$18,0))),"N/A")</f>
        <v/>
      </c>
      <c r="S222" s="52">
        <f>IFERROR(IF(INDEX('AC&amp;M'!$M$10:$M$14,MATCH($F222,'AC&amp;M'!$B$10:$B$14,0))="","Cell will autofill based on response",INDEX('AC&amp;M'!$M$10:$M$14,MATCH($F222,'AC&amp;M'!$B$10:$B$14,0))),"N/A")</f>
        <v/>
      </c>
      <c r="T222" s="52">
        <f>IFERROR(IF(INDEX('GCE'!$M$10:$M$12,MATCH($F222,'GCE'!$B$10:$B$12,0))="","Cell will autofill based on response",INDEX('GCE'!$M$10:$M$12,MATCH($F222,'GCE'!$B$10:$B$12,0))),"N/A")</f>
        <v/>
      </c>
      <c r="U222" s="52">
        <f>IFERROR(IF(INDEX('Education'!$M$10:$M$13,MATCH($F222,'Education'!$B$10:$B$13,0))="","Cell will autofill based on response",INDEX('Education'!$M$10:$M$13,MATCH($F222,'Education'!$B$10:$B$13,0))),"N/A")</f>
        <v/>
      </c>
      <c r="V222" s="52">
        <f>IFERROR(IF(INDEX('SaSS'!$M$10:$M$12,MATCH($F222,'SaSS'!$B$10:$B$12,0))="","Cell will autofill based on response",INDEX('SaSS'!$M$10:$M$12,MATCH($F222,'SaSS'!$B$10:$B$12,0))),"N/A")</f>
        <v/>
      </c>
      <c r="W222" s="52">
        <f>IFERROR(IF(INDEX('Indigenous'!$M$10:$M$11,MATCH($F222,'Indigenous'!$B$10:$B$11,0))="","Cell will autofill based on response",INDEX('Indigenous'!$M$10:$M$11,MATCH($F222,'Indigenous'!$B$10:$B$11,0))),"N/A")</f>
        <v/>
      </c>
      <c r="X222" s="52">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2">
        <f>IFERROR(IF(INDEX('Faculties'!$N$10:$N$19,MATCH($F223,'Faculties'!$B$10:$B$19,0))="","Cell will autofill based on response",INDEX('Faculties'!$N$10:$N$19,MATCH($F223,'Faculties'!$B$10:$B$19,0))),"N/A")</f>
        <v/>
      </c>
      <c r="I223" s="52">
        <f>IFERROR(IF(INDEX('Faculties'!$N$26:$N$35,MATCH($F223,'Faculties'!$B$26:$B$35,0))="","Cell will autofill based on response",INDEX('Faculties'!$N$26:$N$35,MATCH($F223,'Faculties'!$B$26:$B$35,0))),"N/A")</f>
        <v/>
      </c>
      <c r="J223" s="52">
        <f>IFERROR(IF(INDEX('Faculties'!$N$42:$N$51,MATCH($F223,'Faculties'!$B$42:$B$51,0))="","Cell will autofill based on response",INDEX('Faculties'!$N$42:$N$51,MATCH($F223,'Faculties'!$B$42:$B$51,0))),"N/A")</f>
        <v/>
      </c>
      <c r="K223" s="52">
        <f>IFERROR(IF(INDEX('Faculties'!$N$58:$N$67,MATCH($F223,'Faculties'!$B$58:$B$67,0))="","Cell will autofill based on response",INDEX('Faculties'!$N$58:$N$67,MATCH($F223,'Faculties'!$B$58:$B$67,0))),"N/A")</f>
        <v/>
      </c>
      <c r="L223" s="52">
        <f>IFERROR(IF(INDEX('CI&amp;S'!$N$10:$N$15,MATCH($F223,'CI&amp;S'!$B$10:$B$15,0))="","Cell will autofill based on response",INDEX('CI&amp;S'!$N$10:$N$15,MATCH($F223,'CI&amp;S'!$B$10:$B$15,0))),"N/A")</f>
        <v/>
      </c>
      <c r="M223" s="52">
        <f>IFERROR(IF(INDEX('CI&amp;S'!$N$22:$N$36,MATCH($F223,'CI&amp;S'!$B$22:$B$36,0))="","Cell will autofill based on response",INDEX('CI&amp;S'!$N$22:$N$36,MATCH($F223,'CI&amp;S'!$B$22:$B$36,0))),"N/A")</f>
        <v/>
      </c>
      <c r="N223" s="52">
        <f>IFERROR(IF(INDEX('CFOG'!$N$10:$N$16,MATCH($F223,'CFOG'!$B$10:$B$16,0))="","Cell will autofill based on response",INDEX('CFOG'!$N$10:$N$16,MATCH($F223,'CFOG'!$B$10:$B$16,0))),"N/A")</f>
        <v/>
      </c>
      <c r="O223" s="52">
        <f>IFERROR(IF(INDEX('CFOG'!$N$23:$N$24,MATCH($F223,'CFOG'!$B$23:$B$24,0))="","Cell will autofill based on response",INDEX('CFOG'!$N$23:$N$24,MATCH($F223,'CFOG'!$B$23:$B$24,0))),"N/A")</f>
        <v/>
      </c>
      <c r="P223" s="52">
        <f>IFERROR(IF(INDEX('ESG'!$N$10:$N$17,MATCH($F223,'ESG'!$B$10:$B$17,0))="","Cell will autofill based on response",INDEX('ESG'!$N$10:$N$17,MATCH($F223,'ESG'!$B$10:$B$17,0))),"N/A")</f>
        <v/>
      </c>
      <c r="Q223" s="52">
        <f>IFERROR(IF(INDEX('CIOG'!$N$10:$N$14,MATCH($F223,'CIOG'!$B$10:$B$14,0))="","Cell will autofill based on response",INDEX('CIOG'!$N$10:$N$14,MATCH($F223,'CIOG'!$B$10:$B$14,0))),"N/A")</f>
        <v/>
      </c>
      <c r="R223" s="52">
        <f>IFERROR(IF(INDEX('MRE'!$N$10:$N$18,MATCH($F223,'MRE'!$B$10:$B$18,0))="","Cell will autofill based on response",INDEX('MRE'!$N$10:$N$18,MATCH($F223,'MRE'!$B$10:$B$18,0))),"N/A")</f>
        <v/>
      </c>
      <c r="S223" s="52">
        <f>IFERROR(IF(INDEX('AC&amp;M'!$N$10:$N$14,MATCH($F223,'AC&amp;M'!$B$10:$B$14,0))="","Cell will autofill based on response",INDEX('AC&amp;M'!$N$10:$N$14,MATCH($F223,'AC&amp;M'!$B$10:$B$14,0))),"N/A")</f>
        <v/>
      </c>
      <c r="T223" s="52">
        <f>IFERROR(IF(INDEX('GCE'!$N$10:$N$12,MATCH($F223,'GCE'!$B$10:$B$12,0))="","Cell will autofill based on response",INDEX('GCE'!$N$10:$N$12,MATCH($F223,'GCE'!$B$10:$B$12,0))),"N/A")</f>
        <v/>
      </c>
      <c r="U223" s="52">
        <f>IFERROR(IF(INDEX('Education'!$N$10:$N$13,MATCH($F223,'Education'!$B$10:$B$13,0))="","Cell will autofill based on response",INDEX('Education'!$N$10:$N$13,MATCH($F223,'Education'!$B$10:$B$13,0))),"N/A")</f>
        <v/>
      </c>
      <c r="V223" s="52">
        <f>IFERROR(IF(INDEX('SaSS'!$N$10:$N$12,MATCH($F223,'SaSS'!$B$10:$B$12,0))="","Cell will autofill based on response",INDEX('SaSS'!$N$10:$N$12,MATCH($F223,'SaSS'!$B$10:$B$12,0))),"N/A")</f>
        <v/>
      </c>
      <c r="W223" s="52">
        <f>IFERROR(IF(INDEX('Indigenous'!$N$10:$N$11,MATCH($F223,'Indigenous'!$B$10:$B$11,0))="","Cell will autofill based on response",INDEX('Indigenous'!$N$10:$N$11,MATCH($F223,'Indigenous'!$B$10:$B$11,0))),"N/A")</f>
        <v/>
      </c>
      <c r="X223" s="52">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2">
        <f>IFERROR(IF(INDEX('Faculties'!$O$10:$O$19,MATCH($F224,'Faculties'!$B$10:$B$19,0))="","Cell will autofill based on response",INDEX('Faculties'!$O$10:$O$19,MATCH($F224,'Faculties'!$B$10:$B$19,0))),"N/A")</f>
        <v/>
      </c>
      <c r="I224" s="52">
        <f>IFERROR(IF(INDEX('Faculties'!$O$26:$O$35,MATCH($F224,'Faculties'!$B$26:$B$35,0))="","Cell will autofill based on response",INDEX('Faculties'!$O$26:$O$35,MATCH($F224,'Faculties'!$B$26:$B$35,0))),"N/A")</f>
        <v/>
      </c>
      <c r="J224" s="52">
        <f>IFERROR(IF(INDEX('Faculties'!$O$42:$O$51,MATCH($F224,'Faculties'!$B$42:$B$51,0))="","Cell will autofill based on response",INDEX('Faculties'!$O$42:$O$51,MATCH($F224,'Faculties'!$B$42:$B$51,0))),"N/A")</f>
        <v/>
      </c>
      <c r="K224" s="52">
        <f>IFERROR(IF(INDEX('Faculties'!$O$58:$O$67,MATCH($F224,'Faculties'!$B$58:$B$67,0))="","Cell will autofill based on response",INDEX('Faculties'!$O$58:$O$67,MATCH($F224,'Faculties'!$B$58:$B$67,0))),"N/A")</f>
        <v/>
      </c>
      <c r="L224" s="52">
        <f>IFERROR(IF(INDEX('CI&amp;S'!$O$10:$O$15,MATCH($F224,'CI&amp;S'!$B$10:$B$15,0))="","Cell will autofill based on response",INDEX('CI&amp;S'!$O$10:$O$15,MATCH($F224,'CI&amp;S'!$B$10:$B$15,0))),"N/A")</f>
        <v/>
      </c>
      <c r="M224" s="52">
        <f>IFERROR(IF(INDEX('CI&amp;S'!$O$22:$O$36,MATCH($F224,'CI&amp;S'!$B$22:$B$36,0))="","Cell will autofill based on response",INDEX('CI&amp;S'!$O$22:$O$36,MATCH($F224,'CI&amp;S'!$B$22:$B$36,0))),"N/A")</f>
        <v/>
      </c>
      <c r="N224" s="52">
        <f>IFERROR(IF(INDEX('CFOG'!$O$10:$O$16,MATCH($F224,'CFOG'!$B$10:$B$16,0))="","Cell will autofill based on response",INDEX('CFOG'!$O$10:$O$16,MATCH($F224,'CFOG'!$B$10:$B$16,0))),"N/A")</f>
        <v/>
      </c>
      <c r="O224" s="52">
        <f>IFERROR(IF(INDEX('CFOG'!$O$23:$O$24,MATCH($F224,'CFOG'!$B$23:$B$24,0))="","Cell will autofill based on response",INDEX('CFOG'!$O$23:$O$24,MATCH($F224,'CFOG'!$B$23:$B$24,0))),"N/A")</f>
        <v/>
      </c>
      <c r="P224" s="52">
        <f>IFERROR(IF(INDEX('ESG'!$O$10:$O$17,MATCH($F224,'ESG'!$B$10:$B$17,0))="","Cell will autofill based on response",INDEX('ESG'!$O$10:$O$17,MATCH($F224,'ESG'!$B$10:$B$17,0))),"N/A")</f>
        <v/>
      </c>
      <c r="Q224" s="52">
        <f>IFERROR(IF(INDEX('CIOG'!$O$10:$O$14,MATCH($F224,'CIOG'!$B$10:$B$14,0))="","Cell will autofill based on response",INDEX('CIOG'!$O$10:$O$14,MATCH($F224,'CIOG'!$B$10:$B$14,0))),"N/A")</f>
        <v/>
      </c>
      <c r="R224" s="52">
        <f>IFERROR(IF(INDEX('MRE'!$O$10:$O$18,MATCH($F224,'MRE'!$B$10:$B$18,0))="","Cell will autofill based on response",INDEX('MRE'!$O$10:$O$18,MATCH($F224,'MRE'!$B$10:$B$18,0))),"N/A")</f>
        <v/>
      </c>
      <c r="S224" s="52">
        <f>IFERROR(IF(INDEX('AC&amp;M'!$O$10:$O$14,MATCH($F224,'AC&amp;M'!$B$10:$B$14,0))="","Cell will autofill based on response",INDEX('AC&amp;M'!$O$10:$O$14,MATCH($F224,'AC&amp;M'!$B$10:$B$14,0))),"N/A")</f>
        <v/>
      </c>
      <c r="T224" s="52">
        <f>IFERROR(IF(INDEX('GCE'!$O$10:$O$12,MATCH($F224,'GCE'!$B$10:$B$12,0))="","Cell will autofill based on response",INDEX('GCE'!$O$10:$O$12,MATCH($F224,'GCE'!$B$10:$B$12,0))),"N/A")</f>
        <v/>
      </c>
      <c r="U224" s="52">
        <f>IFERROR(IF(INDEX('Education'!$O$10:$O$13,MATCH($F224,'Education'!$B$10:$B$13,0))="","Cell will autofill based on response",INDEX('Education'!$O$10:$O$13,MATCH($F224,'Education'!$B$10:$B$13,0))),"N/A")</f>
        <v/>
      </c>
      <c r="V224" s="52">
        <f>IFERROR(IF(INDEX('SaSS'!$O$10:$O$12,MATCH($F224,'SaSS'!$B$10:$B$12,0))="","Cell will autofill based on response",INDEX('SaSS'!$O$10:$O$12,MATCH($F224,'SaSS'!$B$10:$B$12,0))),"N/A")</f>
        <v/>
      </c>
      <c r="W224" s="52">
        <f>IFERROR(IF(INDEX('Indigenous'!$O$10:$O$11,MATCH($F224,'Indigenous'!$B$10:$B$11,0))="","Cell will autofill based on response",INDEX('Indigenous'!$O$10:$O$11,MATCH($F224,'Indigenous'!$B$10:$B$11,0))),"N/A")</f>
        <v/>
      </c>
      <c r="X224" s="52">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2">
        <f>IFERROR(IF(INDEX('Faculties'!$P$10:$P$19,MATCH($F225,'Faculties'!$B$10:$B$19,0))="","Cell will autofill based on response",INDEX('Faculties'!$P$10:$P$19,MATCH($F225,'Faculties'!$B$10:$B$19,0))),"N/A")</f>
        <v/>
      </c>
      <c r="I225" s="52">
        <f>IFERROR(IF(INDEX('Faculties'!$P$26:$P$35,MATCH($F225,'Faculties'!$B$26:$B$35,0))="","Cell will autofill based on response",INDEX('Faculties'!$P$26:$P$35,MATCH($F225,'Faculties'!$B$26:$B$35,0))),"N/A")</f>
        <v/>
      </c>
      <c r="J225" s="52">
        <f>IFERROR(IF(INDEX('Faculties'!$P$42:$P$51,MATCH($F225,'Faculties'!$B$42:$B$51,0))="","Cell will autofill based on response",INDEX('Faculties'!$P$42:$P$51,MATCH($F225,'Faculties'!$B$42:$B$51,0))),"N/A")</f>
        <v/>
      </c>
      <c r="K225" s="52">
        <f>IFERROR(IF(INDEX('Faculties'!$P$58:$P$67,MATCH($F225,'Faculties'!$B$58:$B$67,0))="","Cell will autofill based on response",INDEX('Faculties'!$P$58:$P$67,MATCH($F225,'Faculties'!$B$58:$B$67,0))),"N/A")</f>
        <v/>
      </c>
      <c r="L225" s="52">
        <f>IFERROR(IF(INDEX('CI&amp;S'!$P$10:$P$15,MATCH($F225,'CI&amp;S'!$B$10:$B$15,0))="","Cell will autofill based on response",INDEX('CI&amp;S'!$P$10:$P$15,MATCH($F225,'CI&amp;S'!$B$10:$B$15,0))),"N/A")</f>
        <v/>
      </c>
      <c r="M225" s="52">
        <f>IFERROR(IF(INDEX('CI&amp;S'!$P$22:$P$36,MATCH($F225,'CI&amp;S'!$B$22:$B$36,0))="","Cell will autofill based on response",INDEX('CI&amp;S'!$P$22:$P$36,MATCH($F225,'CI&amp;S'!$B$22:$B$36,0))),"N/A")</f>
        <v/>
      </c>
      <c r="N225" s="52">
        <f>IFERROR(IF(INDEX('CFOG'!$P$10:$P$16,MATCH($F225,'CFOG'!$B$10:$B$16,0))="","Cell will autofill based on response",INDEX('CFOG'!$P$10:$P$16,MATCH($F225,'CFOG'!$B$10:$B$16,0))),"N/A")</f>
        <v/>
      </c>
      <c r="O225" s="52">
        <f>IFERROR(IF(INDEX('CFOG'!$P$23:$P$24,MATCH($F225,'CFOG'!$B$23:$B$24,0))="","Cell will autofill based on response",INDEX('CFOG'!$P$23:$P$24,MATCH($F225,'CFOG'!$B$23:$B$24,0))),"N/A")</f>
        <v/>
      </c>
      <c r="P225" s="52">
        <f>IFERROR(IF(INDEX('ESG'!$P$10:$P$17,MATCH($F225,'ESG'!$B$10:$B$17,0))="","Cell will autofill based on response",INDEX('ESG'!$P$10:$P$17,MATCH($F225,'ESG'!$B$10:$B$17,0))),"N/A")</f>
        <v/>
      </c>
      <c r="Q225" s="52">
        <f>IFERROR(IF(INDEX('CIOG'!$P$10:$P$14,MATCH($F225,'CIOG'!$B$10:$B$14,0))="","Cell will autofill based on response",INDEX('CIOG'!$P$10:$P$14,MATCH($F225,'CIOG'!$B$10:$B$14,0))),"N/A")</f>
        <v/>
      </c>
      <c r="R225" s="52">
        <f>IFERROR(IF(INDEX('MRE'!$P$10:$P$18,MATCH($F225,'MRE'!$B$10:$B$18,0))="","Cell will autofill based on response",INDEX('MRE'!$P$10:$P$18,MATCH($F225,'MRE'!$B$10:$B$18,0))),"N/A")</f>
        <v/>
      </c>
      <c r="S225" s="52">
        <f>IFERROR(IF(INDEX('AC&amp;M'!$P$10:$P$14,MATCH($F225,'AC&amp;M'!$B$10:$B$14,0))="","Cell will autofill based on response",INDEX('AC&amp;M'!$P$10:$P$14,MATCH($F225,'AC&amp;M'!$B$10:$B$14,0))),"N/A")</f>
        <v/>
      </c>
      <c r="T225" s="52">
        <f>IFERROR(IF(INDEX('GCE'!$P$10:$P$12,MATCH($F225,'GCE'!$B$10:$B$12,0))="","Cell will autofill based on response",INDEX('GCE'!$P$10:$P$12,MATCH($F225,'GCE'!$B$10:$B$12,0))),"N/A")</f>
        <v/>
      </c>
      <c r="U225" s="52">
        <f>IFERROR(IF(INDEX('Education'!$P$10:$P$13,MATCH($F225,'Education'!$B$10:$B$13,0))="","Cell will autofill based on response",INDEX('Education'!$P$10:$P$13,MATCH($F225,'Education'!$B$10:$B$13,0))),"N/A")</f>
        <v/>
      </c>
      <c r="V225" s="52">
        <f>IFERROR(IF(INDEX('SaSS'!$P$10:$P$12,MATCH($F225,'SaSS'!$B$10:$B$12,0))="","Cell will autofill based on response",INDEX('SaSS'!$P$10:$P$12,MATCH($F225,'SaSS'!$B$10:$B$12,0))),"N/A")</f>
        <v/>
      </c>
      <c r="W225" s="52">
        <f>IFERROR(IF(INDEX('Indigenous'!$P$10:$P$11,MATCH($F225,'Indigenous'!$B$10:$B$11,0))="","Cell will autofill based on response",INDEX('Indigenous'!$P$10:$P$11,MATCH($F225,'Indigenous'!$B$10:$B$11,0))),"N/A")</f>
        <v/>
      </c>
      <c r="X225" s="52">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2">
        <f>IFERROR(IF(INDEX('Faculties'!$Q$10:$Q$19,MATCH($F226,'Faculties'!$B$10:$B$19,0))="","Cell will autofill based on response",INDEX('Faculties'!$Q$10:$Q$19,MATCH($F226,'Faculties'!$B$10:$B$19,0))),"N/A")</f>
        <v/>
      </c>
      <c r="I226" s="52">
        <f>IFERROR(IF(INDEX('Faculties'!$Q$26:$Q$35,MATCH($F226,'Faculties'!$B$26:$B$35,0))="","Cell will autofill based on response",INDEX('Faculties'!$Q$26:$Q$35,MATCH($F226,'Faculties'!$B$26:$B$35,0))),"N/A")</f>
        <v/>
      </c>
      <c r="J226" s="52">
        <f>IFERROR(IF(INDEX('Faculties'!$Q$42:$Q$51,MATCH($F226,'Faculties'!$B$42:$B$51,0))="","Cell will autofill based on response",INDEX('Faculties'!$Q$42:$Q$51,MATCH($F226,'Faculties'!$B$42:$B$51,0))),"N/A")</f>
        <v/>
      </c>
      <c r="K226" s="52">
        <f>IFERROR(IF(INDEX('Faculties'!$Q$58:$Q$67,MATCH($F226,'Faculties'!$B$58:$B$67,0))="","Cell will autofill based on response",INDEX('Faculties'!$Q$58:$Q$67,MATCH($F226,'Faculties'!$B$58:$B$67,0))),"N/A")</f>
        <v/>
      </c>
      <c r="L226" s="52">
        <f>IFERROR(IF(INDEX('CI&amp;S'!$Q$10:$Q$15,MATCH($F226,'CI&amp;S'!$B$10:$B$15,0))="","Cell will autofill based on response",INDEX('CI&amp;S'!$Q$10:$Q$15,MATCH($F226,'CI&amp;S'!$B$10:$B$15,0))),"N/A")</f>
        <v/>
      </c>
      <c r="M226" s="52">
        <f>IFERROR(IF(INDEX('CI&amp;S'!$Q$22:$Q$36,MATCH($F226,'CI&amp;S'!$B$22:$B$36,0))="","Cell will autofill based on response",INDEX('CI&amp;S'!$Q$22:$Q$36,MATCH($F226,'CI&amp;S'!$B$22:$B$36,0))),"N/A")</f>
        <v/>
      </c>
      <c r="N226" s="52">
        <f>IFERROR(IF(INDEX('CFOG'!$Q$10:$Q$16,MATCH($F226,'CFOG'!$B$10:$B$16,0))="","Cell will autofill based on response",INDEX('CFOG'!$Q$10:$Q$16,MATCH($F226,'CFOG'!$B$10:$B$16,0))),"N/A")</f>
        <v/>
      </c>
      <c r="O226" s="52">
        <f>IFERROR(IF(INDEX('CFOG'!$Q$23:$Q$24,MATCH($F226,'CFOG'!$B$23:$B$24,0))="","Cell will autofill based on response",INDEX('CFOG'!$Q$23:$Q$24,MATCH($F226,'CFOG'!$B$23:$B$24,0))),"N/A")</f>
        <v/>
      </c>
      <c r="P226" s="52">
        <f>IFERROR(IF(INDEX('ESG'!$Q$10:$Q$17,MATCH($F226,'ESG'!$B$10:$B$17,0))="","Cell will autofill based on response",INDEX('ESG'!$Q$10:$Q$17,MATCH($F226,'ESG'!$B$10:$B$17,0))),"N/A")</f>
        <v/>
      </c>
      <c r="Q226" s="52">
        <f>IFERROR(IF(INDEX('CIOG'!$Q$10:$Q$14,MATCH($F226,'CIOG'!$B$10:$B$14,0))="","Cell will autofill based on response",INDEX('CIOG'!$Q$10:$Q$14,MATCH($F226,'CIOG'!$B$10:$B$14,0))),"N/A")</f>
        <v/>
      </c>
      <c r="R226" s="52">
        <f>IFERROR(IF(INDEX('MRE'!$Q$10:$Q$18,MATCH($F226,'MRE'!$B$10:$B$18,0))="","Cell will autofill based on response",INDEX('MRE'!$Q$10:$Q$18,MATCH($F226,'MRE'!$B$10:$B$18,0))),"N/A")</f>
        <v/>
      </c>
      <c r="S226" s="52">
        <f>IFERROR(IF(INDEX('AC&amp;M'!$Q$10:$Q$14,MATCH($F226,'AC&amp;M'!$B$10:$B$14,0))="","Cell will autofill based on response",INDEX('AC&amp;M'!$Q$10:$Q$14,MATCH($F226,'AC&amp;M'!$B$10:$B$14,0))),"N/A")</f>
        <v/>
      </c>
      <c r="T226" s="52">
        <f>IFERROR(IF(INDEX('GCE'!$Q$10:$Q$12,MATCH($F226,'GCE'!$B$10:$B$12,0))="","Cell will autofill based on response",INDEX('GCE'!$Q$10:$Q$12,MATCH($F226,'GCE'!$B$10:$B$12,0))),"N/A")</f>
        <v/>
      </c>
      <c r="U226" s="52">
        <f>IFERROR(IF(INDEX('Education'!$Q$10:$Q$13,MATCH($F226,'Education'!$B$10:$B$13,0))="","Cell will autofill based on response",INDEX('Education'!$Q$10:$Q$13,MATCH($F226,'Education'!$B$10:$B$13,0))),"N/A")</f>
        <v/>
      </c>
      <c r="V226" s="52">
        <f>IFERROR(IF(INDEX('SaSS'!$Q$10:$Q$12,MATCH($F226,'SaSS'!$B$10:$B$12,0))="","Cell will autofill based on response",INDEX('SaSS'!$Q$10:$Q$12,MATCH($F226,'SaSS'!$B$10:$B$12,0))),"N/A")</f>
        <v/>
      </c>
      <c r="W226" s="52">
        <f>IFERROR(IF(INDEX('Indigenous'!$Q$10:$Q$11,MATCH($F226,'Indigenous'!$B$10:$B$11,0))="","Cell will autofill based on response",INDEX('Indigenous'!$Q$10:$Q$11,MATCH($F226,'Indigenous'!$B$10:$B$11,0))),"N/A")</f>
        <v/>
      </c>
      <c r="X226" s="52">
        <f>IFERROR(IF(INDEX('L&amp;R'!$Q$10:$Q$11,MATCH($F226,'L&amp;R'!$B$10:$B$11,0))="","Cell will autofill based on response",INDEX('L&amp;R'!$Q$10:$Q$11,MATCH($F226,'L&amp;R'!$B$10:$B$11,0))),"N/A")</f>
        <v/>
      </c>
    </row>
    <row r="227">
      <c r="A227">
        <f>F227&amp;"|"&amp;G227</f>
        <v/>
      </c>
      <c r="B227" s="7" t="inlineStr">
        <is>
          <t>EN1(c)</t>
        </is>
      </c>
      <c r="C227" s="50" t="inlineStr">
        <is>
          <t>Enablers</t>
        </is>
      </c>
      <c r="D227" s="50" t="inlineStr">
        <is>
          <t>Coordinated internal engagement and external partnerships contributing to delivery of sustainability outcomes across priority areas.</t>
        </is>
      </c>
      <c r="E227"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0" t="inlineStr">
        <is>
          <t>EN1(c)</t>
        </is>
      </c>
      <c r="G227" s="50" t="inlineStr">
        <is>
          <t>Confirm end-2026 target status</t>
        </is>
      </c>
      <c r="H227" s="52">
        <f>IFERROR(IF(INDEX('Faculties'!$L$10:$L$19,MATCH($F227,'Faculties'!$B$10:$B$19,0))="","Cell will autofill based on response",INDEX('Faculties'!$L$10:$L$19,MATCH($F227,'Faculties'!$B$10:$B$19,0))),"N/A")</f>
        <v/>
      </c>
      <c r="I227" s="52">
        <f>IFERROR(IF(INDEX('Faculties'!$L$26:$L$35,MATCH($F227,'Faculties'!$B$26:$B$35,0))="","Cell will autofill based on response",INDEX('Faculties'!$L$26:$L$35,MATCH($F227,'Faculties'!$B$26:$B$35,0))),"N/A")</f>
        <v/>
      </c>
      <c r="J227" s="52">
        <f>IFERROR(IF(INDEX('Faculties'!$L$42:$L$51,MATCH($F227,'Faculties'!$B$42:$B$51,0))="","Cell will autofill based on response",INDEX('Faculties'!$L$42:$L$51,MATCH($F227,'Faculties'!$B$42:$B$51,0))),"N/A")</f>
        <v/>
      </c>
      <c r="K227" s="52">
        <f>IFERROR(IF(INDEX('Faculties'!$L$58:$L$67,MATCH($F227,'Faculties'!$B$58:$B$67,0))="","Cell will autofill based on response",INDEX('Faculties'!$L$58:$L$67,MATCH($F227,'Faculties'!$B$58:$B$67,0))),"N/A")</f>
        <v/>
      </c>
      <c r="L227" s="52">
        <f>IFERROR(IF(INDEX('CI&amp;S'!$L$10:$L$15,MATCH($F227,'CI&amp;S'!$B$10:$B$15,0))="","Cell will autofill based on response",INDEX('CI&amp;S'!$L$10:$L$15,MATCH($F227,'CI&amp;S'!$B$10:$B$15,0))),"N/A")</f>
        <v/>
      </c>
      <c r="M227" s="52">
        <f>IFERROR(IF(INDEX('CI&amp;S'!$L$22:$L$36,MATCH($F227,'CI&amp;S'!$B$22:$B$36,0))="","Cell will autofill based on response",INDEX('CI&amp;S'!$L$22:$L$36,MATCH($F227,'CI&amp;S'!$B$22:$B$36,0))),"N/A")</f>
        <v/>
      </c>
      <c r="N227" s="52">
        <f>IFERROR(IF(INDEX('CFOG'!$L$10:$L$16,MATCH($F227,'CFOG'!$B$10:$B$16,0))="","Cell will autofill based on response",INDEX('CFOG'!$L$10:$L$16,MATCH($F227,'CFOG'!$B$10:$B$16,0))),"N/A")</f>
        <v/>
      </c>
      <c r="O227" s="52">
        <f>IFERROR(IF(INDEX('CFOG'!$L$23:$L$24,MATCH($F227,'CFOG'!$B$23:$B$24,0))="","Cell will autofill based on response",INDEX('CFOG'!$L$23:$L$24,MATCH($F227,'CFOG'!$B$23:$B$24,0))),"N/A")</f>
        <v/>
      </c>
      <c r="P227" s="52">
        <f>IFERROR(IF(INDEX('ESG'!$L$10:$L$17,MATCH($F227,'ESG'!$B$10:$B$17,0))="","Cell will autofill based on response",INDEX('ESG'!$L$10:$L$17,MATCH($F227,'ESG'!$B$10:$B$17,0))),"N/A")</f>
        <v/>
      </c>
      <c r="Q227" s="52">
        <f>IFERROR(IF(INDEX('CIOG'!$L$10:$L$14,MATCH($F227,'CIOG'!$B$10:$B$14,0))="","Cell will autofill based on response",INDEX('CIOG'!$L$10:$L$14,MATCH($F227,'CIOG'!$B$10:$B$14,0))),"N/A")</f>
        <v/>
      </c>
      <c r="R227" s="52">
        <f>IFERROR(IF(INDEX('MRE'!$L$10:$L$18,MATCH($F227,'MRE'!$B$10:$B$18,0))="","Cell will autofill based on response",INDEX('MRE'!$L$10:$L$18,MATCH($F227,'MRE'!$B$10:$B$18,0))),"N/A")</f>
        <v/>
      </c>
      <c r="S227" s="52">
        <f>IFERROR(IF(INDEX('AC&amp;M'!$L$10:$L$14,MATCH($F227,'AC&amp;M'!$B$10:$B$14,0))="","Cell will autofill based on response",INDEX('AC&amp;M'!$L$10:$L$14,MATCH($F227,'AC&amp;M'!$B$10:$B$14,0))),"N/A")</f>
        <v/>
      </c>
      <c r="T227" s="52">
        <f>IFERROR(IF(INDEX('GCE'!$L$10:$L$12,MATCH($F227,'GCE'!$B$10:$B$12,0))="","Cell will autofill based on response",INDEX('GCE'!$L$10:$L$12,MATCH($F227,'GCE'!$B$10:$B$12,0))),"N/A")</f>
        <v/>
      </c>
      <c r="U227" s="52">
        <f>IFERROR(IF(INDEX('Education'!$L$10:$L$13,MATCH($F227,'Education'!$B$10:$B$13,0))="","Cell will autofill based on response",INDEX('Education'!$L$10:$L$13,MATCH($F227,'Education'!$B$10:$B$13,0))),"N/A")</f>
        <v/>
      </c>
      <c r="V227" s="52">
        <f>IFERROR(IF(INDEX('SaSS'!$L$10:$L$12,MATCH($F227,'SaSS'!$B$10:$B$12,0))="","Cell will autofill based on response",INDEX('SaSS'!$L$10:$L$12,MATCH($F227,'SaSS'!$B$10:$B$12,0))),"N/A")</f>
        <v/>
      </c>
      <c r="W227" s="52">
        <f>IFERROR(IF(INDEX('Indigenous'!$L$10:$L$11,MATCH($F227,'Indigenous'!$B$10:$B$11,0))="","Cell will autofill based on response",INDEX('Indigenous'!$L$10:$L$11,MATCH($F227,'Indigenous'!$B$10:$B$11,0))),"N/A")</f>
        <v/>
      </c>
      <c r="X227" s="52">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3">
        <f>IF(AF227&gt;0,AE227/AF227,"No valid responses to date")</f>
        <v/>
      </c>
      <c r="AH227" s="10">
        <f>IF(ISNUMBER(AG227),INDEX(Lists!$G$2:$G$5,MATCH(ROUND(AG227,0),Lists!$H$2:$H$5,0)),"")</f>
        <v/>
      </c>
      <c r="AI227" s="54">
        <f>IF(AF227&gt;0,AD227/AF227,"")</f>
        <v/>
      </c>
      <c r="AJ227" s="54">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2">
        <f>IFERROR(IF(INDEX('Faculties'!$M$10:$M$19,MATCH($F228,'Faculties'!$B$10:$B$19,0))="","Cell will autofill based on response",INDEX('Faculties'!$M$10:$M$19,MATCH($F228,'Faculties'!$B$10:$B$19,0))),"N/A")</f>
        <v/>
      </c>
      <c r="I228" s="52">
        <f>IFERROR(IF(INDEX('Faculties'!$M$26:$M$35,MATCH($F228,'Faculties'!$B$26:$B$35,0))="","Cell will autofill based on response",INDEX('Faculties'!$M$26:$M$35,MATCH($F228,'Faculties'!$B$26:$B$35,0))),"N/A")</f>
        <v/>
      </c>
      <c r="J228" s="52">
        <f>IFERROR(IF(INDEX('Faculties'!$M$42:$M$51,MATCH($F228,'Faculties'!$B$42:$B$51,0))="","Cell will autofill based on response",INDEX('Faculties'!$M$42:$M$51,MATCH($F228,'Faculties'!$B$42:$B$51,0))),"N/A")</f>
        <v/>
      </c>
      <c r="K228" s="52">
        <f>IFERROR(IF(INDEX('Faculties'!$M$58:$M$67,MATCH($F228,'Faculties'!$B$58:$B$67,0))="","Cell will autofill based on response",INDEX('Faculties'!$M$58:$M$67,MATCH($F228,'Faculties'!$B$58:$B$67,0))),"N/A")</f>
        <v/>
      </c>
      <c r="L228" s="52">
        <f>IFERROR(IF(INDEX('CI&amp;S'!$M$10:$M$15,MATCH($F228,'CI&amp;S'!$B$10:$B$15,0))="","Cell will autofill based on response",INDEX('CI&amp;S'!$M$10:$M$15,MATCH($F228,'CI&amp;S'!$B$10:$B$15,0))),"N/A")</f>
        <v/>
      </c>
      <c r="M228" s="52">
        <f>IFERROR(IF(INDEX('CI&amp;S'!$M$22:$M$36,MATCH($F228,'CI&amp;S'!$B$22:$B$36,0))="","Cell will autofill based on response",INDEX('CI&amp;S'!$M$22:$M$36,MATCH($F228,'CI&amp;S'!$B$22:$B$36,0))),"N/A")</f>
        <v/>
      </c>
      <c r="N228" s="52">
        <f>IFERROR(IF(INDEX('CFOG'!$M$10:$M$16,MATCH($F228,'CFOG'!$B$10:$B$16,0))="","Cell will autofill based on response",INDEX('CFOG'!$M$10:$M$16,MATCH($F228,'CFOG'!$B$10:$B$16,0))),"N/A")</f>
        <v/>
      </c>
      <c r="O228" s="52">
        <f>IFERROR(IF(INDEX('CFOG'!$M$23:$M$24,MATCH($F228,'CFOG'!$B$23:$B$24,0))="","Cell will autofill based on response",INDEX('CFOG'!$M$23:$M$24,MATCH($F228,'CFOG'!$B$23:$B$24,0))),"N/A")</f>
        <v/>
      </c>
      <c r="P228" s="52">
        <f>IFERROR(IF(INDEX('ESG'!$M$10:$M$17,MATCH($F228,'ESG'!$B$10:$B$17,0))="","Cell will autofill based on response",INDEX('ESG'!$M$10:$M$17,MATCH($F228,'ESG'!$B$10:$B$17,0))),"N/A")</f>
        <v/>
      </c>
      <c r="Q228" s="52">
        <f>IFERROR(IF(INDEX('CIOG'!$M$10:$M$14,MATCH($F228,'CIOG'!$B$10:$B$14,0))="","Cell will autofill based on response",INDEX('CIOG'!$M$10:$M$14,MATCH($F228,'CIOG'!$B$10:$B$14,0))),"N/A")</f>
        <v/>
      </c>
      <c r="R228" s="52">
        <f>IFERROR(IF(INDEX('MRE'!$M$10:$M$18,MATCH($F228,'MRE'!$B$10:$B$18,0))="","Cell will autofill based on response",INDEX('MRE'!$M$10:$M$18,MATCH($F228,'MRE'!$B$10:$B$18,0))),"N/A")</f>
        <v/>
      </c>
      <c r="S228" s="52">
        <f>IFERROR(IF(INDEX('AC&amp;M'!$M$10:$M$14,MATCH($F228,'AC&amp;M'!$B$10:$B$14,0))="","Cell will autofill based on response",INDEX('AC&amp;M'!$M$10:$M$14,MATCH($F228,'AC&amp;M'!$B$10:$B$14,0))),"N/A")</f>
        <v/>
      </c>
      <c r="T228" s="52">
        <f>IFERROR(IF(INDEX('GCE'!$M$10:$M$12,MATCH($F228,'GCE'!$B$10:$B$12,0))="","Cell will autofill based on response",INDEX('GCE'!$M$10:$M$12,MATCH($F228,'GCE'!$B$10:$B$12,0))),"N/A")</f>
        <v/>
      </c>
      <c r="U228" s="52">
        <f>IFERROR(IF(INDEX('Education'!$M$10:$M$13,MATCH($F228,'Education'!$B$10:$B$13,0))="","Cell will autofill based on response",INDEX('Education'!$M$10:$M$13,MATCH($F228,'Education'!$B$10:$B$13,0))),"N/A")</f>
        <v/>
      </c>
      <c r="V228" s="52">
        <f>IFERROR(IF(INDEX('SaSS'!$M$10:$M$12,MATCH($F228,'SaSS'!$B$10:$B$12,0))="","Cell will autofill based on response",INDEX('SaSS'!$M$10:$M$12,MATCH($F228,'SaSS'!$B$10:$B$12,0))),"N/A")</f>
        <v/>
      </c>
      <c r="W228" s="52">
        <f>IFERROR(IF(INDEX('Indigenous'!$M$10:$M$11,MATCH($F228,'Indigenous'!$B$10:$B$11,0))="","Cell will autofill based on response",INDEX('Indigenous'!$M$10:$M$11,MATCH($F228,'Indigenous'!$B$10:$B$11,0))),"N/A")</f>
        <v/>
      </c>
      <c r="X228" s="52">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2">
        <f>IFERROR(IF(INDEX('Faculties'!$N$10:$N$19,MATCH($F229,'Faculties'!$B$10:$B$19,0))="","Cell will autofill based on response",INDEX('Faculties'!$N$10:$N$19,MATCH($F229,'Faculties'!$B$10:$B$19,0))),"N/A")</f>
        <v/>
      </c>
      <c r="I229" s="52">
        <f>IFERROR(IF(INDEX('Faculties'!$N$26:$N$35,MATCH($F229,'Faculties'!$B$26:$B$35,0))="","Cell will autofill based on response",INDEX('Faculties'!$N$26:$N$35,MATCH($F229,'Faculties'!$B$26:$B$35,0))),"N/A")</f>
        <v/>
      </c>
      <c r="J229" s="52">
        <f>IFERROR(IF(INDEX('Faculties'!$N$42:$N$51,MATCH($F229,'Faculties'!$B$42:$B$51,0))="","Cell will autofill based on response",INDEX('Faculties'!$N$42:$N$51,MATCH($F229,'Faculties'!$B$42:$B$51,0))),"N/A")</f>
        <v/>
      </c>
      <c r="K229" s="52">
        <f>IFERROR(IF(INDEX('Faculties'!$N$58:$N$67,MATCH($F229,'Faculties'!$B$58:$B$67,0))="","Cell will autofill based on response",INDEX('Faculties'!$N$58:$N$67,MATCH($F229,'Faculties'!$B$58:$B$67,0))),"N/A")</f>
        <v/>
      </c>
      <c r="L229" s="52">
        <f>IFERROR(IF(INDEX('CI&amp;S'!$N$10:$N$15,MATCH($F229,'CI&amp;S'!$B$10:$B$15,0))="","Cell will autofill based on response",INDEX('CI&amp;S'!$N$10:$N$15,MATCH($F229,'CI&amp;S'!$B$10:$B$15,0))),"N/A")</f>
        <v/>
      </c>
      <c r="M229" s="52">
        <f>IFERROR(IF(INDEX('CI&amp;S'!$N$22:$N$36,MATCH($F229,'CI&amp;S'!$B$22:$B$36,0))="","Cell will autofill based on response",INDEX('CI&amp;S'!$N$22:$N$36,MATCH($F229,'CI&amp;S'!$B$22:$B$36,0))),"N/A")</f>
        <v/>
      </c>
      <c r="N229" s="52">
        <f>IFERROR(IF(INDEX('CFOG'!$N$10:$N$16,MATCH($F229,'CFOG'!$B$10:$B$16,0))="","Cell will autofill based on response",INDEX('CFOG'!$N$10:$N$16,MATCH($F229,'CFOG'!$B$10:$B$16,0))),"N/A")</f>
        <v/>
      </c>
      <c r="O229" s="52">
        <f>IFERROR(IF(INDEX('CFOG'!$N$23:$N$24,MATCH($F229,'CFOG'!$B$23:$B$24,0))="","Cell will autofill based on response",INDEX('CFOG'!$N$23:$N$24,MATCH($F229,'CFOG'!$B$23:$B$24,0))),"N/A")</f>
        <v/>
      </c>
      <c r="P229" s="52">
        <f>IFERROR(IF(INDEX('ESG'!$N$10:$N$17,MATCH($F229,'ESG'!$B$10:$B$17,0))="","Cell will autofill based on response",INDEX('ESG'!$N$10:$N$17,MATCH($F229,'ESG'!$B$10:$B$17,0))),"N/A")</f>
        <v/>
      </c>
      <c r="Q229" s="52">
        <f>IFERROR(IF(INDEX('CIOG'!$N$10:$N$14,MATCH($F229,'CIOG'!$B$10:$B$14,0))="","Cell will autofill based on response",INDEX('CIOG'!$N$10:$N$14,MATCH($F229,'CIOG'!$B$10:$B$14,0))),"N/A")</f>
        <v/>
      </c>
      <c r="R229" s="52">
        <f>IFERROR(IF(INDEX('MRE'!$N$10:$N$18,MATCH($F229,'MRE'!$B$10:$B$18,0))="","Cell will autofill based on response",INDEX('MRE'!$N$10:$N$18,MATCH($F229,'MRE'!$B$10:$B$18,0))),"N/A")</f>
        <v/>
      </c>
      <c r="S229" s="52">
        <f>IFERROR(IF(INDEX('AC&amp;M'!$N$10:$N$14,MATCH($F229,'AC&amp;M'!$B$10:$B$14,0))="","Cell will autofill based on response",INDEX('AC&amp;M'!$N$10:$N$14,MATCH($F229,'AC&amp;M'!$B$10:$B$14,0))),"N/A")</f>
        <v/>
      </c>
      <c r="T229" s="52">
        <f>IFERROR(IF(INDEX('GCE'!$N$10:$N$12,MATCH($F229,'GCE'!$B$10:$B$12,0))="","Cell will autofill based on response",INDEX('GCE'!$N$10:$N$12,MATCH($F229,'GCE'!$B$10:$B$12,0))),"N/A")</f>
        <v/>
      </c>
      <c r="U229" s="52">
        <f>IFERROR(IF(INDEX('Education'!$N$10:$N$13,MATCH($F229,'Education'!$B$10:$B$13,0))="","Cell will autofill based on response",INDEX('Education'!$N$10:$N$13,MATCH($F229,'Education'!$B$10:$B$13,0))),"N/A")</f>
        <v/>
      </c>
      <c r="V229" s="52">
        <f>IFERROR(IF(INDEX('SaSS'!$N$10:$N$12,MATCH($F229,'SaSS'!$B$10:$B$12,0))="","Cell will autofill based on response",INDEX('SaSS'!$N$10:$N$12,MATCH($F229,'SaSS'!$B$10:$B$12,0))),"N/A")</f>
        <v/>
      </c>
      <c r="W229" s="52">
        <f>IFERROR(IF(INDEX('Indigenous'!$N$10:$N$11,MATCH($F229,'Indigenous'!$B$10:$B$11,0))="","Cell will autofill based on response",INDEX('Indigenous'!$N$10:$N$11,MATCH($F229,'Indigenous'!$B$10:$B$11,0))),"N/A")</f>
        <v/>
      </c>
      <c r="X229" s="52">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2">
        <f>IFERROR(IF(INDEX('Faculties'!$O$10:$O$19,MATCH($F230,'Faculties'!$B$10:$B$19,0))="","Cell will autofill based on response",INDEX('Faculties'!$O$10:$O$19,MATCH($F230,'Faculties'!$B$10:$B$19,0))),"N/A")</f>
        <v/>
      </c>
      <c r="I230" s="52">
        <f>IFERROR(IF(INDEX('Faculties'!$O$26:$O$35,MATCH($F230,'Faculties'!$B$26:$B$35,0))="","Cell will autofill based on response",INDEX('Faculties'!$O$26:$O$35,MATCH($F230,'Faculties'!$B$26:$B$35,0))),"N/A")</f>
        <v/>
      </c>
      <c r="J230" s="52">
        <f>IFERROR(IF(INDEX('Faculties'!$O$42:$O$51,MATCH($F230,'Faculties'!$B$42:$B$51,0))="","Cell will autofill based on response",INDEX('Faculties'!$O$42:$O$51,MATCH($F230,'Faculties'!$B$42:$B$51,0))),"N/A")</f>
        <v/>
      </c>
      <c r="K230" s="52">
        <f>IFERROR(IF(INDEX('Faculties'!$O$58:$O$67,MATCH($F230,'Faculties'!$B$58:$B$67,0))="","Cell will autofill based on response",INDEX('Faculties'!$O$58:$O$67,MATCH($F230,'Faculties'!$B$58:$B$67,0))),"N/A")</f>
        <v/>
      </c>
      <c r="L230" s="52">
        <f>IFERROR(IF(INDEX('CI&amp;S'!$O$10:$O$15,MATCH($F230,'CI&amp;S'!$B$10:$B$15,0))="","Cell will autofill based on response",INDEX('CI&amp;S'!$O$10:$O$15,MATCH($F230,'CI&amp;S'!$B$10:$B$15,0))),"N/A")</f>
        <v/>
      </c>
      <c r="M230" s="52">
        <f>IFERROR(IF(INDEX('CI&amp;S'!$O$22:$O$36,MATCH($F230,'CI&amp;S'!$B$22:$B$36,0))="","Cell will autofill based on response",INDEX('CI&amp;S'!$O$22:$O$36,MATCH($F230,'CI&amp;S'!$B$22:$B$36,0))),"N/A")</f>
        <v/>
      </c>
      <c r="N230" s="52">
        <f>IFERROR(IF(INDEX('CFOG'!$O$10:$O$16,MATCH($F230,'CFOG'!$B$10:$B$16,0))="","Cell will autofill based on response",INDEX('CFOG'!$O$10:$O$16,MATCH($F230,'CFOG'!$B$10:$B$16,0))),"N/A")</f>
        <v/>
      </c>
      <c r="O230" s="52">
        <f>IFERROR(IF(INDEX('CFOG'!$O$23:$O$24,MATCH($F230,'CFOG'!$B$23:$B$24,0))="","Cell will autofill based on response",INDEX('CFOG'!$O$23:$O$24,MATCH($F230,'CFOG'!$B$23:$B$24,0))),"N/A")</f>
        <v/>
      </c>
      <c r="P230" s="52">
        <f>IFERROR(IF(INDEX('ESG'!$O$10:$O$17,MATCH($F230,'ESG'!$B$10:$B$17,0))="","Cell will autofill based on response",INDEX('ESG'!$O$10:$O$17,MATCH($F230,'ESG'!$B$10:$B$17,0))),"N/A")</f>
        <v/>
      </c>
      <c r="Q230" s="52">
        <f>IFERROR(IF(INDEX('CIOG'!$O$10:$O$14,MATCH($F230,'CIOG'!$B$10:$B$14,0))="","Cell will autofill based on response",INDEX('CIOG'!$O$10:$O$14,MATCH($F230,'CIOG'!$B$10:$B$14,0))),"N/A")</f>
        <v/>
      </c>
      <c r="R230" s="52">
        <f>IFERROR(IF(INDEX('MRE'!$O$10:$O$18,MATCH($F230,'MRE'!$B$10:$B$18,0))="","Cell will autofill based on response",INDEX('MRE'!$O$10:$O$18,MATCH($F230,'MRE'!$B$10:$B$18,0))),"N/A")</f>
        <v/>
      </c>
      <c r="S230" s="52">
        <f>IFERROR(IF(INDEX('AC&amp;M'!$O$10:$O$14,MATCH($F230,'AC&amp;M'!$B$10:$B$14,0))="","Cell will autofill based on response",INDEX('AC&amp;M'!$O$10:$O$14,MATCH($F230,'AC&amp;M'!$B$10:$B$14,0))),"N/A")</f>
        <v/>
      </c>
      <c r="T230" s="52">
        <f>IFERROR(IF(INDEX('GCE'!$O$10:$O$12,MATCH($F230,'GCE'!$B$10:$B$12,0))="","Cell will autofill based on response",INDEX('GCE'!$O$10:$O$12,MATCH($F230,'GCE'!$B$10:$B$12,0))),"N/A")</f>
        <v/>
      </c>
      <c r="U230" s="52">
        <f>IFERROR(IF(INDEX('Education'!$O$10:$O$13,MATCH($F230,'Education'!$B$10:$B$13,0))="","Cell will autofill based on response",INDEX('Education'!$O$10:$O$13,MATCH($F230,'Education'!$B$10:$B$13,0))),"N/A")</f>
        <v/>
      </c>
      <c r="V230" s="52">
        <f>IFERROR(IF(INDEX('SaSS'!$O$10:$O$12,MATCH($F230,'SaSS'!$B$10:$B$12,0))="","Cell will autofill based on response",INDEX('SaSS'!$O$10:$O$12,MATCH($F230,'SaSS'!$B$10:$B$12,0))),"N/A")</f>
        <v/>
      </c>
      <c r="W230" s="52">
        <f>IFERROR(IF(INDEX('Indigenous'!$O$10:$O$11,MATCH($F230,'Indigenous'!$B$10:$B$11,0))="","Cell will autofill based on response",INDEX('Indigenous'!$O$10:$O$11,MATCH($F230,'Indigenous'!$B$10:$B$11,0))),"N/A")</f>
        <v/>
      </c>
      <c r="X230" s="52">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2">
        <f>IFERROR(IF(INDEX('Faculties'!$P$10:$P$19,MATCH($F231,'Faculties'!$B$10:$B$19,0))="","Cell will autofill based on response",INDEX('Faculties'!$P$10:$P$19,MATCH($F231,'Faculties'!$B$10:$B$19,0))),"N/A")</f>
        <v/>
      </c>
      <c r="I231" s="52">
        <f>IFERROR(IF(INDEX('Faculties'!$P$26:$P$35,MATCH($F231,'Faculties'!$B$26:$B$35,0))="","Cell will autofill based on response",INDEX('Faculties'!$P$26:$P$35,MATCH($F231,'Faculties'!$B$26:$B$35,0))),"N/A")</f>
        <v/>
      </c>
      <c r="J231" s="52">
        <f>IFERROR(IF(INDEX('Faculties'!$P$42:$P$51,MATCH($F231,'Faculties'!$B$42:$B$51,0))="","Cell will autofill based on response",INDEX('Faculties'!$P$42:$P$51,MATCH($F231,'Faculties'!$B$42:$B$51,0))),"N/A")</f>
        <v/>
      </c>
      <c r="K231" s="52">
        <f>IFERROR(IF(INDEX('Faculties'!$P$58:$P$67,MATCH($F231,'Faculties'!$B$58:$B$67,0))="","Cell will autofill based on response",INDEX('Faculties'!$P$58:$P$67,MATCH($F231,'Faculties'!$B$58:$B$67,0))),"N/A")</f>
        <v/>
      </c>
      <c r="L231" s="52">
        <f>IFERROR(IF(INDEX('CI&amp;S'!$P$10:$P$15,MATCH($F231,'CI&amp;S'!$B$10:$B$15,0))="","Cell will autofill based on response",INDEX('CI&amp;S'!$P$10:$P$15,MATCH($F231,'CI&amp;S'!$B$10:$B$15,0))),"N/A")</f>
        <v/>
      </c>
      <c r="M231" s="52">
        <f>IFERROR(IF(INDEX('CI&amp;S'!$P$22:$P$36,MATCH($F231,'CI&amp;S'!$B$22:$B$36,0))="","Cell will autofill based on response",INDEX('CI&amp;S'!$P$22:$P$36,MATCH($F231,'CI&amp;S'!$B$22:$B$36,0))),"N/A")</f>
        <v/>
      </c>
      <c r="N231" s="52">
        <f>IFERROR(IF(INDEX('CFOG'!$P$10:$P$16,MATCH($F231,'CFOG'!$B$10:$B$16,0))="","Cell will autofill based on response",INDEX('CFOG'!$P$10:$P$16,MATCH($F231,'CFOG'!$B$10:$B$16,0))),"N/A")</f>
        <v/>
      </c>
      <c r="O231" s="52">
        <f>IFERROR(IF(INDEX('CFOG'!$P$23:$P$24,MATCH($F231,'CFOG'!$B$23:$B$24,0))="","Cell will autofill based on response",INDEX('CFOG'!$P$23:$P$24,MATCH($F231,'CFOG'!$B$23:$B$24,0))),"N/A")</f>
        <v/>
      </c>
      <c r="P231" s="52">
        <f>IFERROR(IF(INDEX('ESG'!$P$10:$P$17,MATCH($F231,'ESG'!$B$10:$B$17,0))="","Cell will autofill based on response",INDEX('ESG'!$P$10:$P$17,MATCH($F231,'ESG'!$B$10:$B$17,0))),"N/A")</f>
        <v/>
      </c>
      <c r="Q231" s="52">
        <f>IFERROR(IF(INDEX('CIOG'!$P$10:$P$14,MATCH($F231,'CIOG'!$B$10:$B$14,0))="","Cell will autofill based on response",INDEX('CIOG'!$P$10:$P$14,MATCH($F231,'CIOG'!$B$10:$B$14,0))),"N/A")</f>
        <v/>
      </c>
      <c r="R231" s="52">
        <f>IFERROR(IF(INDEX('MRE'!$P$10:$P$18,MATCH($F231,'MRE'!$B$10:$B$18,0))="","Cell will autofill based on response",INDEX('MRE'!$P$10:$P$18,MATCH($F231,'MRE'!$B$10:$B$18,0))),"N/A")</f>
        <v/>
      </c>
      <c r="S231" s="52">
        <f>IFERROR(IF(INDEX('AC&amp;M'!$P$10:$P$14,MATCH($F231,'AC&amp;M'!$B$10:$B$14,0))="","Cell will autofill based on response",INDEX('AC&amp;M'!$P$10:$P$14,MATCH($F231,'AC&amp;M'!$B$10:$B$14,0))),"N/A")</f>
        <v/>
      </c>
      <c r="T231" s="52">
        <f>IFERROR(IF(INDEX('GCE'!$P$10:$P$12,MATCH($F231,'GCE'!$B$10:$B$12,0))="","Cell will autofill based on response",INDEX('GCE'!$P$10:$P$12,MATCH($F231,'GCE'!$B$10:$B$12,0))),"N/A")</f>
        <v/>
      </c>
      <c r="U231" s="52">
        <f>IFERROR(IF(INDEX('Education'!$P$10:$P$13,MATCH($F231,'Education'!$B$10:$B$13,0))="","Cell will autofill based on response",INDEX('Education'!$P$10:$P$13,MATCH($F231,'Education'!$B$10:$B$13,0))),"N/A")</f>
        <v/>
      </c>
      <c r="V231" s="52">
        <f>IFERROR(IF(INDEX('SaSS'!$P$10:$P$12,MATCH($F231,'SaSS'!$B$10:$B$12,0))="","Cell will autofill based on response",INDEX('SaSS'!$P$10:$P$12,MATCH($F231,'SaSS'!$B$10:$B$12,0))),"N/A")</f>
        <v/>
      </c>
      <c r="W231" s="52">
        <f>IFERROR(IF(INDEX('Indigenous'!$P$10:$P$11,MATCH($F231,'Indigenous'!$B$10:$B$11,0))="","Cell will autofill based on response",INDEX('Indigenous'!$P$10:$P$11,MATCH($F231,'Indigenous'!$B$10:$B$11,0))),"N/A")</f>
        <v/>
      </c>
      <c r="X231" s="52">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2">
        <f>IFERROR(IF(INDEX('Faculties'!$Q$10:$Q$19,MATCH($F232,'Faculties'!$B$10:$B$19,0))="","Cell will autofill based on response",INDEX('Faculties'!$Q$10:$Q$19,MATCH($F232,'Faculties'!$B$10:$B$19,0))),"N/A")</f>
        <v/>
      </c>
      <c r="I232" s="52">
        <f>IFERROR(IF(INDEX('Faculties'!$Q$26:$Q$35,MATCH($F232,'Faculties'!$B$26:$B$35,0))="","Cell will autofill based on response",INDEX('Faculties'!$Q$26:$Q$35,MATCH($F232,'Faculties'!$B$26:$B$35,0))),"N/A")</f>
        <v/>
      </c>
      <c r="J232" s="52">
        <f>IFERROR(IF(INDEX('Faculties'!$Q$42:$Q$51,MATCH($F232,'Faculties'!$B$42:$B$51,0))="","Cell will autofill based on response",INDEX('Faculties'!$Q$42:$Q$51,MATCH($F232,'Faculties'!$B$42:$B$51,0))),"N/A")</f>
        <v/>
      </c>
      <c r="K232" s="52">
        <f>IFERROR(IF(INDEX('Faculties'!$Q$58:$Q$67,MATCH($F232,'Faculties'!$B$58:$B$67,0))="","Cell will autofill based on response",INDEX('Faculties'!$Q$58:$Q$67,MATCH($F232,'Faculties'!$B$58:$B$67,0))),"N/A")</f>
        <v/>
      </c>
      <c r="L232" s="52">
        <f>IFERROR(IF(INDEX('CI&amp;S'!$Q$10:$Q$15,MATCH($F232,'CI&amp;S'!$B$10:$B$15,0))="","Cell will autofill based on response",INDEX('CI&amp;S'!$Q$10:$Q$15,MATCH($F232,'CI&amp;S'!$B$10:$B$15,0))),"N/A")</f>
        <v/>
      </c>
      <c r="M232" s="52">
        <f>IFERROR(IF(INDEX('CI&amp;S'!$Q$22:$Q$36,MATCH($F232,'CI&amp;S'!$B$22:$B$36,0))="","Cell will autofill based on response",INDEX('CI&amp;S'!$Q$22:$Q$36,MATCH($F232,'CI&amp;S'!$B$22:$B$36,0))),"N/A")</f>
        <v/>
      </c>
      <c r="N232" s="52">
        <f>IFERROR(IF(INDEX('CFOG'!$Q$10:$Q$16,MATCH($F232,'CFOG'!$B$10:$B$16,0))="","Cell will autofill based on response",INDEX('CFOG'!$Q$10:$Q$16,MATCH($F232,'CFOG'!$B$10:$B$16,0))),"N/A")</f>
        <v/>
      </c>
      <c r="O232" s="52">
        <f>IFERROR(IF(INDEX('CFOG'!$Q$23:$Q$24,MATCH($F232,'CFOG'!$B$23:$B$24,0))="","Cell will autofill based on response",INDEX('CFOG'!$Q$23:$Q$24,MATCH($F232,'CFOG'!$B$23:$B$24,0))),"N/A")</f>
        <v/>
      </c>
      <c r="P232" s="52">
        <f>IFERROR(IF(INDEX('ESG'!$Q$10:$Q$17,MATCH($F232,'ESG'!$B$10:$B$17,0))="","Cell will autofill based on response",INDEX('ESG'!$Q$10:$Q$17,MATCH($F232,'ESG'!$B$10:$B$17,0))),"N/A")</f>
        <v/>
      </c>
      <c r="Q232" s="52">
        <f>IFERROR(IF(INDEX('CIOG'!$Q$10:$Q$14,MATCH($F232,'CIOG'!$B$10:$B$14,0))="","Cell will autofill based on response",INDEX('CIOG'!$Q$10:$Q$14,MATCH($F232,'CIOG'!$B$10:$B$14,0))),"N/A")</f>
        <v/>
      </c>
      <c r="R232" s="52">
        <f>IFERROR(IF(INDEX('MRE'!$Q$10:$Q$18,MATCH($F232,'MRE'!$B$10:$B$18,0))="","Cell will autofill based on response",INDEX('MRE'!$Q$10:$Q$18,MATCH($F232,'MRE'!$B$10:$B$18,0))),"N/A")</f>
        <v/>
      </c>
      <c r="S232" s="52">
        <f>IFERROR(IF(INDEX('AC&amp;M'!$Q$10:$Q$14,MATCH($F232,'AC&amp;M'!$B$10:$B$14,0))="","Cell will autofill based on response",INDEX('AC&amp;M'!$Q$10:$Q$14,MATCH($F232,'AC&amp;M'!$B$10:$B$14,0))),"N/A")</f>
        <v/>
      </c>
      <c r="T232" s="52">
        <f>IFERROR(IF(INDEX('GCE'!$Q$10:$Q$12,MATCH($F232,'GCE'!$B$10:$B$12,0))="","Cell will autofill based on response",INDEX('GCE'!$Q$10:$Q$12,MATCH($F232,'GCE'!$B$10:$B$12,0))),"N/A")</f>
        <v/>
      </c>
      <c r="U232" s="52">
        <f>IFERROR(IF(INDEX('Education'!$Q$10:$Q$13,MATCH($F232,'Education'!$B$10:$B$13,0))="","Cell will autofill based on response",INDEX('Education'!$Q$10:$Q$13,MATCH($F232,'Education'!$B$10:$B$13,0))),"N/A")</f>
        <v/>
      </c>
      <c r="V232" s="52">
        <f>IFERROR(IF(INDEX('SaSS'!$Q$10:$Q$12,MATCH($F232,'SaSS'!$B$10:$B$12,0))="","Cell will autofill based on response",INDEX('SaSS'!$Q$10:$Q$12,MATCH($F232,'SaSS'!$B$10:$B$12,0))),"N/A")</f>
        <v/>
      </c>
      <c r="W232" s="52">
        <f>IFERROR(IF(INDEX('Indigenous'!$Q$10:$Q$11,MATCH($F232,'Indigenous'!$B$10:$B$11,0))="","Cell will autofill based on response",INDEX('Indigenous'!$Q$10:$Q$11,MATCH($F232,'Indigenous'!$B$10:$B$11,0))),"N/A")</f>
        <v/>
      </c>
      <c r="X232" s="52">
        <f>IFERROR(IF(INDEX('L&amp;R'!$Q$10:$Q$11,MATCH($F232,'L&amp;R'!$B$10:$B$11,0))="","Cell will autofill based on response",INDEX('L&amp;R'!$Q$10:$Q$11,MATCH($F232,'L&amp;R'!$B$10:$B$11,0))),"N/A")</f>
        <v/>
      </c>
    </row>
    <row r="233">
      <c r="A233">
        <f>F233&amp;"|"&amp;G233</f>
        <v/>
      </c>
      <c r="B233" s="7" t="inlineStr">
        <is>
          <t>EN1(d)</t>
        </is>
      </c>
      <c r="C233" s="50" t="inlineStr">
        <is>
          <t>Enablers</t>
        </is>
      </c>
      <c r="D233" s="50" t="inlineStr">
        <is>
          <t>Sustainability objectives integrated into governance and decision‑making processes, supported by transparent reporting.</t>
        </is>
      </c>
      <c r="E233"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0" t="inlineStr">
        <is>
          <t>EN1(d)</t>
        </is>
      </c>
      <c r="G233" s="50" t="inlineStr">
        <is>
          <t>Confirm end-2026 target status</t>
        </is>
      </c>
      <c r="H233" s="52">
        <f>IFERROR(IF(INDEX('Faculties'!$L$10:$L$19,MATCH($F233,'Faculties'!$B$10:$B$19,0))="","Cell will autofill based on response",INDEX('Faculties'!$L$10:$L$19,MATCH($F233,'Faculties'!$B$10:$B$19,0))),"N/A")</f>
        <v/>
      </c>
      <c r="I233" s="52">
        <f>IFERROR(IF(INDEX('Faculties'!$L$26:$L$35,MATCH($F233,'Faculties'!$B$26:$B$35,0))="","Cell will autofill based on response",INDEX('Faculties'!$L$26:$L$35,MATCH($F233,'Faculties'!$B$26:$B$35,0))),"N/A")</f>
        <v/>
      </c>
      <c r="J233" s="52">
        <f>IFERROR(IF(INDEX('Faculties'!$L$42:$L$51,MATCH($F233,'Faculties'!$B$42:$B$51,0))="","Cell will autofill based on response",INDEX('Faculties'!$L$42:$L$51,MATCH($F233,'Faculties'!$B$42:$B$51,0))),"N/A")</f>
        <v/>
      </c>
      <c r="K233" s="52">
        <f>IFERROR(IF(INDEX('Faculties'!$L$58:$L$67,MATCH($F233,'Faculties'!$B$58:$B$67,0))="","Cell will autofill based on response",INDEX('Faculties'!$L$58:$L$67,MATCH($F233,'Faculties'!$B$58:$B$67,0))),"N/A")</f>
        <v/>
      </c>
      <c r="L233" s="52">
        <f>IFERROR(IF(INDEX('CI&amp;S'!$L$10:$L$15,MATCH($F233,'CI&amp;S'!$B$10:$B$15,0))="","Cell will autofill based on response",INDEX('CI&amp;S'!$L$10:$L$15,MATCH($F233,'CI&amp;S'!$B$10:$B$15,0))),"N/A")</f>
        <v/>
      </c>
      <c r="M233" s="52">
        <f>IFERROR(IF(INDEX('CI&amp;S'!$L$22:$L$36,MATCH($F233,'CI&amp;S'!$B$22:$B$36,0))="","Cell will autofill based on response",INDEX('CI&amp;S'!$L$22:$L$36,MATCH($F233,'CI&amp;S'!$B$22:$B$36,0))),"N/A")</f>
        <v/>
      </c>
      <c r="N233" s="52">
        <f>IFERROR(IF(INDEX('CFOG'!$L$10:$L$16,MATCH($F233,'CFOG'!$B$10:$B$16,0))="","Cell will autofill based on response",INDEX('CFOG'!$L$10:$L$16,MATCH($F233,'CFOG'!$B$10:$B$16,0))),"N/A")</f>
        <v/>
      </c>
      <c r="O233" s="52">
        <f>IFERROR(IF(INDEX('CFOG'!$L$23:$L$24,MATCH($F233,'CFOG'!$B$23:$B$24,0))="","Cell will autofill based on response",INDEX('CFOG'!$L$23:$L$24,MATCH($F233,'CFOG'!$B$23:$B$24,0))),"N/A")</f>
        <v/>
      </c>
      <c r="P233" s="52">
        <f>IFERROR(IF(INDEX('ESG'!$L$10:$L$17,MATCH($F233,'ESG'!$B$10:$B$17,0))="","Cell will autofill based on response",INDEX('ESG'!$L$10:$L$17,MATCH($F233,'ESG'!$B$10:$B$17,0))),"N/A")</f>
        <v/>
      </c>
      <c r="Q233" s="52">
        <f>IFERROR(IF(INDEX('CIOG'!$L$10:$L$14,MATCH($F233,'CIOG'!$B$10:$B$14,0))="","Cell will autofill based on response",INDEX('CIOG'!$L$10:$L$14,MATCH($F233,'CIOG'!$B$10:$B$14,0))),"N/A")</f>
        <v/>
      </c>
      <c r="R233" s="52">
        <f>IFERROR(IF(INDEX('MRE'!$L$10:$L$18,MATCH($F233,'MRE'!$B$10:$B$18,0))="","Cell will autofill based on response",INDEX('MRE'!$L$10:$L$18,MATCH($F233,'MRE'!$B$10:$B$18,0))),"N/A")</f>
        <v/>
      </c>
      <c r="S233" s="52">
        <f>IFERROR(IF(INDEX('AC&amp;M'!$L$10:$L$14,MATCH($F233,'AC&amp;M'!$B$10:$B$14,0))="","Cell will autofill based on response",INDEX('AC&amp;M'!$L$10:$L$14,MATCH($F233,'AC&amp;M'!$B$10:$B$14,0))),"N/A")</f>
        <v/>
      </c>
      <c r="T233" s="52">
        <f>IFERROR(IF(INDEX('GCE'!$L$10:$L$12,MATCH($F233,'GCE'!$B$10:$B$12,0))="","Cell will autofill based on response",INDEX('GCE'!$L$10:$L$12,MATCH($F233,'GCE'!$B$10:$B$12,0))),"N/A")</f>
        <v/>
      </c>
      <c r="U233" s="52">
        <f>IFERROR(IF(INDEX('Education'!$L$10:$L$13,MATCH($F233,'Education'!$B$10:$B$13,0))="","Cell will autofill based on response",INDEX('Education'!$L$10:$L$13,MATCH($F233,'Education'!$B$10:$B$13,0))),"N/A")</f>
        <v/>
      </c>
      <c r="V233" s="52">
        <f>IFERROR(IF(INDEX('SaSS'!$L$10:$L$12,MATCH($F233,'SaSS'!$B$10:$B$12,0))="","Cell will autofill based on response",INDEX('SaSS'!$L$10:$L$12,MATCH($F233,'SaSS'!$B$10:$B$12,0))),"N/A")</f>
        <v/>
      </c>
      <c r="W233" s="52">
        <f>IFERROR(IF(INDEX('Indigenous'!$L$10:$L$11,MATCH($F233,'Indigenous'!$B$10:$B$11,0))="","Cell will autofill based on response",INDEX('Indigenous'!$L$10:$L$11,MATCH($F233,'Indigenous'!$B$10:$B$11,0))),"N/A")</f>
        <v/>
      </c>
      <c r="X233" s="52">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3">
        <f>IF(AF233&gt;0,AE233/AF233,"No valid responses to date")</f>
        <v/>
      </c>
      <c r="AH233" s="10">
        <f>IF(ISNUMBER(AG233),INDEX(Lists!$G$2:$G$5,MATCH(ROUND(AG233,0),Lists!$H$2:$H$5,0)),"")</f>
        <v/>
      </c>
      <c r="AI233" s="54">
        <f>IF(AF233&gt;0,AD233/AF233,"")</f>
        <v/>
      </c>
      <c r="AJ233" s="54">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2">
        <f>IFERROR(IF(INDEX('Faculties'!$M$10:$M$19,MATCH($F234,'Faculties'!$B$10:$B$19,0))="","Cell will autofill based on response",INDEX('Faculties'!$M$10:$M$19,MATCH($F234,'Faculties'!$B$10:$B$19,0))),"N/A")</f>
        <v/>
      </c>
      <c r="I234" s="52">
        <f>IFERROR(IF(INDEX('Faculties'!$M$26:$M$35,MATCH($F234,'Faculties'!$B$26:$B$35,0))="","Cell will autofill based on response",INDEX('Faculties'!$M$26:$M$35,MATCH($F234,'Faculties'!$B$26:$B$35,0))),"N/A")</f>
        <v/>
      </c>
      <c r="J234" s="52">
        <f>IFERROR(IF(INDEX('Faculties'!$M$42:$M$51,MATCH($F234,'Faculties'!$B$42:$B$51,0))="","Cell will autofill based on response",INDEX('Faculties'!$M$42:$M$51,MATCH($F234,'Faculties'!$B$42:$B$51,0))),"N/A")</f>
        <v/>
      </c>
      <c r="K234" s="52">
        <f>IFERROR(IF(INDEX('Faculties'!$M$58:$M$67,MATCH($F234,'Faculties'!$B$58:$B$67,0))="","Cell will autofill based on response",INDEX('Faculties'!$M$58:$M$67,MATCH($F234,'Faculties'!$B$58:$B$67,0))),"N/A")</f>
        <v/>
      </c>
      <c r="L234" s="52">
        <f>IFERROR(IF(INDEX('CI&amp;S'!$M$10:$M$15,MATCH($F234,'CI&amp;S'!$B$10:$B$15,0))="","Cell will autofill based on response",INDEX('CI&amp;S'!$M$10:$M$15,MATCH($F234,'CI&amp;S'!$B$10:$B$15,0))),"N/A")</f>
        <v/>
      </c>
      <c r="M234" s="52">
        <f>IFERROR(IF(INDEX('CI&amp;S'!$M$22:$M$36,MATCH($F234,'CI&amp;S'!$B$22:$B$36,0))="","Cell will autofill based on response",INDEX('CI&amp;S'!$M$22:$M$36,MATCH($F234,'CI&amp;S'!$B$22:$B$36,0))),"N/A")</f>
        <v/>
      </c>
      <c r="N234" s="52">
        <f>IFERROR(IF(INDEX('CFOG'!$M$10:$M$16,MATCH($F234,'CFOG'!$B$10:$B$16,0))="","Cell will autofill based on response",INDEX('CFOG'!$M$10:$M$16,MATCH($F234,'CFOG'!$B$10:$B$16,0))),"N/A")</f>
        <v/>
      </c>
      <c r="O234" s="52">
        <f>IFERROR(IF(INDEX('CFOG'!$M$23:$M$24,MATCH($F234,'CFOG'!$B$23:$B$24,0))="","Cell will autofill based on response",INDEX('CFOG'!$M$23:$M$24,MATCH($F234,'CFOG'!$B$23:$B$24,0))),"N/A")</f>
        <v/>
      </c>
      <c r="P234" s="52">
        <f>IFERROR(IF(INDEX('ESG'!$M$10:$M$17,MATCH($F234,'ESG'!$B$10:$B$17,0))="","Cell will autofill based on response",INDEX('ESG'!$M$10:$M$17,MATCH($F234,'ESG'!$B$10:$B$17,0))),"N/A")</f>
        <v/>
      </c>
      <c r="Q234" s="52">
        <f>IFERROR(IF(INDEX('CIOG'!$M$10:$M$14,MATCH($F234,'CIOG'!$B$10:$B$14,0))="","Cell will autofill based on response",INDEX('CIOG'!$M$10:$M$14,MATCH($F234,'CIOG'!$B$10:$B$14,0))),"N/A")</f>
        <v/>
      </c>
      <c r="R234" s="52">
        <f>IFERROR(IF(INDEX('MRE'!$M$10:$M$18,MATCH($F234,'MRE'!$B$10:$B$18,0))="","Cell will autofill based on response",INDEX('MRE'!$M$10:$M$18,MATCH($F234,'MRE'!$B$10:$B$18,0))),"N/A")</f>
        <v/>
      </c>
      <c r="S234" s="52">
        <f>IFERROR(IF(INDEX('AC&amp;M'!$M$10:$M$14,MATCH($F234,'AC&amp;M'!$B$10:$B$14,0))="","Cell will autofill based on response",INDEX('AC&amp;M'!$M$10:$M$14,MATCH($F234,'AC&amp;M'!$B$10:$B$14,0))),"N/A")</f>
        <v/>
      </c>
      <c r="T234" s="52">
        <f>IFERROR(IF(INDEX('GCE'!$M$10:$M$12,MATCH($F234,'GCE'!$B$10:$B$12,0))="","Cell will autofill based on response",INDEX('GCE'!$M$10:$M$12,MATCH($F234,'GCE'!$B$10:$B$12,0))),"N/A")</f>
        <v/>
      </c>
      <c r="U234" s="52">
        <f>IFERROR(IF(INDEX('Education'!$M$10:$M$13,MATCH($F234,'Education'!$B$10:$B$13,0))="","Cell will autofill based on response",INDEX('Education'!$M$10:$M$13,MATCH($F234,'Education'!$B$10:$B$13,0))),"N/A")</f>
        <v/>
      </c>
      <c r="V234" s="52">
        <f>IFERROR(IF(INDEX('SaSS'!$M$10:$M$12,MATCH($F234,'SaSS'!$B$10:$B$12,0))="","Cell will autofill based on response",INDEX('SaSS'!$M$10:$M$12,MATCH($F234,'SaSS'!$B$10:$B$12,0))),"N/A")</f>
        <v/>
      </c>
      <c r="W234" s="52">
        <f>IFERROR(IF(INDEX('Indigenous'!$M$10:$M$11,MATCH($F234,'Indigenous'!$B$10:$B$11,0))="","Cell will autofill based on response",INDEX('Indigenous'!$M$10:$M$11,MATCH($F234,'Indigenous'!$B$10:$B$11,0))),"N/A")</f>
        <v/>
      </c>
      <c r="X234" s="52">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2">
        <f>IFERROR(IF(INDEX('Faculties'!$N$10:$N$19,MATCH($F235,'Faculties'!$B$10:$B$19,0))="","Cell will autofill based on response",INDEX('Faculties'!$N$10:$N$19,MATCH($F235,'Faculties'!$B$10:$B$19,0))),"N/A")</f>
        <v/>
      </c>
      <c r="I235" s="52">
        <f>IFERROR(IF(INDEX('Faculties'!$N$26:$N$35,MATCH($F235,'Faculties'!$B$26:$B$35,0))="","Cell will autofill based on response",INDEX('Faculties'!$N$26:$N$35,MATCH($F235,'Faculties'!$B$26:$B$35,0))),"N/A")</f>
        <v/>
      </c>
      <c r="J235" s="52">
        <f>IFERROR(IF(INDEX('Faculties'!$N$42:$N$51,MATCH($F235,'Faculties'!$B$42:$B$51,0))="","Cell will autofill based on response",INDEX('Faculties'!$N$42:$N$51,MATCH($F235,'Faculties'!$B$42:$B$51,0))),"N/A")</f>
        <v/>
      </c>
      <c r="K235" s="52">
        <f>IFERROR(IF(INDEX('Faculties'!$N$58:$N$67,MATCH($F235,'Faculties'!$B$58:$B$67,0))="","Cell will autofill based on response",INDEX('Faculties'!$N$58:$N$67,MATCH($F235,'Faculties'!$B$58:$B$67,0))),"N/A")</f>
        <v/>
      </c>
      <c r="L235" s="52">
        <f>IFERROR(IF(INDEX('CI&amp;S'!$N$10:$N$15,MATCH($F235,'CI&amp;S'!$B$10:$B$15,0))="","Cell will autofill based on response",INDEX('CI&amp;S'!$N$10:$N$15,MATCH($F235,'CI&amp;S'!$B$10:$B$15,0))),"N/A")</f>
        <v/>
      </c>
      <c r="M235" s="52">
        <f>IFERROR(IF(INDEX('CI&amp;S'!$N$22:$N$36,MATCH($F235,'CI&amp;S'!$B$22:$B$36,0))="","Cell will autofill based on response",INDEX('CI&amp;S'!$N$22:$N$36,MATCH($F235,'CI&amp;S'!$B$22:$B$36,0))),"N/A")</f>
        <v/>
      </c>
      <c r="N235" s="52">
        <f>IFERROR(IF(INDEX('CFOG'!$N$10:$N$16,MATCH($F235,'CFOG'!$B$10:$B$16,0))="","Cell will autofill based on response",INDEX('CFOG'!$N$10:$N$16,MATCH($F235,'CFOG'!$B$10:$B$16,0))),"N/A")</f>
        <v/>
      </c>
      <c r="O235" s="52">
        <f>IFERROR(IF(INDEX('CFOG'!$N$23:$N$24,MATCH($F235,'CFOG'!$B$23:$B$24,0))="","Cell will autofill based on response",INDEX('CFOG'!$N$23:$N$24,MATCH($F235,'CFOG'!$B$23:$B$24,0))),"N/A")</f>
        <v/>
      </c>
      <c r="P235" s="52">
        <f>IFERROR(IF(INDEX('ESG'!$N$10:$N$17,MATCH($F235,'ESG'!$B$10:$B$17,0))="","Cell will autofill based on response",INDEX('ESG'!$N$10:$N$17,MATCH($F235,'ESG'!$B$10:$B$17,0))),"N/A")</f>
        <v/>
      </c>
      <c r="Q235" s="52">
        <f>IFERROR(IF(INDEX('CIOG'!$N$10:$N$14,MATCH($F235,'CIOG'!$B$10:$B$14,0))="","Cell will autofill based on response",INDEX('CIOG'!$N$10:$N$14,MATCH($F235,'CIOG'!$B$10:$B$14,0))),"N/A")</f>
        <v/>
      </c>
      <c r="R235" s="52">
        <f>IFERROR(IF(INDEX('MRE'!$N$10:$N$18,MATCH($F235,'MRE'!$B$10:$B$18,0))="","Cell will autofill based on response",INDEX('MRE'!$N$10:$N$18,MATCH($F235,'MRE'!$B$10:$B$18,0))),"N/A")</f>
        <v/>
      </c>
      <c r="S235" s="52">
        <f>IFERROR(IF(INDEX('AC&amp;M'!$N$10:$N$14,MATCH($F235,'AC&amp;M'!$B$10:$B$14,0))="","Cell will autofill based on response",INDEX('AC&amp;M'!$N$10:$N$14,MATCH($F235,'AC&amp;M'!$B$10:$B$14,0))),"N/A")</f>
        <v/>
      </c>
      <c r="T235" s="52">
        <f>IFERROR(IF(INDEX('GCE'!$N$10:$N$12,MATCH($F235,'GCE'!$B$10:$B$12,0))="","Cell will autofill based on response",INDEX('GCE'!$N$10:$N$12,MATCH($F235,'GCE'!$B$10:$B$12,0))),"N/A")</f>
        <v/>
      </c>
      <c r="U235" s="52">
        <f>IFERROR(IF(INDEX('Education'!$N$10:$N$13,MATCH($F235,'Education'!$B$10:$B$13,0))="","Cell will autofill based on response",INDEX('Education'!$N$10:$N$13,MATCH($F235,'Education'!$B$10:$B$13,0))),"N/A")</f>
        <v/>
      </c>
      <c r="V235" s="52">
        <f>IFERROR(IF(INDEX('SaSS'!$N$10:$N$12,MATCH($F235,'SaSS'!$B$10:$B$12,0))="","Cell will autofill based on response",INDEX('SaSS'!$N$10:$N$12,MATCH($F235,'SaSS'!$B$10:$B$12,0))),"N/A")</f>
        <v/>
      </c>
      <c r="W235" s="52">
        <f>IFERROR(IF(INDEX('Indigenous'!$N$10:$N$11,MATCH($F235,'Indigenous'!$B$10:$B$11,0))="","Cell will autofill based on response",INDEX('Indigenous'!$N$10:$N$11,MATCH($F235,'Indigenous'!$B$10:$B$11,0))),"N/A")</f>
        <v/>
      </c>
      <c r="X235" s="52">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2">
        <f>IFERROR(IF(INDEX('Faculties'!$O$10:$O$19,MATCH($F236,'Faculties'!$B$10:$B$19,0))="","Cell will autofill based on response",INDEX('Faculties'!$O$10:$O$19,MATCH($F236,'Faculties'!$B$10:$B$19,0))),"N/A")</f>
        <v/>
      </c>
      <c r="I236" s="52">
        <f>IFERROR(IF(INDEX('Faculties'!$O$26:$O$35,MATCH($F236,'Faculties'!$B$26:$B$35,0))="","Cell will autofill based on response",INDEX('Faculties'!$O$26:$O$35,MATCH($F236,'Faculties'!$B$26:$B$35,0))),"N/A")</f>
        <v/>
      </c>
      <c r="J236" s="52">
        <f>IFERROR(IF(INDEX('Faculties'!$O$42:$O$51,MATCH($F236,'Faculties'!$B$42:$B$51,0))="","Cell will autofill based on response",INDEX('Faculties'!$O$42:$O$51,MATCH($F236,'Faculties'!$B$42:$B$51,0))),"N/A")</f>
        <v/>
      </c>
      <c r="K236" s="52">
        <f>IFERROR(IF(INDEX('Faculties'!$O$58:$O$67,MATCH($F236,'Faculties'!$B$58:$B$67,0))="","Cell will autofill based on response",INDEX('Faculties'!$O$58:$O$67,MATCH($F236,'Faculties'!$B$58:$B$67,0))),"N/A")</f>
        <v/>
      </c>
      <c r="L236" s="52">
        <f>IFERROR(IF(INDEX('CI&amp;S'!$O$10:$O$15,MATCH($F236,'CI&amp;S'!$B$10:$B$15,0))="","Cell will autofill based on response",INDEX('CI&amp;S'!$O$10:$O$15,MATCH($F236,'CI&amp;S'!$B$10:$B$15,0))),"N/A")</f>
        <v/>
      </c>
      <c r="M236" s="52">
        <f>IFERROR(IF(INDEX('CI&amp;S'!$O$22:$O$36,MATCH($F236,'CI&amp;S'!$B$22:$B$36,0))="","Cell will autofill based on response",INDEX('CI&amp;S'!$O$22:$O$36,MATCH($F236,'CI&amp;S'!$B$22:$B$36,0))),"N/A")</f>
        <v/>
      </c>
      <c r="N236" s="52">
        <f>IFERROR(IF(INDEX('CFOG'!$O$10:$O$16,MATCH($F236,'CFOG'!$B$10:$B$16,0))="","Cell will autofill based on response",INDEX('CFOG'!$O$10:$O$16,MATCH($F236,'CFOG'!$B$10:$B$16,0))),"N/A")</f>
        <v/>
      </c>
      <c r="O236" s="52">
        <f>IFERROR(IF(INDEX('CFOG'!$O$23:$O$24,MATCH($F236,'CFOG'!$B$23:$B$24,0))="","Cell will autofill based on response",INDEX('CFOG'!$O$23:$O$24,MATCH($F236,'CFOG'!$B$23:$B$24,0))),"N/A")</f>
        <v/>
      </c>
      <c r="P236" s="52">
        <f>IFERROR(IF(INDEX('ESG'!$O$10:$O$17,MATCH($F236,'ESG'!$B$10:$B$17,0))="","Cell will autofill based on response",INDEX('ESG'!$O$10:$O$17,MATCH($F236,'ESG'!$B$10:$B$17,0))),"N/A")</f>
        <v/>
      </c>
      <c r="Q236" s="52">
        <f>IFERROR(IF(INDEX('CIOG'!$O$10:$O$14,MATCH($F236,'CIOG'!$B$10:$B$14,0))="","Cell will autofill based on response",INDEX('CIOG'!$O$10:$O$14,MATCH($F236,'CIOG'!$B$10:$B$14,0))),"N/A")</f>
        <v/>
      </c>
      <c r="R236" s="52">
        <f>IFERROR(IF(INDEX('MRE'!$O$10:$O$18,MATCH($F236,'MRE'!$B$10:$B$18,0))="","Cell will autofill based on response",INDEX('MRE'!$O$10:$O$18,MATCH($F236,'MRE'!$B$10:$B$18,0))),"N/A")</f>
        <v/>
      </c>
      <c r="S236" s="52">
        <f>IFERROR(IF(INDEX('AC&amp;M'!$O$10:$O$14,MATCH($F236,'AC&amp;M'!$B$10:$B$14,0))="","Cell will autofill based on response",INDEX('AC&amp;M'!$O$10:$O$14,MATCH($F236,'AC&amp;M'!$B$10:$B$14,0))),"N/A")</f>
        <v/>
      </c>
      <c r="T236" s="52">
        <f>IFERROR(IF(INDEX('GCE'!$O$10:$O$12,MATCH($F236,'GCE'!$B$10:$B$12,0))="","Cell will autofill based on response",INDEX('GCE'!$O$10:$O$12,MATCH($F236,'GCE'!$B$10:$B$12,0))),"N/A")</f>
        <v/>
      </c>
      <c r="U236" s="52">
        <f>IFERROR(IF(INDEX('Education'!$O$10:$O$13,MATCH($F236,'Education'!$B$10:$B$13,0))="","Cell will autofill based on response",INDEX('Education'!$O$10:$O$13,MATCH($F236,'Education'!$B$10:$B$13,0))),"N/A")</f>
        <v/>
      </c>
      <c r="V236" s="52">
        <f>IFERROR(IF(INDEX('SaSS'!$O$10:$O$12,MATCH($F236,'SaSS'!$B$10:$B$12,0))="","Cell will autofill based on response",INDEX('SaSS'!$O$10:$O$12,MATCH($F236,'SaSS'!$B$10:$B$12,0))),"N/A")</f>
        <v/>
      </c>
      <c r="W236" s="52">
        <f>IFERROR(IF(INDEX('Indigenous'!$O$10:$O$11,MATCH($F236,'Indigenous'!$B$10:$B$11,0))="","Cell will autofill based on response",INDEX('Indigenous'!$O$10:$O$11,MATCH($F236,'Indigenous'!$B$10:$B$11,0))),"N/A")</f>
        <v/>
      </c>
      <c r="X236" s="52">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2">
        <f>IFERROR(IF(INDEX('Faculties'!$P$10:$P$19,MATCH($F237,'Faculties'!$B$10:$B$19,0))="","Cell will autofill based on response",INDEX('Faculties'!$P$10:$P$19,MATCH($F237,'Faculties'!$B$10:$B$19,0))),"N/A")</f>
        <v/>
      </c>
      <c r="I237" s="52">
        <f>IFERROR(IF(INDEX('Faculties'!$P$26:$P$35,MATCH($F237,'Faculties'!$B$26:$B$35,0))="","Cell will autofill based on response",INDEX('Faculties'!$P$26:$P$35,MATCH($F237,'Faculties'!$B$26:$B$35,0))),"N/A")</f>
        <v/>
      </c>
      <c r="J237" s="52">
        <f>IFERROR(IF(INDEX('Faculties'!$P$42:$P$51,MATCH($F237,'Faculties'!$B$42:$B$51,0))="","Cell will autofill based on response",INDEX('Faculties'!$P$42:$P$51,MATCH($F237,'Faculties'!$B$42:$B$51,0))),"N/A")</f>
        <v/>
      </c>
      <c r="K237" s="52">
        <f>IFERROR(IF(INDEX('Faculties'!$P$58:$P$67,MATCH($F237,'Faculties'!$B$58:$B$67,0))="","Cell will autofill based on response",INDEX('Faculties'!$P$58:$P$67,MATCH($F237,'Faculties'!$B$58:$B$67,0))),"N/A")</f>
        <v/>
      </c>
      <c r="L237" s="52">
        <f>IFERROR(IF(INDEX('CI&amp;S'!$P$10:$P$15,MATCH($F237,'CI&amp;S'!$B$10:$B$15,0))="","Cell will autofill based on response",INDEX('CI&amp;S'!$P$10:$P$15,MATCH($F237,'CI&amp;S'!$B$10:$B$15,0))),"N/A")</f>
        <v/>
      </c>
      <c r="M237" s="52">
        <f>IFERROR(IF(INDEX('CI&amp;S'!$P$22:$P$36,MATCH($F237,'CI&amp;S'!$B$22:$B$36,0))="","Cell will autofill based on response",INDEX('CI&amp;S'!$P$22:$P$36,MATCH($F237,'CI&amp;S'!$B$22:$B$36,0))),"N/A")</f>
        <v/>
      </c>
      <c r="N237" s="52">
        <f>IFERROR(IF(INDEX('CFOG'!$P$10:$P$16,MATCH($F237,'CFOG'!$B$10:$B$16,0))="","Cell will autofill based on response",INDEX('CFOG'!$P$10:$P$16,MATCH($F237,'CFOG'!$B$10:$B$16,0))),"N/A")</f>
        <v/>
      </c>
      <c r="O237" s="52">
        <f>IFERROR(IF(INDEX('CFOG'!$P$23:$P$24,MATCH($F237,'CFOG'!$B$23:$B$24,0))="","Cell will autofill based on response",INDEX('CFOG'!$P$23:$P$24,MATCH($F237,'CFOG'!$B$23:$B$24,0))),"N/A")</f>
        <v/>
      </c>
      <c r="P237" s="52">
        <f>IFERROR(IF(INDEX('ESG'!$P$10:$P$17,MATCH($F237,'ESG'!$B$10:$B$17,0))="","Cell will autofill based on response",INDEX('ESG'!$P$10:$P$17,MATCH($F237,'ESG'!$B$10:$B$17,0))),"N/A")</f>
        <v/>
      </c>
      <c r="Q237" s="52">
        <f>IFERROR(IF(INDEX('CIOG'!$P$10:$P$14,MATCH($F237,'CIOG'!$B$10:$B$14,0))="","Cell will autofill based on response",INDEX('CIOG'!$P$10:$P$14,MATCH($F237,'CIOG'!$B$10:$B$14,0))),"N/A")</f>
        <v/>
      </c>
      <c r="R237" s="52">
        <f>IFERROR(IF(INDEX('MRE'!$P$10:$P$18,MATCH($F237,'MRE'!$B$10:$B$18,0))="","Cell will autofill based on response",INDEX('MRE'!$P$10:$P$18,MATCH($F237,'MRE'!$B$10:$B$18,0))),"N/A")</f>
        <v/>
      </c>
      <c r="S237" s="52">
        <f>IFERROR(IF(INDEX('AC&amp;M'!$P$10:$P$14,MATCH($F237,'AC&amp;M'!$B$10:$B$14,0))="","Cell will autofill based on response",INDEX('AC&amp;M'!$P$10:$P$14,MATCH($F237,'AC&amp;M'!$B$10:$B$14,0))),"N/A")</f>
        <v/>
      </c>
      <c r="T237" s="52">
        <f>IFERROR(IF(INDEX('GCE'!$P$10:$P$12,MATCH($F237,'GCE'!$B$10:$B$12,0))="","Cell will autofill based on response",INDEX('GCE'!$P$10:$P$12,MATCH($F237,'GCE'!$B$10:$B$12,0))),"N/A")</f>
        <v/>
      </c>
      <c r="U237" s="52">
        <f>IFERROR(IF(INDEX('Education'!$P$10:$P$13,MATCH($F237,'Education'!$B$10:$B$13,0))="","Cell will autofill based on response",INDEX('Education'!$P$10:$P$13,MATCH($F237,'Education'!$B$10:$B$13,0))),"N/A")</f>
        <v/>
      </c>
      <c r="V237" s="52">
        <f>IFERROR(IF(INDEX('SaSS'!$P$10:$P$12,MATCH($F237,'SaSS'!$B$10:$B$12,0))="","Cell will autofill based on response",INDEX('SaSS'!$P$10:$P$12,MATCH($F237,'SaSS'!$B$10:$B$12,0))),"N/A")</f>
        <v/>
      </c>
      <c r="W237" s="52">
        <f>IFERROR(IF(INDEX('Indigenous'!$P$10:$P$11,MATCH($F237,'Indigenous'!$B$10:$B$11,0))="","Cell will autofill based on response",INDEX('Indigenous'!$P$10:$P$11,MATCH($F237,'Indigenous'!$B$10:$B$11,0))),"N/A")</f>
        <v/>
      </c>
      <c r="X237" s="52">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2">
        <f>IFERROR(IF(INDEX('Faculties'!$Q$10:$Q$19,MATCH($F238,'Faculties'!$B$10:$B$19,0))="","Cell will autofill based on response",INDEX('Faculties'!$Q$10:$Q$19,MATCH($F238,'Faculties'!$B$10:$B$19,0))),"N/A")</f>
        <v/>
      </c>
      <c r="I238" s="52">
        <f>IFERROR(IF(INDEX('Faculties'!$Q$26:$Q$35,MATCH($F238,'Faculties'!$B$26:$B$35,0))="","Cell will autofill based on response",INDEX('Faculties'!$Q$26:$Q$35,MATCH($F238,'Faculties'!$B$26:$B$35,0))),"N/A")</f>
        <v/>
      </c>
      <c r="J238" s="52">
        <f>IFERROR(IF(INDEX('Faculties'!$Q$42:$Q$51,MATCH($F238,'Faculties'!$B$42:$B$51,0))="","Cell will autofill based on response",INDEX('Faculties'!$Q$42:$Q$51,MATCH($F238,'Faculties'!$B$42:$B$51,0))),"N/A")</f>
        <v/>
      </c>
      <c r="K238" s="52">
        <f>IFERROR(IF(INDEX('Faculties'!$Q$58:$Q$67,MATCH($F238,'Faculties'!$B$58:$B$67,0))="","Cell will autofill based on response",INDEX('Faculties'!$Q$58:$Q$67,MATCH($F238,'Faculties'!$B$58:$B$67,0))),"N/A")</f>
        <v/>
      </c>
      <c r="L238" s="52">
        <f>IFERROR(IF(INDEX('CI&amp;S'!$Q$10:$Q$15,MATCH($F238,'CI&amp;S'!$B$10:$B$15,0))="","Cell will autofill based on response",INDEX('CI&amp;S'!$Q$10:$Q$15,MATCH($F238,'CI&amp;S'!$B$10:$B$15,0))),"N/A")</f>
        <v/>
      </c>
      <c r="M238" s="52">
        <f>IFERROR(IF(INDEX('CI&amp;S'!$Q$22:$Q$36,MATCH($F238,'CI&amp;S'!$B$22:$B$36,0))="","Cell will autofill based on response",INDEX('CI&amp;S'!$Q$22:$Q$36,MATCH($F238,'CI&amp;S'!$B$22:$B$36,0))),"N/A")</f>
        <v/>
      </c>
      <c r="N238" s="52">
        <f>IFERROR(IF(INDEX('CFOG'!$Q$10:$Q$16,MATCH($F238,'CFOG'!$B$10:$B$16,0))="","Cell will autofill based on response",INDEX('CFOG'!$Q$10:$Q$16,MATCH($F238,'CFOG'!$B$10:$B$16,0))),"N/A")</f>
        <v/>
      </c>
      <c r="O238" s="52">
        <f>IFERROR(IF(INDEX('CFOG'!$Q$23:$Q$24,MATCH($F238,'CFOG'!$B$23:$B$24,0))="","Cell will autofill based on response",INDEX('CFOG'!$Q$23:$Q$24,MATCH($F238,'CFOG'!$B$23:$B$24,0))),"N/A")</f>
        <v/>
      </c>
      <c r="P238" s="52">
        <f>IFERROR(IF(INDEX('ESG'!$Q$10:$Q$17,MATCH($F238,'ESG'!$B$10:$B$17,0))="","Cell will autofill based on response",INDEX('ESG'!$Q$10:$Q$17,MATCH($F238,'ESG'!$B$10:$B$17,0))),"N/A")</f>
        <v/>
      </c>
      <c r="Q238" s="52">
        <f>IFERROR(IF(INDEX('CIOG'!$Q$10:$Q$14,MATCH($F238,'CIOG'!$B$10:$B$14,0))="","Cell will autofill based on response",INDEX('CIOG'!$Q$10:$Q$14,MATCH($F238,'CIOG'!$B$10:$B$14,0))),"N/A")</f>
        <v/>
      </c>
      <c r="R238" s="52">
        <f>IFERROR(IF(INDEX('MRE'!$Q$10:$Q$18,MATCH($F238,'MRE'!$B$10:$B$18,0))="","Cell will autofill based on response",INDEX('MRE'!$Q$10:$Q$18,MATCH($F238,'MRE'!$B$10:$B$18,0))),"N/A")</f>
        <v/>
      </c>
      <c r="S238" s="52">
        <f>IFERROR(IF(INDEX('AC&amp;M'!$Q$10:$Q$14,MATCH($F238,'AC&amp;M'!$B$10:$B$14,0))="","Cell will autofill based on response",INDEX('AC&amp;M'!$Q$10:$Q$14,MATCH($F238,'AC&amp;M'!$B$10:$B$14,0))),"N/A")</f>
        <v/>
      </c>
      <c r="T238" s="52">
        <f>IFERROR(IF(INDEX('GCE'!$Q$10:$Q$12,MATCH($F238,'GCE'!$B$10:$B$12,0))="","Cell will autofill based on response",INDEX('GCE'!$Q$10:$Q$12,MATCH($F238,'GCE'!$B$10:$B$12,0))),"N/A")</f>
        <v/>
      </c>
      <c r="U238" s="52">
        <f>IFERROR(IF(INDEX('Education'!$Q$10:$Q$13,MATCH($F238,'Education'!$B$10:$B$13,0))="","Cell will autofill based on response",INDEX('Education'!$Q$10:$Q$13,MATCH($F238,'Education'!$B$10:$B$13,0))),"N/A")</f>
        <v/>
      </c>
      <c r="V238" s="52">
        <f>IFERROR(IF(INDEX('SaSS'!$Q$10:$Q$12,MATCH($F238,'SaSS'!$B$10:$B$12,0))="","Cell will autofill based on response",INDEX('SaSS'!$Q$10:$Q$12,MATCH($F238,'SaSS'!$B$10:$B$12,0))),"N/A")</f>
        <v/>
      </c>
      <c r="W238" s="52">
        <f>IFERROR(IF(INDEX('Indigenous'!$Q$10:$Q$11,MATCH($F238,'Indigenous'!$B$10:$B$11,0))="","Cell will autofill based on response",INDEX('Indigenous'!$Q$10:$Q$11,MATCH($F238,'Indigenous'!$B$10:$B$11,0))),"N/A")</f>
        <v/>
      </c>
      <c r="X238" s="52">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0" t="inlineStr">
        <is>
          <t>Evidence of innovative approaches to sustainability teaching and learning</t>
        </is>
      </c>
      <c r="D8" s="55" t="inlineStr">
        <is>
          <t>Unit</t>
        </is>
      </c>
      <c r="E8" s="55" t="inlineStr">
        <is>
          <t>ABP</t>
        </is>
      </c>
      <c r="F8" s="55" t="inlineStr">
        <is>
          <t>ARTS</t>
        </is>
      </c>
      <c r="G8" s="55" t="inlineStr">
        <is>
          <t>FBE</t>
        </is>
      </c>
      <c r="H8" s="55" t="inlineStr">
        <is>
          <t>SCI</t>
        </is>
      </c>
      <c r="I8" s="55" t="inlineStr">
        <is>
          <t>CI&amp;S – Sustainability Strategy</t>
        </is>
      </c>
      <c r="J8" s="55" t="inlineStr">
        <is>
          <t>Education – Chancellery Education</t>
        </is>
      </c>
      <c r="P8" s="56">
        <f>'A1. Data scoring'!AH11</f>
        <v/>
      </c>
      <c r="Q8" s="56">
        <f>'A1. Data scoring'!AK11</f>
        <v/>
      </c>
      <c r="R8" s="8" t="n"/>
    </row>
    <row r="9" ht="18" customHeight="1">
      <c r="B9" s="57" t="inlineStr">
        <is>
          <t>EE1(a)</t>
        </is>
      </c>
      <c r="D9" s="13" t="inlineStr">
        <is>
          <t>Confirm end-2026 target status</t>
        </is>
      </c>
      <c r="E9" s="58">
        <f>'A1. Data scoring'!H11</f>
        <v/>
      </c>
      <c r="F9" s="58">
        <f>'A1. Data scoring'!I11</f>
        <v/>
      </c>
      <c r="G9" s="58">
        <f>'A1. Data scoring'!J11</f>
        <v/>
      </c>
      <c r="H9" s="58">
        <f>'A1. Data scoring'!K11</f>
        <v/>
      </c>
      <c r="I9" s="58">
        <f>'A1. Data scoring'!M11</f>
        <v/>
      </c>
      <c r="J9" s="58">
        <f>'A1. Data scoring'!U11</f>
        <v/>
      </c>
      <c r="R9" s="59" t="n"/>
    </row>
    <row r="10" ht="60" customHeight="1">
      <c r="B10" s="57" t="inlineStr">
        <is>
          <t>EE1(a)</t>
        </is>
      </c>
      <c r="D10" s="13" t="inlineStr">
        <is>
          <t>OPTION 1:  Target-level reporting</t>
        </is>
      </c>
      <c r="E10" s="58">
        <f>'A1. Data scoring'!H12</f>
        <v/>
      </c>
      <c r="F10" s="58">
        <f>'A1. Data scoring'!I12</f>
        <v/>
      </c>
      <c r="G10" s="58">
        <f>'A1. Data scoring'!J12</f>
        <v/>
      </c>
      <c r="H10" s="58">
        <f>'A1. Data scoring'!K12</f>
        <v/>
      </c>
      <c r="I10" s="58">
        <f>'A1. Data scoring'!M12</f>
        <v/>
      </c>
      <c r="J10" s="58">
        <f>'A1. Data scoring'!U12</f>
        <v/>
      </c>
      <c r="R10" s="59" t="n"/>
    </row>
    <row r="11" ht="60" customHeight="1">
      <c r="B11" s="57" t="inlineStr">
        <is>
          <t>EE1(a)</t>
        </is>
      </c>
      <c r="D11" s="13" t="inlineStr">
        <is>
          <t>OPTION 2:  Indicator level reporting</t>
        </is>
      </c>
      <c r="E11" s="58">
        <f>'A1. Data scoring'!H13</f>
        <v/>
      </c>
      <c r="F11" s="58">
        <f>'A1. Data scoring'!I13</f>
        <v/>
      </c>
      <c r="G11" s="58">
        <f>'A1. Data scoring'!J13</f>
        <v/>
      </c>
      <c r="H11" s="58">
        <f>'A1. Data scoring'!K13</f>
        <v/>
      </c>
      <c r="I11" s="58">
        <f>'A1. Data scoring'!M13</f>
        <v/>
      </c>
      <c r="J11" s="58">
        <f>'A1. Data scoring'!U13</f>
        <v/>
      </c>
      <c r="R11" s="59" t="n"/>
    </row>
    <row r="12" ht="18" customHeight="1">
      <c r="B12" s="57" t="inlineStr">
        <is>
          <t>EE1(a)</t>
        </is>
      </c>
      <c r="D12" s="13" t="inlineStr">
        <is>
          <t>Supporting information/comments</t>
        </is>
      </c>
      <c r="E12" s="58">
        <f>'A1. Data scoring'!H14</f>
        <v/>
      </c>
      <c r="F12" s="58">
        <f>'A1. Data scoring'!I14</f>
        <v/>
      </c>
      <c r="G12" s="58">
        <f>'A1. Data scoring'!J14</f>
        <v/>
      </c>
      <c r="H12" s="58">
        <f>'A1. Data scoring'!K14</f>
        <v/>
      </c>
      <c r="I12" s="58">
        <f>'A1. Data scoring'!M14</f>
        <v/>
      </c>
      <c r="J12" s="58">
        <f>'A1. Data scoring'!U14</f>
        <v/>
      </c>
      <c r="R12" s="59" t="n"/>
    </row>
    <row r="13" ht="18" customHeight="1">
      <c r="B13" s="57" t="inlineStr">
        <is>
          <t>EE1(a)</t>
        </is>
      </c>
      <c r="D13" s="13" t="inlineStr">
        <is>
          <t>Data source and limitations</t>
        </is>
      </c>
      <c r="E13" s="58">
        <f>'A1. Data scoring'!H15</f>
        <v/>
      </c>
      <c r="F13" s="58">
        <f>'A1. Data scoring'!I15</f>
        <v/>
      </c>
      <c r="G13" s="58">
        <f>'A1. Data scoring'!J15</f>
        <v/>
      </c>
      <c r="H13" s="58">
        <f>'A1. Data scoring'!K15</f>
        <v/>
      </c>
      <c r="I13" s="58">
        <f>'A1. Data scoring'!M15</f>
        <v/>
      </c>
      <c r="J13" s="58">
        <f>'A1. Data scoring'!U15</f>
        <v/>
      </c>
      <c r="R13" s="59" t="n"/>
    </row>
    <row r="14" ht="18" customHeight="1">
      <c r="B14" s="57" t="inlineStr">
        <is>
          <t>EE1(a)</t>
        </is>
      </c>
      <c r="D14" s="13" t="inlineStr">
        <is>
          <t>Data owner confirms</t>
        </is>
      </c>
      <c r="E14" s="58">
        <f>'A1. Data scoring'!H16</f>
        <v/>
      </c>
      <c r="F14" s="58">
        <f>'A1. Data scoring'!I16</f>
        <v/>
      </c>
      <c r="G14" s="58">
        <f>'A1. Data scoring'!J16</f>
        <v/>
      </c>
      <c r="H14" s="58">
        <f>'A1. Data scoring'!K16</f>
        <v/>
      </c>
      <c r="I14" s="58">
        <f>'A1. Data scoring'!M16</f>
        <v/>
      </c>
      <c r="J14" s="58">
        <f>'A1. Data scoring'!U16</f>
        <v/>
      </c>
      <c r="R14" s="60" t="n"/>
    </row>
    <row r="16">
      <c r="B16" s="7" t="inlineStr">
        <is>
          <t>EE1(b)</t>
        </is>
      </c>
      <c r="C16" s="50" t="inlineStr">
        <is>
          <t>Pilots of possible approaches for understanding and developing students’ sustainability self-efficacy</t>
        </is>
      </c>
      <c r="D16" s="55" t="inlineStr">
        <is>
          <t>Unit</t>
        </is>
      </c>
      <c r="E16" s="55" t="inlineStr">
        <is>
          <t>ABP</t>
        </is>
      </c>
      <c r="F16" s="55" t="inlineStr">
        <is>
          <t>ARTS</t>
        </is>
      </c>
      <c r="G16" s="55" t="inlineStr">
        <is>
          <t>FBE</t>
        </is>
      </c>
      <c r="H16" s="55" t="inlineStr">
        <is>
          <t>SCI</t>
        </is>
      </c>
      <c r="I16" s="55" t="inlineStr">
        <is>
          <t>CI&amp;S – Sustainability Strategy</t>
        </is>
      </c>
      <c r="J16" s="55" t="inlineStr">
        <is>
          <t>Education – Chancellery Education</t>
        </is>
      </c>
      <c r="P16" s="56">
        <f>'A1. Data scoring'!AH17</f>
        <v/>
      </c>
      <c r="Q16" s="56">
        <f>'A1. Data scoring'!AK17</f>
        <v/>
      </c>
      <c r="R16" s="8" t="n"/>
    </row>
    <row r="17" ht="18" customHeight="1">
      <c r="B17" s="57" t="inlineStr">
        <is>
          <t>EE1(b)</t>
        </is>
      </c>
      <c r="D17" s="13" t="inlineStr">
        <is>
          <t>Confirm end-2026 target status</t>
        </is>
      </c>
      <c r="E17" s="58">
        <f>'A1. Data scoring'!H17</f>
        <v/>
      </c>
      <c r="F17" s="58">
        <f>'A1. Data scoring'!I17</f>
        <v/>
      </c>
      <c r="G17" s="58">
        <f>'A1. Data scoring'!J17</f>
        <v/>
      </c>
      <c r="H17" s="58">
        <f>'A1. Data scoring'!K17</f>
        <v/>
      </c>
      <c r="I17" s="58">
        <f>'A1. Data scoring'!M17</f>
        <v/>
      </c>
      <c r="J17" s="58">
        <f>'A1. Data scoring'!U17</f>
        <v/>
      </c>
      <c r="R17" s="59" t="n"/>
    </row>
    <row r="18" ht="60" customHeight="1">
      <c r="B18" s="57" t="inlineStr">
        <is>
          <t>EE1(b)</t>
        </is>
      </c>
      <c r="D18" s="13" t="inlineStr">
        <is>
          <t>OPTION 1:  Target-level reporting</t>
        </is>
      </c>
      <c r="E18" s="58">
        <f>'A1. Data scoring'!H18</f>
        <v/>
      </c>
      <c r="F18" s="58">
        <f>'A1. Data scoring'!I18</f>
        <v/>
      </c>
      <c r="G18" s="58">
        <f>'A1. Data scoring'!J18</f>
        <v/>
      </c>
      <c r="H18" s="58">
        <f>'A1. Data scoring'!K18</f>
        <v/>
      </c>
      <c r="I18" s="58">
        <f>'A1. Data scoring'!M18</f>
        <v/>
      </c>
      <c r="J18" s="58">
        <f>'A1. Data scoring'!U18</f>
        <v/>
      </c>
      <c r="R18" s="59" t="n"/>
    </row>
    <row r="19" ht="60" customHeight="1">
      <c r="B19" s="57" t="inlineStr">
        <is>
          <t>EE1(b)</t>
        </is>
      </c>
      <c r="D19" s="13" t="inlineStr">
        <is>
          <t>OPTION 2:  Indicator level reporting</t>
        </is>
      </c>
      <c r="E19" s="58">
        <f>'A1. Data scoring'!H19</f>
        <v/>
      </c>
      <c r="F19" s="58">
        <f>'A1. Data scoring'!I19</f>
        <v/>
      </c>
      <c r="G19" s="58">
        <f>'A1. Data scoring'!J19</f>
        <v/>
      </c>
      <c r="H19" s="58">
        <f>'A1. Data scoring'!K19</f>
        <v/>
      </c>
      <c r="I19" s="58">
        <f>'A1. Data scoring'!M19</f>
        <v/>
      </c>
      <c r="J19" s="58">
        <f>'A1. Data scoring'!U19</f>
        <v/>
      </c>
      <c r="R19" s="59" t="n"/>
    </row>
    <row r="20" ht="18" customHeight="1">
      <c r="B20" s="57" t="inlineStr">
        <is>
          <t>EE1(b)</t>
        </is>
      </c>
      <c r="D20" s="13" t="inlineStr">
        <is>
          <t>Supporting information/comments</t>
        </is>
      </c>
      <c r="E20" s="58">
        <f>'A1. Data scoring'!H20</f>
        <v/>
      </c>
      <c r="F20" s="58">
        <f>'A1. Data scoring'!I20</f>
        <v/>
      </c>
      <c r="G20" s="58">
        <f>'A1. Data scoring'!J20</f>
        <v/>
      </c>
      <c r="H20" s="58">
        <f>'A1. Data scoring'!K20</f>
        <v/>
      </c>
      <c r="I20" s="58">
        <f>'A1. Data scoring'!M20</f>
        <v/>
      </c>
      <c r="J20" s="58">
        <f>'A1. Data scoring'!U20</f>
        <v/>
      </c>
      <c r="R20" s="59" t="n"/>
    </row>
    <row r="21" ht="18" customHeight="1">
      <c r="B21" s="57" t="inlineStr">
        <is>
          <t>EE1(b)</t>
        </is>
      </c>
      <c r="D21" s="13" t="inlineStr">
        <is>
          <t>Data source and limitations</t>
        </is>
      </c>
      <c r="E21" s="58">
        <f>'A1. Data scoring'!H21</f>
        <v/>
      </c>
      <c r="F21" s="58">
        <f>'A1. Data scoring'!I21</f>
        <v/>
      </c>
      <c r="G21" s="58">
        <f>'A1. Data scoring'!J21</f>
        <v/>
      </c>
      <c r="H21" s="58">
        <f>'A1. Data scoring'!K21</f>
        <v/>
      </c>
      <c r="I21" s="58">
        <f>'A1. Data scoring'!M21</f>
        <v/>
      </c>
      <c r="J21" s="58">
        <f>'A1. Data scoring'!U21</f>
        <v/>
      </c>
      <c r="R21" s="59" t="n"/>
    </row>
    <row r="22" ht="18" customHeight="1">
      <c r="B22" s="57" t="inlineStr">
        <is>
          <t>EE1(b)</t>
        </is>
      </c>
      <c r="D22" s="13" t="inlineStr">
        <is>
          <t>Data owner confirms</t>
        </is>
      </c>
      <c r="E22" s="58">
        <f>'A1. Data scoring'!H22</f>
        <v/>
      </c>
      <c r="F22" s="58">
        <f>'A1. Data scoring'!I22</f>
        <v/>
      </c>
      <c r="G22" s="58">
        <f>'A1. Data scoring'!J22</f>
        <v/>
      </c>
      <c r="H22" s="58">
        <f>'A1. Data scoring'!K22</f>
        <v/>
      </c>
      <c r="I22" s="58">
        <f>'A1. Data scoring'!M22</f>
        <v/>
      </c>
      <c r="J22" s="58">
        <f>'A1. Data scoring'!U22</f>
        <v/>
      </c>
      <c r="R22" s="60" t="n"/>
    </row>
    <row r="24">
      <c r="B24" s="7" t="inlineStr">
        <is>
          <t>EE1(c)</t>
        </is>
      </c>
      <c r="C24" s="50" t="inlineStr">
        <is>
          <t>Evidence of sustainability focused experiential and co curricular learning (eg Wattle Fellowship; Melbourne Plus)</t>
        </is>
      </c>
      <c r="D24" s="55" t="inlineStr">
        <is>
          <t>Unit</t>
        </is>
      </c>
      <c r="E24" s="55" t="inlineStr">
        <is>
          <t>CI&amp;S – Sustainability Strategy</t>
        </is>
      </c>
      <c r="F24" s="55" t="inlineStr">
        <is>
          <t>SaSS – Student and Scholarly Services</t>
        </is>
      </c>
      <c r="P24" s="56">
        <f>'A1. Data scoring'!AH23</f>
        <v/>
      </c>
      <c r="Q24" s="56">
        <f>'A1. Data scoring'!AK23</f>
        <v/>
      </c>
      <c r="R24" s="8" t="inlineStr">
        <is>
          <t>Faculties answer this indicator in their EE1(a) response (merged question) – review both.</t>
        </is>
      </c>
    </row>
    <row r="25" ht="18" customHeight="1">
      <c r="B25" s="57" t="inlineStr">
        <is>
          <t>EE1(c)</t>
        </is>
      </c>
      <c r="D25" s="13" t="inlineStr">
        <is>
          <t>Confirm end-2026 target status</t>
        </is>
      </c>
      <c r="E25" s="58">
        <f>'A1. Data scoring'!M23</f>
        <v/>
      </c>
      <c r="F25" s="58">
        <f>'A1. Data scoring'!V23</f>
        <v/>
      </c>
      <c r="R25" s="59" t="n"/>
    </row>
    <row r="26" ht="60" customHeight="1">
      <c r="B26" s="57" t="inlineStr">
        <is>
          <t>EE1(c)</t>
        </is>
      </c>
      <c r="D26" s="13" t="inlineStr">
        <is>
          <t>OPTION 1:  Target-level reporting</t>
        </is>
      </c>
      <c r="E26" s="58">
        <f>'A1. Data scoring'!M24</f>
        <v/>
      </c>
      <c r="F26" s="58">
        <f>'A1. Data scoring'!V24</f>
        <v/>
      </c>
      <c r="R26" s="59" t="n"/>
    </row>
    <row r="27" ht="60" customHeight="1">
      <c r="B27" s="57" t="inlineStr">
        <is>
          <t>EE1(c)</t>
        </is>
      </c>
      <c r="D27" s="13" t="inlineStr">
        <is>
          <t>OPTION 2:  Indicator level reporting</t>
        </is>
      </c>
      <c r="E27" s="58">
        <f>'A1. Data scoring'!M25</f>
        <v/>
      </c>
      <c r="F27" s="58">
        <f>'A1. Data scoring'!V25</f>
        <v/>
      </c>
      <c r="R27" s="59" t="n"/>
    </row>
    <row r="28" ht="18" customHeight="1">
      <c r="B28" s="57" t="inlineStr">
        <is>
          <t>EE1(c)</t>
        </is>
      </c>
      <c r="D28" s="13" t="inlineStr">
        <is>
          <t>Supporting information/comments</t>
        </is>
      </c>
      <c r="E28" s="58">
        <f>'A1. Data scoring'!M26</f>
        <v/>
      </c>
      <c r="F28" s="58">
        <f>'A1. Data scoring'!V26</f>
        <v/>
      </c>
      <c r="R28" s="59" t="n"/>
    </row>
    <row r="29" ht="18" customHeight="1">
      <c r="B29" s="57" t="inlineStr">
        <is>
          <t>EE1(c)</t>
        </is>
      </c>
      <c r="D29" s="13" t="inlineStr">
        <is>
          <t>Data source and limitations</t>
        </is>
      </c>
      <c r="E29" s="58">
        <f>'A1. Data scoring'!M27</f>
        <v/>
      </c>
      <c r="F29" s="58">
        <f>'A1. Data scoring'!V27</f>
        <v/>
      </c>
      <c r="R29" s="59" t="n"/>
    </row>
    <row r="30" ht="18" customHeight="1">
      <c r="B30" s="57" t="inlineStr">
        <is>
          <t>EE1(c)</t>
        </is>
      </c>
      <c r="D30" s="13" t="inlineStr">
        <is>
          <t>Data owner confirms</t>
        </is>
      </c>
      <c r="E30" s="58">
        <f>'A1. Data scoring'!M28</f>
        <v/>
      </c>
      <c r="F30" s="58">
        <f>'A1. Data scoring'!V28</f>
        <v/>
      </c>
      <c r="R30" s="60" t="n"/>
    </row>
    <row r="32">
      <c r="B32" s="7" t="inlineStr">
        <is>
          <t>EE1(d)</t>
        </is>
      </c>
      <c r="C32" s="50" t="inlineStr">
        <is>
          <t>Alumni profiles demonstrating how graduates contribute to sustainability through their careers or communities.</t>
        </is>
      </c>
      <c r="D32" s="55" t="inlineStr">
        <is>
          <t>Unit</t>
        </is>
      </c>
      <c r="E32" s="55" t="inlineStr">
        <is>
          <t>SaSS – Student and Scholarly Services</t>
        </is>
      </c>
      <c r="P32" s="56">
        <f>'A1. Data scoring'!AH29</f>
        <v/>
      </c>
      <c r="Q32" s="56">
        <f>'A1. Data scoring'!AK29</f>
        <v/>
      </c>
      <c r="R32" s="8" t="n"/>
    </row>
    <row r="33" ht="18" customHeight="1">
      <c r="B33" s="57" t="inlineStr">
        <is>
          <t>EE1(d)</t>
        </is>
      </c>
      <c r="D33" s="13" t="inlineStr">
        <is>
          <t>Confirm end-2026 target status</t>
        </is>
      </c>
      <c r="E33" s="58">
        <f>'A1. Data scoring'!V29</f>
        <v/>
      </c>
      <c r="R33" s="59" t="n"/>
    </row>
    <row r="34" ht="60" customHeight="1">
      <c r="B34" s="57" t="inlineStr">
        <is>
          <t>EE1(d)</t>
        </is>
      </c>
      <c r="D34" s="13" t="inlineStr">
        <is>
          <t>OPTION 1:  Target-level reporting</t>
        </is>
      </c>
      <c r="E34" s="58">
        <f>'A1. Data scoring'!V30</f>
        <v/>
      </c>
      <c r="R34" s="59" t="n"/>
    </row>
    <row r="35" ht="60" customHeight="1">
      <c r="B35" s="57" t="inlineStr">
        <is>
          <t>EE1(d)</t>
        </is>
      </c>
      <c r="D35" s="13" t="inlineStr">
        <is>
          <t>OPTION 2:  Indicator level reporting</t>
        </is>
      </c>
      <c r="E35" s="58">
        <f>'A1. Data scoring'!V31</f>
        <v/>
      </c>
      <c r="R35" s="59" t="n"/>
    </row>
    <row r="36" ht="18" customHeight="1">
      <c r="B36" s="57" t="inlineStr">
        <is>
          <t>EE1(d)</t>
        </is>
      </c>
      <c r="D36" s="13" t="inlineStr">
        <is>
          <t>Supporting information/comments</t>
        </is>
      </c>
      <c r="E36" s="58">
        <f>'A1. Data scoring'!V32</f>
        <v/>
      </c>
      <c r="R36" s="59" t="n"/>
    </row>
    <row r="37" ht="18" customHeight="1">
      <c r="B37" s="57" t="inlineStr">
        <is>
          <t>EE1(d)</t>
        </is>
      </c>
      <c r="D37" s="13" t="inlineStr">
        <is>
          <t>Data source and limitations</t>
        </is>
      </c>
      <c r="E37" s="58">
        <f>'A1. Data scoring'!V33</f>
        <v/>
      </c>
      <c r="R37" s="59" t="n"/>
    </row>
    <row r="38" ht="18" customHeight="1">
      <c r="B38" s="57" t="inlineStr">
        <is>
          <t>EE1(d)</t>
        </is>
      </c>
      <c r="D38" s="13" t="inlineStr">
        <is>
          <t>Data owner confirms</t>
        </is>
      </c>
      <c r="E38" s="58">
        <f>'A1. Data scoring'!V34</f>
        <v/>
      </c>
      <c r="R38" s="60" t="n"/>
    </row>
    <row r="40">
      <c r="B40" s="7" t="inlineStr">
        <is>
          <t>TR1(a)</t>
        </is>
      </c>
      <c r="C40" s="50" t="inlineStr">
        <is>
          <t>Expert-reviewed evidence of researchers contributing to operational sustainability priorities through partnerships, advisory input, living labs, applied projects or decision-support</t>
        </is>
      </c>
      <c r="D40" s="55" t="inlineStr">
        <is>
          <t>Unit</t>
        </is>
      </c>
      <c r="E40" s="55" t="inlineStr">
        <is>
          <t>ABP</t>
        </is>
      </c>
      <c r="F40" s="55" t="inlineStr">
        <is>
          <t>ARTS</t>
        </is>
      </c>
      <c r="G40" s="55" t="inlineStr">
        <is>
          <t>FBE</t>
        </is>
      </c>
      <c r="H40" s="55" t="inlineStr">
        <is>
          <t>SCI</t>
        </is>
      </c>
      <c r="I40" s="55" t="inlineStr">
        <is>
          <t>CI&amp;S – Sustainability Strategy</t>
        </is>
      </c>
      <c r="P40" s="56">
        <f>'A1. Data scoring'!AH35</f>
        <v/>
      </c>
      <c r="Q40" s="56">
        <f>'A1. Data scoring'!AK35</f>
        <v/>
      </c>
      <c r="R40" s="8" t="n"/>
    </row>
    <row r="41" ht="18" customHeight="1">
      <c r="B41" s="57" t="inlineStr">
        <is>
          <t>TR1(a)</t>
        </is>
      </c>
      <c r="D41" s="13" t="inlineStr">
        <is>
          <t>Confirm end-2026 target status</t>
        </is>
      </c>
      <c r="E41" s="58">
        <f>'A1. Data scoring'!H35</f>
        <v/>
      </c>
      <c r="F41" s="58">
        <f>'A1. Data scoring'!I35</f>
        <v/>
      </c>
      <c r="G41" s="58">
        <f>'A1. Data scoring'!J35</f>
        <v/>
      </c>
      <c r="H41" s="58">
        <f>'A1. Data scoring'!K35</f>
        <v/>
      </c>
      <c r="I41" s="58">
        <f>'A1. Data scoring'!M35</f>
        <v/>
      </c>
      <c r="R41" s="59" t="n"/>
    </row>
    <row r="42" ht="60" customHeight="1">
      <c r="B42" s="57" t="inlineStr">
        <is>
          <t>TR1(a)</t>
        </is>
      </c>
      <c r="D42" s="13" t="inlineStr">
        <is>
          <t>OPTION 1:  Target-level reporting</t>
        </is>
      </c>
      <c r="E42" s="58">
        <f>'A1. Data scoring'!H36</f>
        <v/>
      </c>
      <c r="F42" s="58">
        <f>'A1. Data scoring'!I36</f>
        <v/>
      </c>
      <c r="G42" s="58">
        <f>'A1. Data scoring'!J36</f>
        <v/>
      </c>
      <c r="H42" s="58">
        <f>'A1. Data scoring'!K36</f>
        <v/>
      </c>
      <c r="I42" s="58">
        <f>'A1. Data scoring'!M36</f>
        <v/>
      </c>
      <c r="R42" s="59" t="n"/>
    </row>
    <row r="43" ht="60" customHeight="1">
      <c r="B43" s="57" t="inlineStr">
        <is>
          <t>TR1(a)</t>
        </is>
      </c>
      <c r="D43" s="13" t="inlineStr">
        <is>
          <t>OPTION 2:  Indicator level reporting</t>
        </is>
      </c>
      <c r="E43" s="58">
        <f>'A1. Data scoring'!H37</f>
        <v/>
      </c>
      <c r="F43" s="58">
        <f>'A1. Data scoring'!I37</f>
        <v/>
      </c>
      <c r="G43" s="58">
        <f>'A1. Data scoring'!J37</f>
        <v/>
      </c>
      <c r="H43" s="58">
        <f>'A1. Data scoring'!K37</f>
        <v/>
      </c>
      <c r="I43" s="58">
        <f>'A1. Data scoring'!M37</f>
        <v/>
      </c>
      <c r="R43" s="59" t="n"/>
    </row>
    <row r="44" ht="18" customHeight="1">
      <c r="B44" s="57" t="inlineStr">
        <is>
          <t>TR1(a)</t>
        </is>
      </c>
      <c r="D44" s="13" t="inlineStr">
        <is>
          <t>Supporting information/comments</t>
        </is>
      </c>
      <c r="E44" s="58">
        <f>'A1. Data scoring'!H38</f>
        <v/>
      </c>
      <c r="F44" s="58">
        <f>'A1. Data scoring'!I38</f>
        <v/>
      </c>
      <c r="G44" s="58">
        <f>'A1. Data scoring'!J38</f>
        <v/>
      </c>
      <c r="H44" s="58">
        <f>'A1. Data scoring'!K38</f>
        <v/>
      </c>
      <c r="I44" s="58">
        <f>'A1. Data scoring'!M38</f>
        <v/>
      </c>
      <c r="R44" s="59" t="n"/>
    </row>
    <row r="45" ht="18" customHeight="1">
      <c r="B45" s="57" t="inlineStr">
        <is>
          <t>TR1(a)</t>
        </is>
      </c>
      <c r="D45" s="13" t="inlineStr">
        <is>
          <t>Data source and limitations</t>
        </is>
      </c>
      <c r="E45" s="58">
        <f>'A1. Data scoring'!H39</f>
        <v/>
      </c>
      <c r="F45" s="58">
        <f>'A1. Data scoring'!I39</f>
        <v/>
      </c>
      <c r="G45" s="58">
        <f>'A1. Data scoring'!J39</f>
        <v/>
      </c>
      <c r="H45" s="58">
        <f>'A1. Data scoring'!K39</f>
        <v/>
      </c>
      <c r="I45" s="58">
        <f>'A1. Data scoring'!M39</f>
        <v/>
      </c>
      <c r="R45" s="59" t="n"/>
    </row>
    <row r="46" ht="18" customHeight="1">
      <c r="B46" s="57" t="inlineStr">
        <is>
          <t>TR1(a)</t>
        </is>
      </c>
      <c r="D46" s="13" t="inlineStr">
        <is>
          <t>Data owner confirms</t>
        </is>
      </c>
      <c r="E46" s="58">
        <f>'A1. Data scoring'!H40</f>
        <v/>
      </c>
      <c r="F46" s="58">
        <f>'A1. Data scoring'!I40</f>
        <v/>
      </c>
      <c r="G46" s="58">
        <f>'A1. Data scoring'!J40</f>
        <v/>
      </c>
      <c r="H46" s="58">
        <f>'A1. Data scoring'!K40</f>
        <v/>
      </c>
      <c r="I46" s="58">
        <f>'A1. Data scoring'!M40</f>
        <v/>
      </c>
      <c r="R46" s="60" t="n"/>
    </row>
    <row r="48">
      <c r="B48" s="7" t="inlineStr">
        <is>
          <t>TR1(b)</t>
        </is>
      </c>
      <c r="C48" s="50" t="inlineStr">
        <is>
          <t>Evidence of institutional pathways that enable ongoing collaboration between academic and professional staff</t>
        </is>
      </c>
      <c r="D48" s="55" t="inlineStr">
        <is>
          <t>Unit</t>
        </is>
      </c>
      <c r="E48" s="55" t="inlineStr">
        <is>
          <t>MRE – Research</t>
        </is>
      </c>
      <c r="P48" s="56">
        <f>'A1. Data scoring'!AH41</f>
        <v/>
      </c>
      <c r="Q48" s="56">
        <f>'A1. Data scoring'!AK41</f>
        <v/>
      </c>
      <c r="R48" s="8" t="n"/>
    </row>
    <row r="49" ht="18" customHeight="1">
      <c r="B49" s="57" t="inlineStr">
        <is>
          <t>TR1(b)</t>
        </is>
      </c>
      <c r="D49" s="13" t="inlineStr">
        <is>
          <t>Confirm end-2026 target status</t>
        </is>
      </c>
      <c r="E49" s="58">
        <f>'A1. Data scoring'!R41</f>
        <v/>
      </c>
      <c r="R49" s="59" t="n"/>
    </row>
    <row r="50" ht="60" customHeight="1">
      <c r="B50" s="57" t="inlineStr">
        <is>
          <t>TR1(b)</t>
        </is>
      </c>
      <c r="D50" s="13" t="inlineStr">
        <is>
          <t>OPTION 1:  Target-level reporting</t>
        </is>
      </c>
      <c r="E50" s="58">
        <f>'A1. Data scoring'!R42</f>
        <v/>
      </c>
      <c r="R50" s="59" t="n"/>
    </row>
    <row r="51" ht="60" customHeight="1">
      <c r="B51" s="57" t="inlineStr">
        <is>
          <t>TR1(b)</t>
        </is>
      </c>
      <c r="D51" s="13" t="inlineStr">
        <is>
          <t>OPTION 2:  Indicator level reporting</t>
        </is>
      </c>
      <c r="E51" s="58">
        <f>'A1. Data scoring'!R43</f>
        <v/>
      </c>
      <c r="R51" s="59" t="n"/>
    </row>
    <row r="52" ht="18" customHeight="1">
      <c r="B52" s="57" t="inlineStr">
        <is>
          <t>TR1(b)</t>
        </is>
      </c>
      <c r="D52" s="13" t="inlineStr">
        <is>
          <t>Supporting information/comments</t>
        </is>
      </c>
      <c r="E52" s="58">
        <f>'A1. Data scoring'!R44</f>
        <v/>
      </c>
      <c r="R52" s="59" t="n"/>
    </row>
    <row r="53" ht="18" customHeight="1">
      <c r="B53" s="57" t="inlineStr">
        <is>
          <t>TR1(b)</t>
        </is>
      </c>
      <c r="D53" s="13" t="inlineStr">
        <is>
          <t>Data source and limitations</t>
        </is>
      </c>
      <c r="E53" s="58">
        <f>'A1. Data scoring'!R45</f>
        <v/>
      </c>
      <c r="R53" s="59" t="n"/>
    </row>
    <row r="54" ht="18" customHeight="1">
      <c r="B54" s="57" t="inlineStr">
        <is>
          <t>TR1(b)</t>
        </is>
      </c>
      <c r="D54" s="13" t="inlineStr">
        <is>
          <t>Data owner confirms</t>
        </is>
      </c>
      <c r="E54" s="58">
        <f>'A1. Data scoring'!R46</f>
        <v/>
      </c>
      <c r="R54" s="60" t="n"/>
    </row>
    <row r="56">
      <c r="B56" s="7" t="inlineStr">
        <is>
          <t>TR1(c)</t>
        </is>
      </c>
      <c r="C56" s="50" t="inlineStr">
        <is>
          <t>Expert assessment of the quality, relevance and continuity of these collaborations</t>
        </is>
      </c>
      <c r="D56" s="55" t="inlineStr">
        <is>
          <t>Unit</t>
        </is>
      </c>
      <c r="E56" s="55" t="inlineStr">
        <is>
          <t>MRE – Research</t>
        </is>
      </c>
      <c r="P56" s="56">
        <f>'A1. Data scoring'!AH47</f>
        <v/>
      </c>
      <c r="Q56" s="56">
        <f>'A1. Data scoring'!AK47</f>
        <v/>
      </c>
      <c r="R56" s="8" t="n"/>
    </row>
    <row r="57" ht="18" customHeight="1">
      <c r="B57" s="57" t="inlineStr">
        <is>
          <t>TR1(c)</t>
        </is>
      </c>
      <c r="D57" s="13" t="inlineStr">
        <is>
          <t>Confirm end-2026 target status</t>
        </is>
      </c>
      <c r="E57" s="58">
        <f>'A1. Data scoring'!R47</f>
        <v/>
      </c>
      <c r="R57" s="59" t="n"/>
    </row>
    <row r="58" ht="60" customHeight="1">
      <c r="B58" s="57" t="inlineStr">
        <is>
          <t>TR1(c)</t>
        </is>
      </c>
      <c r="D58" s="13" t="inlineStr">
        <is>
          <t>OPTION 1:  Target-level reporting</t>
        </is>
      </c>
      <c r="E58" s="58">
        <f>'A1. Data scoring'!R48</f>
        <v/>
      </c>
      <c r="R58" s="59" t="n"/>
    </row>
    <row r="59" ht="60" customHeight="1">
      <c r="B59" s="57" t="inlineStr">
        <is>
          <t>TR1(c)</t>
        </is>
      </c>
      <c r="D59" s="13" t="inlineStr">
        <is>
          <t>OPTION 2:  Indicator level reporting</t>
        </is>
      </c>
      <c r="E59" s="58">
        <f>'A1. Data scoring'!R49</f>
        <v/>
      </c>
      <c r="R59" s="59" t="n"/>
    </row>
    <row r="60" ht="18" customHeight="1">
      <c r="B60" s="57" t="inlineStr">
        <is>
          <t>TR1(c)</t>
        </is>
      </c>
      <c r="D60" s="13" t="inlineStr">
        <is>
          <t>Supporting information/comments</t>
        </is>
      </c>
      <c r="E60" s="58">
        <f>'A1. Data scoring'!R50</f>
        <v/>
      </c>
      <c r="R60" s="59" t="n"/>
    </row>
    <row r="61" ht="18" customHeight="1">
      <c r="B61" s="57" t="inlineStr">
        <is>
          <t>TR1(c)</t>
        </is>
      </c>
      <c r="D61" s="13" t="inlineStr">
        <is>
          <t>Data source and limitations</t>
        </is>
      </c>
      <c r="E61" s="58">
        <f>'A1. Data scoring'!R51</f>
        <v/>
      </c>
      <c r="R61" s="59" t="n"/>
    </row>
    <row r="62" ht="18" customHeight="1">
      <c r="B62" s="57" t="inlineStr">
        <is>
          <t>TR1(c)</t>
        </is>
      </c>
      <c r="D62" s="13" t="inlineStr">
        <is>
          <t>Data owner confirms</t>
        </is>
      </c>
      <c r="E62" s="58">
        <f>'A1. Data scoring'!R52</f>
        <v/>
      </c>
      <c r="R62" s="60" t="n"/>
    </row>
    <row r="64">
      <c r="B64" s="7" t="inlineStr">
        <is>
          <t>TR1(d)</t>
        </is>
      </c>
      <c r="C64" s="50" t="inlineStr">
        <is>
          <t>Periodic feedback from participants on the effectiveness and mutual benefit of collaboration mechanisms.</t>
        </is>
      </c>
      <c r="D64" s="55" t="inlineStr">
        <is>
          <t>Unit</t>
        </is>
      </c>
      <c r="E64" s="55" t="inlineStr">
        <is>
          <t>MRE – Research</t>
        </is>
      </c>
      <c r="P64" s="56">
        <f>'A1. Data scoring'!AH53</f>
        <v/>
      </c>
      <c r="Q64" s="56">
        <f>'A1. Data scoring'!AK53</f>
        <v/>
      </c>
      <c r="R64" s="8" t="n"/>
    </row>
    <row r="65" ht="18" customHeight="1">
      <c r="B65" s="57" t="inlineStr">
        <is>
          <t>TR1(d)</t>
        </is>
      </c>
      <c r="D65" s="13" t="inlineStr">
        <is>
          <t>Confirm end-2026 target status</t>
        </is>
      </c>
      <c r="E65" s="58">
        <f>'A1. Data scoring'!R53</f>
        <v/>
      </c>
      <c r="R65" s="59" t="n"/>
    </row>
    <row r="66" ht="60" customHeight="1">
      <c r="B66" s="57" t="inlineStr">
        <is>
          <t>TR1(d)</t>
        </is>
      </c>
      <c r="D66" s="13" t="inlineStr">
        <is>
          <t>OPTION 1:  Target-level reporting</t>
        </is>
      </c>
      <c r="E66" s="58">
        <f>'A1. Data scoring'!R54</f>
        <v/>
      </c>
      <c r="R66" s="59" t="n"/>
    </row>
    <row r="67" ht="60" customHeight="1">
      <c r="B67" s="57" t="inlineStr">
        <is>
          <t>TR1(d)</t>
        </is>
      </c>
      <c r="D67" s="13" t="inlineStr">
        <is>
          <t>OPTION 2:  Indicator level reporting</t>
        </is>
      </c>
      <c r="E67" s="58">
        <f>'A1. Data scoring'!R55</f>
        <v/>
      </c>
      <c r="R67" s="59" t="n"/>
    </row>
    <row r="68" ht="18" customHeight="1">
      <c r="B68" s="57" t="inlineStr">
        <is>
          <t>TR1(d)</t>
        </is>
      </c>
      <c r="D68" s="13" t="inlineStr">
        <is>
          <t>Supporting information/comments</t>
        </is>
      </c>
      <c r="E68" s="58">
        <f>'A1. Data scoring'!R56</f>
        <v/>
      </c>
      <c r="R68" s="59" t="n"/>
    </row>
    <row r="69" ht="18" customHeight="1">
      <c r="B69" s="57" t="inlineStr">
        <is>
          <t>TR1(d)</t>
        </is>
      </c>
      <c r="D69" s="13" t="inlineStr">
        <is>
          <t>Data source and limitations</t>
        </is>
      </c>
      <c r="E69" s="58">
        <f>'A1. Data scoring'!R57</f>
        <v/>
      </c>
      <c r="R69" s="59" t="n"/>
    </row>
    <row r="70" ht="18" customHeight="1">
      <c r="B70" s="57" t="inlineStr">
        <is>
          <t>TR1(d)</t>
        </is>
      </c>
      <c r="D70" s="13" t="inlineStr">
        <is>
          <t>Data owner confirms</t>
        </is>
      </c>
      <c r="E70" s="58">
        <f>'A1. Data scoring'!R58</f>
        <v/>
      </c>
      <c r="R70" s="60" t="n"/>
    </row>
    <row r="72">
      <c r="B72" s="7" t="inlineStr">
        <is>
          <t>TR2(a)</t>
        </is>
      </c>
      <c r="C72" s="50" t="inlineStr">
        <is>
          <t>Evidence of sustainability-related research impact across diverse pathways, could include policy, industry, community, practice, cultural and institutional outcomes</t>
        </is>
      </c>
      <c r="D72" s="55" t="inlineStr">
        <is>
          <t>Unit</t>
        </is>
      </c>
      <c r="E72" s="55" t="inlineStr">
        <is>
          <t>ABP</t>
        </is>
      </c>
      <c r="F72" s="55" t="inlineStr">
        <is>
          <t>ARTS</t>
        </is>
      </c>
      <c r="G72" s="55" t="inlineStr">
        <is>
          <t>FBE</t>
        </is>
      </c>
      <c r="H72" s="55" t="inlineStr">
        <is>
          <t>SCI</t>
        </is>
      </c>
      <c r="I72" s="55" t="inlineStr">
        <is>
          <t>AC&amp;M – Advancement, Communication and Marketing</t>
        </is>
      </c>
      <c r="P72" s="56">
        <f>'A1. Data scoring'!AH59</f>
        <v/>
      </c>
      <c r="Q72" s="56">
        <f>'A1. Data scoring'!AK59</f>
        <v/>
      </c>
      <c r="R72" s="8" t="n"/>
    </row>
    <row r="73" ht="18" customHeight="1">
      <c r="B73" s="57" t="inlineStr">
        <is>
          <t>TR2(a)</t>
        </is>
      </c>
      <c r="D73" s="13" t="inlineStr">
        <is>
          <t>Confirm end-2026 target status</t>
        </is>
      </c>
      <c r="E73" s="58">
        <f>'A1. Data scoring'!H59</f>
        <v/>
      </c>
      <c r="F73" s="58">
        <f>'A1. Data scoring'!I59</f>
        <v/>
      </c>
      <c r="G73" s="58">
        <f>'A1. Data scoring'!J59</f>
        <v/>
      </c>
      <c r="H73" s="58">
        <f>'A1. Data scoring'!K59</f>
        <v/>
      </c>
      <c r="I73" s="58">
        <f>'A1. Data scoring'!S59</f>
        <v/>
      </c>
      <c r="R73" s="59" t="n"/>
    </row>
    <row r="74" ht="60" customHeight="1">
      <c r="B74" s="57" t="inlineStr">
        <is>
          <t>TR2(a)</t>
        </is>
      </c>
      <c r="D74" s="13" t="inlineStr">
        <is>
          <t>OPTION 1:  Target-level reporting</t>
        </is>
      </c>
      <c r="E74" s="58">
        <f>'A1. Data scoring'!H60</f>
        <v/>
      </c>
      <c r="F74" s="58">
        <f>'A1. Data scoring'!I60</f>
        <v/>
      </c>
      <c r="G74" s="58">
        <f>'A1. Data scoring'!J60</f>
        <v/>
      </c>
      <c r="H74" s="58">
        <f>'A1. Data scoring'!K60</f>
        <v/>
      </c>
      <c r="I74" s="58">
        <f>'A1. Data scoring'!S60</f>
        <v/>
      </c>
      <c r="R74" s="59" t="n"/>
    </row>
    <row r="75" ht="60" customHeight="1">
      <c r="B75" s="57" t="inlineStr">
        <is>
          <t>TR2(a)</t>
        </is>
      </c>
      <c r="D75" s="13" t="inlineStr">
        <is>
          <t>OPTION 2:  Indicator level reporting</t>
        </is>
      </c>
      <c r="E75" s="58">
        <f>'A1. Data scoring'!H61</f>
        <v/>
      </c>
      <c r="F75" s="58">
        <f>'A1. Data scoring'!I61</f>
        <v/>
      </c>
      <c r="G75" s="58">
        <f>'A1. Data scoring'!J61</f>
        <v/>
      </c>
      <c r="H75" s="58">
        <f>'A1. Data scoring'!K61</f>
        <v/>
      </c>
      <c r="I75" s="58">
        <f>'A1. Data scoring'!S61</f>
        <v/>
      </c>
      <c r="R75" s="59" t="n"/>
    </row>
    <row r="76" ht="18" customHeight="1">
      <c r="B76" s="57" t="inlineStr">
        <is>
          <t>TR2(a)</t>
        </is>
      </c>
      <c r="D76" s="13" t="inlineStr">
        <is>
          <t>Supporting information/comments</t>
        </is>
      </c>
      <c r="E76" s="58">
        <f>'A1. Data scoring'!H62</f>
        <v/>
      </c>
      <c r="F76" s="58">
        <f>'A1. Data scoring'!I62</f>
        <v/>
      </c>
      <c r="G76" s="58">
        <f>'A1. Data scoring'!J62</f>
        <v/>
      </c>
      <c r="H76" s="58">
        <f>'A1. Data scoring'!K62</f>
        <v/>
      </c>
      <c r="I76" s="58">
        <f>'A1. Data scoring'!S62</f>
        <v/>
      </c>
      <c r="R76" s="59" t="n"/>
    </row>
    <row r="77" ht="18" customHeight="1">
      <c r="B77" s="57" t="inlineStr">
        <is>
          <t>TR2(a)</t>
        </is>
      </c>
      <c r="D77" s="13" t="inlineStr">
        <is>
          <t>Data source and limitations</t>
        </is>
      </c>
      <c r="E77" s="58">
        <f>'A1. Data scoring'!H63</f>
        <v/>
      </c>
      <c r="F77" s="58">
        <f>'A1. Data scoring'!I63</f>
        <v/>
      </c>
      <c r="G77" s="58">
        <f>'A1. Data scoring'!J63</f>
        <v/>
      </c>
      <c r="H77" s="58">
        <f>'A1. Data scoring'!K63</f>
        <v/>
      </c>
      <c r="I77" s="58">
        <f>'A1. Data scoring'!S63</f>
        <v/>
      </c>
      <c r="R77" s="59" t="n"/>
    </row>
    <row r="78" ht="18" customHeight="1">
      <c r="B78" s="57" t="inlineStr">
        <is>
          <t>TR2(a)</t>
        </is>
      </c>
      <c r="D78" s="13" t="inlineStr">
        <is>
          <t>Data owner confirms</t>
        </is>
      </c>
      <c r="E78" s="58">
        <f>'A1. Data scoring'!H64</f>
        <v/>
      </c>
      <c r="F78" s="58">
        <f>'A1. Data scoring'!I64</f>
        <v/>
      </c>
      <c r="G78" s="58">
        <f>'A1. Data scoring'!J64</f>
        <v/>
      </c>
      <c r="H78" s="58">
        <f>'A1. Data scoring'!K64</f>
        <v/>
      </c>
      <c r="I78" s="58">
        <f>'A1. Data scoring'!S64</f>
        <v/>
      </c>
      <c r="R78" s="60" t="n"/>
    </row>
    <row r="80">
      <c r="B80" s="7" t="inlineStr">
        <is>
          <t>TR2(c)</t>
        </is>
      </c>
      <c r="C80" s="50" t="inlineStr">
        <is>
          <t>Expert-reviewed summary of sustainability-related research outputs, outcomes and influence using available institutional evidence sources</t>
        </is>
      </c>
      <c r="D80" s="55" t="inlineStr">
        <is>
          <t>Unit</t>
        </is>
      </c>
      <c r="E80" s="55" t="inlineStr">
        <is>
          <t>MRE – Research</t>
        </is>
      </c>
      <c r="P80" s="56">
        <f>'A1. Data scoring'!AH65</f>
        <v/>
      </c>
      <c r="Q80" s="56">
        <f>'A1. Data scoring'!AK65</f>
        <v/>
      </c>
      <c r="R80" s="8" t="n"/>
    </row>
    <row r="81" ht="18" customHeight="1">
      <c r="B81" s="57" t="inlineStr">
        <is>
          <t>TR2(c)</t>
        </is>
      </c>
      <c r="D81" s="13" t="inlineStr">
        <is>
          <t>Confirm end-2026 target status</t>
        </is>
      </c>
      <c r="E81" s="58">
        <f>'A1. Data scoring'!R65</f>
        <v/>
      </c>
      <c r="R81" s="59" t="n"/>
    </row>
    <row r="82" ht="60" customHeight="1">
      <c r="B82" s="57" t="inlineStr">
        <is>
          <t>TR2(c)</t>
        </is>
      </c>
      <c r="D82" s="13" t="inlineStr">
        <is>
          <t>OPTION 1:  Target-level reporting</t>
        </is>
      </c>
      <c r="E82" s="58">
        <f>'A1. Data scoring'!R66</f>
        <v/>
      </c>
      <c r="R82" s="59" t="n"/>
    </row>
    <row r="83" ht="60" customHeight="1">
      <c r="B83" s="57" t="inlineStr">
        <is>
          <t>TR2(c)</t>
        </is>
      </c>
      <c r="D83" s="13" t="inlineStr">
        <is>
          <t>OPTION 2:  Indicator level reporting</t>
        </is>
      </c>
      <c r="E83" s="58">
        <f>'A1. Data scoring'!R67</f>
        <v/>
      </c>
      <c r="R83" s="59" t="n"/>
    </row>
    <row r="84" ht="18" customHeight="1">
      <c r="B84" s="57" t="inlineStr">
        <is>
          <t>TR2(c)</t>
        </is>
      </c>
      <c r="D84" s="13" t="inlineStr">
        <is>
          <t>Supporting information/comments</t>
        </is>
      </c>
      <c r="E84" s="58">
        <f>'A1. Data scoring'!R68</f>
        <v/>
      </c>
      <c r="R84" s="59" t="n"/>
    </row>
    <row r="85" ht="18" customHeight="1">
      <c r="B85" s="57" t="inlineStr">
        <is>
          <t>TR2(c)</t>
        </is>
      </c>
      <c r="D85" s="13" t="inlineStr">
        <is>
          <t>Data source and limitations</t>
        </is>
      </c>
      <c r="E85" s="58">
        <f>'A1. Data scoring'!R69</f>
        <v/>
      </c>
      <c r="R85" s="59" t="n"/>
    </row>
    <row r="86" ht="18" customHeight="1">
      <c r="B86" s="57" t="inlineStr">
        <is>
          <t>TR2(c)</t>
        </is>
      </c>
      <c r="D86" s="13" t="inlineStr">
        <is>
          <t>Data owner confirms</t>
        </is>
      </c>
      <c r="E86" s="58">
        <f>'A1. Data scoring'!R70</f>
        <v/>
      </c>
      <c r="R86" s="60" t="n"/>
    </row>
    <row r="88">
      <c r="B88" s="7" t="inlineStr">
        <is>
          <t>TR2(d)</t>
        </is>
      </c>
      <c r="C88" s="50" t="inlineStr">
        <is>
          <t>Case-based evidence demonstrating how research has contributed to meaningful sustainability outcomes.</t>
        </is>
      </c>
      <c r="D88" s="55" t="inlineStr">
        <is>
          <t>Unit</t>
        </is>
      </c>
      <c r="E88" s="55" t="inlineStr">
        <is>
          <t>ABP</t>
        </is>
      </c>
      <c r="F88" s="55" t="inlineStr">
        <is>
          <t>ARTS</t>
        </is>
      </c>
      <c r="G88" s="55" t="inlineStr">
        <is>
          <t>FBE</t>
        </is>
      </c>
      <c r="H88" s="55" t="inlineStr">
        <is>
          <t>SCI</t>
        </is>
      </c>
      <c r="I88" s="55" t="inlineStr">
        <is>
          <t>CI&amp;S – Sustainability Strategy</t>
        </is>
      </c>
      <c r="P88" s="56">
        <f>'A1. Data scoring'!AH71</f>
        <v/>
      </c>
      <c r="Q88" s="56">
        <f>'A1. Data scoring'!AK71</f>
        <v/>
      </c>
      <c r="R88" s="8" t="n"/>
    </row>
    <row r="89" ht="18" customHeight="1">
      <c r="B89" s="57" t="inlineStr">
        <is>
          <t>TR2(d)</t>
        </is>
      </c>
      <c r="D89" s="13" t="inlineStr">
        <is>
          <t>Confirm end-2026 target status</t>
        </is>
      </c>
      <c r="E89" s="58">
        <f>'A1. Data scoring'!H71</f>
        <v/>
      </c>
      <c r="F89" s="58">
        <f>'A1. Data scoring'!I71</f>
        <v/>
      </c>
      <c r="G89" s="58">
        <f>'A1. Data scoring'!J71</f>
        <v/>
      </c>
      <c r="H89" s="58">
        <f>'A1. Data scoring'!K71</f>
        <v/>
      </c>
      <c r="I89" s="58">
        <f>'A1. Data scoring'!M71</f>
        <v/>
      </c>
      <c r="R89" s="59" t="n"/>
    </row>
    <row r="90" ht="60" customHeight="1">
      <c r="B90" s="57" t="inlineStr">
        <is>
          <t>TR2(d)</t>
        </is>
      </c>
      <c r="D90" s="13" t="inlineStr">
        <is>
          <t>OPTION 1:  Target-level reporting</t>
        </is>
      </c>
      <c r="E90" s="58">
        <f>'A1. Data scoring'!H72</f>
        <v/>
      </c>
      <c r="F90" s="58">
        <f>'A1. Data scoring'!I72</f>
        <v/>
      </c>
      <c r="G90" s="58">
        <f>'A1. Data scoring'!J72</f>
        <v/>
      </c>
      <c r="H90" s="58">
        <f>'A1. Data scoring'!K72</f>
        <v/>
      </c>
      <c r="I90" s="58">
        <f>'A1. Data scoring'!M72</f>
        <v/>
      </c>
      <c r="R90" s="59" t="n"/>
    </row>
    <row r="91" ht="60" customHeight="1">
      <c r="B91" s="57" t="inlineStr">
        <is>
          <t>TR2(d)</t>
        </is>
      </c>
      <c r="D91" s="13" t="inlineStr">
        <is>
          <t>OPTION 2:  Indicator level reporting</t>
        </is>
      </c>
      <c r="E91" s="58">
        <f>'A1. Data scoring'!H73</f>
        <v/>
      </c>
      <c r="F91" s="58">
        <f>'A1. Data scoring'!I73</f>
        <v/>
      </c>
      <c r="G91" s="58">
        <f>'A1. Data scoring'!J73</f>
        <v/>
      </c>
      <c r="H91" s="58">
        <f>'A1. Data scoring'!K73</f>
        <v/>
      </c>
      <c r="I91" s="58">
        <f>'A1. Data scoring'!M73</f>
        <v/>
      </c>
      <c r="R91" s="59" t="n"/>
    </row>
    <row r="92" ht="18" customHeight="1">
      <c r="B92" s="57" t="inlineStr">
        <is>
          <t>TR2(d)</t>
        </is>
      </c>
      <c r="D92" s="13" t="inlineStr">
        <is>
          <t>Supporting information/comments</t>
        </is>
      </c>
      <c r="E92" s="58">
        <f>'A1. Data scoring'!H74</f>
        <v/>
      </c>
      <c r="F92" s="58">
        <f>'A1. Data scoring'!I74</f>
        <v/>
      </c>
      <c r="G92" s="58">
        <f>'A1. Data scoring'!J74</f>
        <v/>
      </c>
      <c r="H92" s="58">
        <f>'A1. Data scoring'!K74</f>
        <v/>
      </c>
      <c r="I92" s="58">
        <f>'A1. Data scoring'!M74</f>
        <v/>
      </c>
      <c r="R92" s="59" t="n"/>
    </row>
    <row r="93" ht="18" customHeight="1">
      <c r="B93" s="57" t="inlineStr">
        <is>
          <t>TR2(d)</t>
        </is>
      </c>
      <c r="D93" s="13" t="inlineStr">
        <is>
          <t>Data source and limitations</t>
        </is>
      </c>
      <c r="E93" s="58">
        <f>'A1. Data scoring'!H75</f>
        <v/>
      </c>
      <c r="F93" s="58">
        <f>'A1. Data scoring'!I75</f>
        <v/>
      </c>
      <c r="G93" s="58">
        <f>'A1. Data scoring'!J75</f>
        <v/>
      </c>
      <c r="H93" s="58">
        <f>'A1. Data scoring'!K75</f>
        <v/>
      </c>
      <c r="I93" s="58">
        <f>'A1. Data scoring'!M75</f>
        <v/>
      </c>
      <c r="R93" s="59" t="n"/>
    </row>
    <row r="94" ht="18" customHeight="1">
      <c r="B94" s="57" t="inlineStr">
        <is>
          <t>TR2(d)</t>
        </is>
      </c>
      <c r="D94" s="13" t="inlineStr">
        <is>
          <t>Data owner confirms</t>
        </is>
      </c>
      <c r="E94" s="58">
        <f>'A1. Data scoring'!H76</f>
        <v/>
      </c>
      <c r="F94" s="58">
        <f>'A1. Data scoring'!I76</f>
        <v/>
      </c>
      <c r="G94" s="58">
        <f>'A1. Data scoring'!J76</f>
        <v/>
      </c>
      <c r="H94" s="58">
        <f>'A1. Data scoring'!K76</f>
        <v/>
      </c>
      <c r="I94" s="58">
        <f>'A1. Data scoring'!M76</f>
        <v/>
      </c>
      <c r="R94" s="60" t="n"/>
    </row>
    <row r="96">
      <c r="B96" s="7" t="inlineStr">
        <is>
          <t>TR3(a)</t>
        </is>
      </c>
      <c r="C96" s="50" t="inlineStr">
        <is>
          <t>Evidence that sustainability considerations are integrated into relevant research systems, planning processes, guidance, training, induction or support services</t>
        </is>
      </c>
      <c r="D96" s="55" t="inlineStr">
        <is>
          <t>Unit</t>
        </is>
      </c>
      <c r="E96" s="55" t="inlineStr">
        <is>
          <t>MRE – Research</t>
        </is>
      </c>
      <c r="P96" s="56">
        <f>'A1. Data scoring'!AH77</f>
        <v/>
      </c>
      <c r="Q96" s="56">
        <f>'A1. Data scoring'!AK77</f>
        <v/>
      </c>
      <c r="R96" s="8" t="n"/>
    </row>
    <row r="97" ht="18" customHeight="1">
      <c r="B97" s="57" t="inlineStr">
        <is>
          <t>TR3(a)</t>
        </is>
      </c>
      <c r="D97" s="13" t="inlineStr">
        <is>
          <t>Confirm end-2026 target status</t>
        </is>
      </c>
      <c r="E97" s="58">
        <f>'A1. Data scoring'!R77</f>
        <v/>
      </c>
      <c r="R97" s="59" t="n"/>
    </row>
    <row r="98" ht="60" customHeight="1">
      <c r="B98" s="57" t="inlineStr">
        <is>
          <t>TR3(a)</t>
        </is>
      </c>
      <c r="D98" s="13" t="inlineStr">
        <is>
          <t>OPTION 1:  Target-level reporting</t>
        </is>
      </c>
      <c r="E98" s="58">
        <f>'A1. Data scoring'!R78</f>
        <v/>
      </c>
      <c r="R98" s="59" t="n"/>
    </row>
    <row r="99" ht="60" customHeight="1">
      <c r="B99" s="57" t="inlineStr">
        <is>
          <t>TR3(a)</t>
        </is>
      </c>
      <c r="D99" s="13" t="inlineStr">
        <is>
          <t>OPTION 2:  Indicator level reporting</t>
        </is>
      </c>
      <c r="E99" s="58">
        <f>'A1. Data scoring'!R79</f>
        <v/>
      </c>
      <c r="R99" s="59" t="n"/>
    </row>
    <row r="100" ht="18" customHeight="1">
      <c r="B100" s="57" t="inlineStr">
        <is>
          <t>TR3(a)</t>
        </is>
      </c>
      <c r="D100" s="13" t="inlineStr">
        <is>
          <t>Supporting information/comments</t>
        </is>
      </c>
      <c r="E100" s="58">
        <f>'A1. Data scoring'!R80</f>
        <v/>
      </c>
      <c r="R100" s="59" t="n"/>
    </row>
    <row r="101" ht="18" customHeight="1">
      <c r="B101" s="57" t="inlineStr">
        <is>
          <t>TR3(a)</t>
        </is>
      </c>
      <c r="D101" s="13" t="inlineStr">
        <is>
          <t>Data source and limitations</t>
        </is>
      </c>
      <c r="E101" s="58">
        <f>'A1. Data scoring'!R81</f>
        <v/>
      </c>
      <c r="R101" s="59" t="n"/>
    </row>
    <row r="102" ht="18" customHeight="1">
      <c r="B102" s="57" t="inlineStr">
        <is>
          <t>TR3(a)</t>
        </is>
      </c>
      <c r="D102" s="13" t="inlineStr">
        <is>
          <t>Data owner confirms</t>
        </is>
      </c>
      <c r="E102" s="58">
        <f>'A1. Data scoring'!R82</f>
        <v/>
      </c>
      <c r="R102" s="60" t="n"/>
    </row>
    <row r="104">
      <c r="B104" s="7" t="inlineStr">
        <is>
          <t>TR3(b)</t>
        </is>
      </c>
      <c r="C104" s="50" t="inlineStr">
        <is>
          <t>Demonstrated examples of more sustainable research practices in laboratories, fieldwork, procurement, travel or infrastructure use</t>
        </is>
      </c>
      <c r="D104" s="55" t="inlineStr">
        <is>
          <t>Unit</t>
        </is>
      </c>
      <c r="E104" s="55" t="inlineStr">
        <is>
          <t>ABP</t>
        </is>
      </c>
      <c r="F104" s="55" t="inlineStr">
        <is>
          <t>ARTS</t>
        </is>
      </c>
      <c r="G104" s="55" t="inlineStr">
        <is>
          <t>FBE</t>
        </is>
      </c>
      <c r="H104" s="55" t="inlineStr">
        <is>
          <t>SCI</t>
        </is>
      </c>
      <c r="I104" s="55" t="inlineStr">
        <is>
          <t>CI&amp;S – Sustainability Strategy</t>
        </is>
      </c>
      <c r="J104" s="55" t="inlineStr">
        <is>
          <t>CFOG – Procurement</t>
        </is>
      </c>
      <c r="P104" s="56">
        <f>'A1. Data scoring'!AH83</f>
        <v/>
      </c>
      <c r="Q104" s="56">
        <f>'A1. Data scoring'!AK83</f>
        <v/>
      </c>
      <c r="R104" s="8" t="n"/>
    </row>
    <row r="105" ht="18" customHeight="1">
      <c r="B105" s="57" t="inlineStr">
        <is>
          <t>TR3(b)</t>
        </is>
      </c>
      <c r="D105" s="13" t="inlineStr">
        <is>
          <t>Confirm end-2026 target status</t>
        </is>
      </c>
      <c r="E105" s="58">
        <f>'A1. Data scoring'!H83</f>
        <v/>
      </c>
      <c r="F105" s="58">
        <f>'A1. Data scoring'!I83</f>
        <v/>
      </c>
      <c r="G105" s="58">
        <f>'A1. Data scoring'!J83</f>
        <v/>
      </c>
      <c r="H105" s="58">
        <f>'A1. Data scoring'!K83</f>
        <v/>
      </c>
      <c r="I105" s="58">
        <f>'A1. Data scoring'!M83</f>
        <v/>
      </c>
      <c r="J105" s="58">
        <f>'A1. Data scoring'!N83</f>
        <v/>
      </c>
      <c r="R105" s="59" t="n"/>
    </row>
    <row r="106" ht="60" customHeight="1">
      <c r="B106" s="57" t="inlineStr">
        <is>
          <t>TR3(b)</t>
        </is>
      </c>
      <c r="D106" s="13" t="inlineStr">
        <is>
          <t>OPTION 1:  Target-level reporting</t>
        </is>
      </c>
      <c r="E106" s="58">
        <f>'A1. Data scoring'!H84</f>
        <v/>
      </c>
      <c r="F106" s="58">
        <f>'A1. Data scoring'!I84</f>
        <v/>
      </c>
      <c r="G106" s="58">
        <f>'A1. Data scoring'!J84</f>
        <v/>
      </c>
      <c r="H106" s="58">
        <f>'A1. Data scoring'!K84</f>
        <v/>
      </c>
      <c r="I106" s="58">
        <f>'A1. Data scoring'!M84</f>
        <v/>
      </c>
      <c r="J106" s="58">
        <f>'A1. Data scoring'!N84</f>
        <v/>
      </c>
      <c r="R106" s="59" t="n"/>
    </row>
    <row r="107" ht="60" customHeight="1">
      <c r="B107" s="57" t="inlineStr">
        <is>
          <t>TR3(b)</t>
        </is>
      </c>
      <c r="D107" s="13" t="inlineStr">
        <is>
          <t>OPTION 2:  Indicator level reporting</t>
        </is>
      </c>
      <c r="E107" s="58">
        <f>'A1. Data scoring'!H85</f>
        <v/>
      </c>
      <c r="F107" s="58">
        <f>'A1. Data scoring'!I85</f>
        <v/>
      </c>
      <c r="G107" s="58">
        <f>'A1. Data scoring'!J85</f>
        <v/>
      </c>
      <c r="H107" s="58">
        <f>'A1. Data scoring'!K85</f>
        <v/>
      </c>
      <c r="I107" s="58">
        <f>'A1. Data scoring'!M85</f>
        <v/>
      </c>
      <c r="J107" s="58">
        <f>'A1. Data scoring'!N85</f>
        <v/>
      </c>
      <c r="R107" s="59" t="n"/>
    </row>
    <row r="108" ht="18" customHeight="1">
      <c r="B108" s="57" t="inlineStr">
        <is>
          <t>TR3(b)</t>
        </is>
      </c>
      <c r="D108" s="13" t="inlineStr">
        <is>
          <t>Supporting information/comments</t>
        </is>
      </c>
      <c r="E108" s="58">
        <f>'A1. Data scoring'!H86</f>
        <v/>
      </c>
      <c r="F108" s="58">
        <f>'A1. Data scoring'!I86</f>
        <v/>
      </c>
      <c r="G108" s="58">
        <f>'A1. Data scoring'!J86</f>
        <v/>
      </c>
      <c r="H108" s="58">
        <f>'A1. Data scoring'!K86</f>
        <v/>
      </c>
      <c r="I108" s="58">
        <f>'A1. Data scoring'!M86</f>
        <v/>
      </c>
      <c r="J108" s="58">
        <f>'A1. Data scoring'!N86</f>
        <v/>
      </c>
      <c r="R108" s="59" t="n"/>
    </row>
    <row r="109" ht="18" customHeight="1">
      <c r="B109" s="57" t="inlineStr">
        <is>
          <t>TR3(b)</t>
        </is>
      </c>
      <c r="D109" s="13" t="inlineStr">
        <is>
          <t>Data source and limitations</t>
        </is>
      </c>
      <c r="E109" s="58">
        <f>'A1. Data scoring'!H87</f>
        <v/>
      </c>
      <c r="F109" s="58">
        <f>'A1. Data scoring'!I87</f>
        <v/>
      </c>
      <c r="G109" s="58">
        <f>'A1. Data scoring'!J87</f>
        <v/>
      </c>
      <c r="H109" s="58">
        <f>'A1. Data scoring'!K87</f>
        <v/>
      </c>
      <c r="I109" s="58">
        <f>'A1. Data scoring'!M87</f>
        <v/>
      </c>
      <c r="J109" s="58">
        <f>'A1. Data scoring'!N87</f>
        <v/>
      </c>
      <c r="R109" s="59" t="n"/>
    </row>
    <row r="110" ht="18" customHeight="1">
      <c r="B110" s="57" t="inlineStr">
        <is>
          <t>TR3(b)</t>
        </is>
      </c>
      <c r="D110" s="13" t="inlineStr">
        <is>
          <t>Data owner confirms</t>
        </is>
      </c>
      <c r="E110" s="58">
        <f>'A1. Data scoring'!H88</f>
        <v/>
      </c>
      <c r="F110" s="58">
        <f>'A1. Data scoring'!I88</f>
        <v/>
      </c>
      <c r="G110" s="58">
        <f>'A1. Data scoring'!J88</f>
        <v/>
      </c>
      <c r="H110" s="58">
        <f>'A1. Data scoring'!K88</f>
        <v/>
      </c>
      <c r="I110" s="58">
        <f>'A1. Data scoring'!M88</f>
        <v/>
      </c>
      <c r="J110" s="58">
        <f>'A1. Data scoring'!N88</f>
        <v/>
      </c>
      <c r="R110" s="60" t="n"/>
    </row>
    <row r="112">
      <c r="B112" s="7" t="inlineStr">
        <is>
          <t>TR3(c)</t>
        </is>
      </c>
      <c r="C112" s="50" t="inlineStr">
        <is>
          <t>Evidence of progress in sustainability-related research culture, capability and awareness, informed by periodic staff and graduate researcher surveys</t>
        </is>
      </c>
      <c r="D112" s="55" t="inlineStr">
        <is>
          <t>Unit</t>
        </is>
      </c>
      <c r="E112" s="55" t="inlineStr">
        <is>
          <t>MRE – Research</t>
        </is>
      </c>
      <c r="P112" s="56">
        <f>'A1. Data scoring'!AH89</f>
        <v/>
      </c>
      <c r="Q112" s="56">
        <f>'A1. Data scoring'!AK89</f>
        <v/>
      </c>
      <c r="R112" s="8" t="n"/>
    </row>
    <row r="113" ht="18" customHeight="1">
      <c r="B113" s="57" t="inlineStr">
        <is>
          <t>TR3(c)</t>
        </is>
      </c>
      <c r="D113" s="13" t="inlineStr">
        <is>
          <t>Confirm end-2026 target status</t>
        </is>
      </c>
      <c r="E113" s="58">
        <f>'A1. Data scoring'!R89</f>
        <v/>
      </c>
      <c r="R113" s="59" t="n"/>
    </row>
    <row r="114" ht="60" customHeight="1">
      <c r="B114" s="57" t="inlineStr">
        <is>
          <t>TR3(c)</t>
        </is>
      </c>
      <c r="D114" s="13" t="inlineStr">
        <is>
          <t>OPTION 1:  Target-level reporting</t>
        </is>
      </c>
      <c r="E114" s="58">
        <f>'A1. Data scoring'!R90</f>
        <v/>
      </c>
      <c r="R114" s="59" t="n"/>
    </row>
    <row r="115" ht="60" customHeight="1">
      <c r="B115" s="57" t="inlineStr">
        <is>
          <t>TR3(c)</t>
        </is>
      </c>
      <c r="D115" s="13" t="inlineStr">
        <is>
          <t>OPTION 2:  Indicator level reporting</t>
        </is>
      </c>
      <c r="E115" s="58">
        <f>'A1. Data scoring'!R91</f>
        <v/>
      </c>
      <c r="R115" s="59" t="n"/>
    </row>
    <row r="116" ht="18" customHeight="1">
      <c r="B116" s="57" t="inlineStr">
        <is>
          <t>TR3(c)</t>
        </is>
      </c>
      <c r="D116" s="13" t="inlineStr">
        <is>
          <t>Supporting information/comments</t>
        </is>
      </c>
      <c r="E116" s="58">
        <f>'A1. Data scoring'!R92</f>
        <v/>
      </c>
      <c r="R116" s="59" t="n"/>
    </row>
    <row r="117" ht="18" customHeight="1">
      <c r="B117" s="57" t="inlineStr">
        <is>
          <t>TR3(c)</t>
        </is>
      </c>
      <c r="D117" s="13" t="inlineStr">
        <is>
          <t>Data source and limitations</t>
        </is>
      </c>
      <c r="E117" s="58">
        <f>'A1. Data scoring'!R93</f>
        <v/>
      </c>
      <c r="R117" s="59" t="n"/>
    </row>
    <row r="118" ht="18" customHeight="1">
      <c r="B118" s="57" t="inlineStr">
        <is>
          <t>TR3(c)</t>
        </is>
      </c>
      <c r="D118" s="13" t="inlineStr">
        <is>
          <t>Data owner confirms</t>
        </is>
      </c>
      <c r="E118" s="58">
        <f>'A1. Data scoring'!R94</f>
        <v/>
      </c>
      <c r="R118" s="60" t="n"/>
    </row>
    <row r="120">
      <c r="B120" s="7" t="inlineStr">
        <is>
          <t>TR3(d)</t>
        </is>
      </c>
      <c r="C120" s="50" t="inlineStr">
        <is>
          <t>Expert assessment of progress in embedding sustainable research practices across the institution.</t>
        </is>
      </c>
      <c r="D120" s="55" t="inlineStr">
        <is>
          <t>Unit</t>
        </is>
      </c>
      <c r="E120" s="55" t="inlineStr">
        <is>
          <t>MRE – Research</t>
        </is>
      </c>
      <c r="P120" s="56">
        <f>'A1. Data scoring'!AH95</f>
        <v/>
      </c>
      <c r="Q120" s="56">
        <f>'A1. Data scoring'!AK95</f>
        <v/>
      </c>
      <c r="R120" s="8" t="n"/>
    </row>
    <row r="121" ht="18" customHeight="1">
      <c r="B121" s="57" t="inlineStr">
        <is>
          <t>TR3(d)</t>
        </is>
      </c>
      <c r="D121" s="13" t="inlineStr">
        <is>
          <t>Confirm end-2026 target status</t>
        </is>
      </c>
      <c r="E121" s="58">
        <f>'A1. Data scoring'!R95</f>
        <v/>
      </c>
      <c r="R121" s="59" t="n"/>
    </row>
    <row r="122" ht="60" customHeight="1">
      <c r="B122" s="57" t="inlineStr">
        <is>
          <t>TR3(d)</t>
        </is>
      </c>
      <c r="D122" s="13" t="inlineStr">
        <is>
          <t>OPTION 1:  Target-level reporting</t>
        </is>
      </c>
      <c r="E122" s="58">
        <f>'A1. Data scoring'!R96</f>
        <v/>
      </c>
      <c r="R122" s="59" t="n"/>
    </row>
    <row r="123" ht="60" customHeight="1">
      <c r="B123" s="57" t="inlineStr">
        <is>
          <t>TR3(d)</t>
        </is>
      </c>
      <c r="D123" s="13" t="inlineStr">
        <is>
          <t>OPTION 2:  Indicator level reporting</t>
        </is>
      </c>
      <c r="E123" s="58">
        <f>'A1. Data scoring'!R97</f>
        <v/>
      </c>
      <c r="R123" s="59" t="n"/>
    </row>
    <row r="124" ht="18" customHeight="1">
      <c r="B124" s="57" t="inlineStr">
        <is>
          <t>TR3(d)</t>
        </is>
      </c>
      <c r="D124" s="13" t="inlineStr">
        <is>
          <t>Supporting information/comments</t>
        </is>
      </c>
      <c r="E124" s="58">
        <f>'A1. Data scoring'!R98</f>
        <v/>
      </c>
      <c r="R124" s="59" t="n"/>
    </row>
    <row r="125" ht="18" customHeight="1">
      <c r="B125" s="57" t="inlineStr">
        <is>
          <t>TR3(d)</t>
        </is>
      </c>
      <c r="D125" s="13" t="inlineStr">
        <is>
          <t>Data source and limitations</t>
        </is>
      </c>
      <c r="E125" s="58">
        <f>'A1. Data scoring'!R99</f>
        <v/>
      </c>
      <c r="R125" s="59" t="n"/>
    </row>
    <row r="126" ht="18" customHeight="1">
      <c r="B126" s="57" t="inlineStr">
        <is>
          <t>TR3(d)</t>
        </is>
      </c>
      <c r="D126" s="13" t="inlineStr">
        <is>
          <t>Data owner confirms</t>
        </is>
      </c>
      <c r="E126" s="58">
        <f>'A1. Data scoring'!R100</f>
        <v/>
      </c>
      <c r="R126" s="60" t="n"/>
    </row>
    <row r="128">
      <c r="B128" s="7" t="inlineStr">
        <is>
          <t>CL1(c)</t>
        </is>
      </c>
      <c r="C128" s="50" t="inlineStr">
        <is>
          <t>Review of Climate Leadership targets by 2030.[2]</t>
        </is>
      </c>
      <c r="D128" s="55" t="inlineStr">
        <is>
          <t>Unit</t>
        </is>
      </c>
      <c r="E128" s="55" t="inlineStr">
        <is>
          <t>CI&amp;S – Sustainability Strategy</t>
        </is>
      </c>
      <c r="P128" s="56">
        <f>'A1. Data scoring'!AH101</f>
        <v/>
      </c>
      <c r="Q128" s="56">
        <f>'A1. Data scoring'!AK101</f>
        <v/>
      </c>
      <c r="R128" s="8" t="n"/>
    </row>
    <row r="129" ht="18" customHeight="1">
      <c r="B129" s="57" t="inlineStr">
        <is>
          <t>CL1(c)</t>
        </is>
      </c>
      <c r="D129" s="13" t="inlineStr">
        <is>
          <t>Confirm end-2026 target status</t>
        </is>
      </c>
      <c r="E129" s="58">
        <f>'A1. Data scoring'!M101</f>
        <v/>
      </c>
      <c r="R129" s="59" t="n"/>
    </row>
    <row r="130" ht="60" customHeight="1">
      <c r="B130" s="57" t="inlineStr">
        <is>
          <t>CL1(c)</t>
        </is>
      </c>
      <c r="D130" s="13" t="inlineStr">
        <is>
          <t>OPTION 1:  Target-level reporting</t>
        </is>
      </c>
      <c r="E130" s="58">
        <f>'A1. Data scoring'!M102</f>
        <v/>
      </c>
      <c r="R130" s="59" t="n"/>
    </row>
    <row r="131" ht="60" customHeight="1">
      <c r="B131" s="57" t="inlineStr">
        <is>
          <t>CL1(c)</t>
        </is>
      </c>
      <c r="D131" s="13" t="inlineStr">
        <is>
          <t>OPTION 2:  Indicator level reporting</t>
        </is>
      </c>
      <c r="E131" s="58">
        <f>'A1. Data scoring'!M103</f>
        <v/>
      </c>
      <c r="R131" s="59" t="n"/>
    </row>
    <row r="132" ht="18" customHeight="1">
      <c r="B132" s="57" t="inlineStr">
        <is>
          <t>CL1(c)</t>
        </is>
      </c>
      <c r="D132" s="13" t="inlineStr">
        <is>
          <t>Supporting information/comments</t>
        </is>
      </c>
      <c r="E132" s="58">
        <f>'A1. Data scoring'!M104</f>
        <v/>
      </c>
      <c r="R132" s="59" t="n"/>
    </row>
    <row r="133" ht="18" customHeight="1">
      <c r="B133" s="57" t="inlineStr">
        <is>
          <t>CL1(c)</t>
        </is>
      </c>
      <c r="D133" s="13" t="inlineStr">
        <is>
          <t>Data source and limitations</t>
        </is>
      </c>
      <c r="E133" s="58">
        <f>'A1. Data scoring'!M105</f>
        <v/>
      </c>
      <c r="R133" s="59" t="n"/>
    </row>
    <row r="134" ht="18" customHeight="1">
      <c r="B134" s="57" t="inlineStr">
        <is>
          <t>CL1(c)</t>
        </is>
      </c>
      <c r="D134" s="13" t="inlineStr">
        <is>
          <t>Data owner confirms</t>
        </is>
      </c>
      <c r="E134" s="58">
        <f>'A1. Data scoring'!M106</f>
        <v/>
      </c>
      <c r="R134" s="60" t="n"/>
    </row>
    <row r="136">
      <c r="B136" s="7" t="inlineStr">
        <is>
          <t>CL2(a)</t>
        </is>
      </c>
      <c r="C136" s="50" t="inlineStr">
        <is>
          <t>By 2028, develop and document institutional mapping of research and education activities that are designed to contribute to global decarbonisation</t>
        </is>
      </c>
      <c r="D136" s="55" t="inlineStr">
        <is>
          <t>Unit</t>
        </is>
      </c>
      <c r="E136" s="55" t="inlineStr">
        <is>
          <t>AC&amp;M – Advancement, Communication and Marketing</t>
        </is>
      </c>
      <c r="P136" s="56">
        <f>'A1. Data scoring'!AH107</f>
        <v/>
      </c>
      <c r="Q136" s="56">
        <f>'A1. Data scoring'!AK107</f>
        <v/>
      </c>
      <c r="R136" s="8" t="n"/>
    </row>
    <row r="137" ht="18" customHeight="1">
      <c r="B137" s="57" t="inlineStr">
        <is>
          <t>CL2(a)</t>
        </is>
      </c>
      <c r="D137" s="13" t="inlineStr">
        <is>
          <t>Confirm end-2026 target status</t>
        </is>
      </c>
      <c r="E137" s="58">
        <f>'A1. Data scoring'!S107</f>
        <v/>
      </c>
      <c r="R137" s="59" t="n"/>
    </row>
    <row r="138" ht="60" customHeight="1">
      <c r="B138" s="57" t="inlineStr">
        <is>
          <t>CL2(a)</t>
        </is>
      </c>
      <c r="D138" s="13" t="inlineStr">
        <is>
          <t>OPTION 1:  Target-level reporting</t>
        </is>
      </c>
      <c r="E138" s="58">
        <f>'A1. Data scoring'!S108</f>
        <v/>
      </c>
      <c r="R138" s="59" t="n"/>
    </row>
    <row r="139" ht="60" customHeight="1">
      <c r="B139" s="57" t="inlineStr">
        <is>
          <t>CL2(a)</t>
        </is>
      </c>
      <c r="D139" s="13" t="inlineStr">
        <is>
          <t>OPTION 2:  Indicator level reporting</t>
        </is>
      </c>
      <c r="E139" s="58">
        <f>'A1. Data scoring'!S109</f>
        <v/>
      </c>
      <c r="R139" s="59" t="n"/>
    </row>
    <row r="140" ht="18" customHeight="1">
      <c r="B140" s="57" t="inlineStr">
        <is>
          <t>CL2(a)</t>
        </is>
      </c>
      <c r="D140" s="13" t="inlineStr">
        <is>
          <t>Supporting information/comments</t>
        </is>
      </c>
      <c r="E140" s="58">
        <f>'A1. Data scoring'!S110</f>
        <v/>
      </c>
      <c r="R140" s="59" t="n"/>
    </row>
    <row r="141" ht="18" customHeight="1">
      <c r="B141" s="57" t="inlineStr">
        <is>
          <t>CL2(a)</t>
        </is>
      </c>
      <c r="D141" s="13" t="inlineStr">
        <is>
          <t>Data source and limitations</t>
        </is>
      </c>
      <c r="E141" s="58">
        <f>'A1. Data scoring'!S111</f>
        <v/>
      </c>
      <c r="R141" s="59" t="n"/>
    </row>
    <row r="142" ht="18" customHeight="1">
      <c r="B142" s="57" t="inlineStr">
        <is>
          <t>CL2(a)</t>
        </is>
      </c>
      <c r="D142" s="13" t="inlineStr">
        <is>
          <t>Data owner confirms</t>
        </is>
      </c>
      <c r="E142" s="58">
        <f>'A1. Data scoring'!S112</f>
        <v/>
      </c>
      <c r="R142" s="60" t="n"/>
    </row>
    <row r="144">
      <c r="B144" s="7" t="inlineStr">
        <is>
          <t>CL2(c)</t>
        </is>
      </c>
      <c r="C144" s="50" t="inlineStr">
        <is>
          <t>Ongoing communications that evidence the University’s climate action, research and learning to inform policy, sector and community decarbonisation efforts.</t>
        </is>
      </c>
      <c r="D144" s="55" t="inlineStr">
        <is>
          <t>Unit</t>
        </is>
      </c>
      <c r="E144" s="55" t="inlineStr">
        <is>
          <t>AC&amp;M – Advancement, Communication and Marketing</t>
        </is>
      </c>
      <c r="P144" s="56">
        <f>'A1. Data scoring'!AH113</f>
        <v/>
      </c>
      <c r="Q144" s="56">
        <f>'A1. Data scoring'!AK113</f>
        <v/>
      </c>
      <c r="R144" s="8" t="n"/>
    </row>
    <row r="145" ht="18" customHeight="1">
      <c r="B145" s="57" t="inlineStr">
        <is>
          <t>CL2(c)</t>
        </is>
      </c>
      <c r="D145" s="13" t="inlineStr">
        <is>
          <t>Confirm end-2026 target status</t>
        </is>
      </c>
      <c r="E145" s="58">
        <f>'A1. Data scoring'!S113</f>
        <v/>
      </c>
      <c r="R145" s="59" t="n"/>
    </row>
    <row r="146" ht="60" customHeight="1">
      <c r="B146" s="57" t="inlineStr">
        <is>
          <t>CL2(c)</t>
        </is>
      </c>
      <c r="D146" s="13" t="inlineStr">
        <is>
          <t>OPTION 1:  Target-level reporting</t>
        </is>
      </c>
      <c r="E146" s="58">
        <f>'A1. Data scoring'!S114</f>
        <v/>
      </c>
      <c r="R146" s="59" t="n"/>
    </row>
    <row r="147" ht="60" customHeight="1">
      <c r="B147" s="57" t="inlineStr">
        <is>
          <t>CL2(c)</t>
        </is>
      </c>
      <c r="D147" s="13" t="inlineStr">
        <is>
          <t>OPTION 2:  Indicator level reporting</t>
        </is>
      </c>
      <c r="E147" s="58">
        <f>'A1. Data scoring'!S115</f>
        <v/>
      </c>
      <c r="R147" s="59" t="n"/>
    </row>
    <row r="148" ht="18" customHeight="1">
      <c r="B148" s="57" t="inlineStr">
        <is>
          <t>CL2(c)</t>
        </is>
      </c>
      <c r="D148" s="13" t="inlineStr">
        <is>
          <t>Supporting information/comments</t>
        </is>
      </c>
      <c r="E148" s="58">
        <f>'A1. Data scoring'!S116</f>
        <v/>
      </c>
      <c r="R148" s="59" t="n"/>
    </row>
    <row r="149" ht="18" customHeight="1">
      <c r="B149" s="57" t="inlineStr">
        <is>
          <t>CL2(c)</t>
        </is>
      </c>
      <c r="D149" s="13" t="inlineStr">
        <is>
          <t>Data source and limitations</t>
        </is>
      </c>
      <c r="E149" s="58">
        <f>'A1. Data scoring'!S117</f>
        <v/>
      </c>
      <c r="R149" s="59" t="n"/>
    </row>
    <row r="150" ht="18" customHeight="1">
      <c r="B150" s="57" t="inlineStr">
        <is>
          <t>CL2(c)</t>
        </is>
      </c>
      <c r="D150" s="13" t="inlineStr">
        <is>
          <t>Data owner confirms</t>
        </is>
      </c>
      <c r="E150" s="58">
        <f>'A1. Data scoring'!S118</f>
        <v/>
      </c>
      <c r="R150" s="60" t="n"/>
    </row>
    <row r="152">
      <c r="B152" s="7" t="inlineStr">
        <is>
          <t>CL3(a)</t>
        </is>
      </c>
      <c r="C152"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5" t="inlineStr">
        <is>
          <t>Unit</t>
        </is>
      </c>
      <c r="E152" s="55" t="inlineStr">
        <is>
          <t>CI&amp;S – Estate Planning &amp; Development</t>
        </is>
      </c>
      <c r="F152" s="55" t="inlineStr">
        <is>
          <t>Legal &amp; Risk – Risk &amp; resilience</t>
        </is>
      </c>
      <c r="P152" s="56">
        <f>'A1. Data scoring'!AH119</f>
        <v/>
      </c>
      <c r="Q152" s="56">
        <f>'A1. Data scoring'!AK119</f>
        <v/>
      </c>
      <c r="R152" s="8" t="n"/>
    </row>
    <row r="153" ht="18" customHeight="1">
      <c r="B153" s="57" t="inlineStr">
        <is>
          <t>CL3(a)</t>
        </is>
      </c>
      <c r="D153" s="13" t="inlineStr">
        <is>
          <t>Confirm end-2026 target status</t>
        </is>
      </c>
      <c r="E153" s="58">
        <f>'A1. Data scoring'!L119</f>
        <v/>
      </c>
      <c r="F153" s="58">
        <f>'A1. Data scoring'!X119</f>
        <v/>
      </c>
      <c r="R153" s="59" t="n"/>
    </row>
    <row r="154" ht="60" customHeight="1">
      <c r="B154" s="57" t="inlineStr">
        <is>
          <t>CL3(a)</t>
        </is>
      </c>
      <c r="D154" s="13" t="inlineStr">
        <is>
          <t>OPTION 1:  Target-level reporting</t>
        </is>
      </c>
      <c r="E154" s="58">
        <f>'A1. Data scoring'!L120</f>
        <v/>
      </c>
      <c r="F154" s="58">
        <f>'A1. Data scoring'!X120</f>
        <v/>
      </c>
      <c r="R154" s="59" t="n"/>
    </row>
    <row r="155" ht="60" customHeight="1">
      <c r="B155" s="57" t="inlineStr">
        <is>
          <t>CL3(a)</t>
        </is>
      </c>
      <c r="D155" s="13" t="inlineStr">
        <is>
          <t>OPTION 2:  Indicator level reporting</t>
        </is>
      </c>
      <c r="E155" s="58">
        <f>'A1. Data scoring'!L121</f>
        <v/>
      </c>
      <c r="F155" s="58">
        <f>'A1. Data scoring'!X121</f>
        <v/>
      </c>
      <c r="R155" s="59" t="n"/>
    </row>
    <row r="156" ht="18" customHeight="1">
      <c r="B156" s="57" t="inlineStr">
        <is>
          <t>CL3(a)</t>
        </is>
      </c>
      <c r="D156" s="13" t="inlineStr">
        <is>
          <t>Supporting information/comments</t>
        </is>
      </c>
      <c r="E156" s="58">
        <f>'A1. Data scoring'!L122</f>
        <v/>
      </c>
      <c r="F156" s="58">
        <f>'A1. Data scoring'!X122</f>
        <v/>
      </c>
      <c r="R156" s="59" t="n"/>
    </row>
    <row r="157" ht="18" customHeight="1">
      <c r="B157" s="57" t="inlineStr">
        <is>
          <t>CL3(a)</t>
        </is>
      </c>
      <c r="D157" s="13" t="inlineStr">
        <is>
          <t>Data source and limitations</t>
        </is>
      </c>
      <c r="E157" s="58">
        <f>'A1. Data scoring'!L123</f>
        <v/>
      </c>
      <c r="F157" s="58">
        <f>'A1. Data scoring'!X123</f>
        <v/>
      </c>
      <c r="R157" s="59" t="n"/>
    </row>
    <row r="158" ht="18" customHeight="1">
      <c r="B158" s="57" t="inlineStr">
        <is>
          <t>CL3(a)</t>
        </is>
      </c>
      <c r="D158" s="13" t="inlineStr">
        <is>
          <t>Data owner confirms</t>
        </is>
      </c>
      <c r="E158" s="58">
        <f>'A1. Data scoring'!L124</f>
        <v/>
      </c>
      <c r="F158" s="58">
        <f>'A1. Data scoring'!X124</f>
        <v/>
      </c>
      <c r="R158" s="60" t="n"/>
    </row>
    <row r="160">
      <c r="B160" s="7" t="inlineStr">
        <is>
          <t>NB1(b)</t>
        </is>
      </c>
      <c r="C160" s="50" t="inlineStr">
        <is>
          <t>Size, health and diversity of remnant vegetation at the Dookie and Creswick campuses</t>
        </is>
      </c>
      <c r="D160" s="55" t="inlineStr">
        <is>
          <t>Unit</t>
        </is>
      </c>
      <c r="E160" s="55" t="inlineStr">
        <is>
          <t>ESG – Campus Operations &amp; Sustainability Delivery</t>
        </is>
      </c>
      <c r="P160" s="56">
        <f>'A1. Data scoring'!AH125</f>
        <v/>
      </c>
      <c r="Q160" s="56">
        <f>'A1. Data scoring'!AK125</f>
        <v/>
      </c>
      <c r="R160" s="8" t="n"/>
    </row>
    <row r="161" ht="18" customHeight="1">
      <c r="B161" s="57" t="inlineStr">
        <is>
          <t>NB1(b)</t>
        </is>
      </c>
      <c r="D161" s="13" t="inlineStr">
        <is>
          <t>Confirm end-2026 target status</t>
        </is>
      </c>
      <c r="E161" s="58">
        <f>'A1. Data scoring'!P125</f>
        <v/>
      </c>
      <c r="R161" s="59" t="n"/>
    </row>
    <row r="162" ht="60" customHeight="1">
      <c r="B162" s="57" t="inlineStr">
        <is>
          <t>NB1(b)</t>
        </is>
      </c>
      <c r="D162" s="13" t="inlineStr">
        <is>
          <t>OPTION 1:  Target-level reporting</t>
        </is>
      </c>
      <c r="E162" s="58">
        <f>'A1. Data scoring'!P126</f>
        <v/>
      </c>
      <c r="R162" s="59" t="n"/>
    </row>
    <row r="163" ht="60" customHeight="1">
      <c r="B163" s="57" t="inlineStr">
        <is>
          <t>NB1(b)</t>
        </is>
      </c>
      <c r="D163" s="13" t="inlineStr">
        <is>
          <t>OPTION 2:  Indicator level reporting</t>
        </is>
      </c>
      <c r="E163" s="58">
        <f>'A1. Data scoring'!P127</f>
        <v/>
      </c>
      <c r="R163" s="59" t="n"/>
    </row>
    <row r="164" ht="18" customHeight="1">
      <c r="B164" s="57" t="inlineStr">
        <is>
          <t>NB1(b)</t>
        </is>
      </c>
      <c r="D164" s="13" t="inlineStr">
        <is>
          <t>Supporting information/comments</t>
        </is>
      </c>
      <c r="E164" s="58">
        <f>'A1. Data scoring'!P128</f>
        <v/>
      </c>
      <c r="R164" s="59" t="n"/>
    </row>
    <row r="165" ht="18" customHeight="1">
      <c r="B165" s="57" t="inlineStr">
        <is>
          <t>NB1(b)</t>
        </is>
      </c>
      <c r="D165" s="13" t="inlineStr">
        <is>
          <t>Data source and limitations</t>
        </is>
      </c>
      <c r="E165" s="58">
        <f>'A1. Data scoring'!P129</f>
        <v/>
      </c>
      <c r="R165" s="59" t="n"/>
    </row>
    <row r="166" ht="18" customHeight="1">
      <c r="B166" s="57" t="inlineStr">
        <is>
          <t>NB1(b)</t>
        </is>
      </c>
      <c r="D166" s="13" t="inlineStr">
        <is>
          <t>Data owner confirms</t>
        </is>
      </c>
      <c r="E166" s="58">
        <f>'A1. Data scoring'!P130</f>
        <v/>
      </c>
      <c r="R166" s="60" t="n"/>
    </row>
    <row r="168">
      <c r="B168" s="7" t="inlineStr">
        <is>
          <t>NB1(c)</t>
        </is>
      </c>
      <c r="C168" s="50" t="inlineStr">
        <is>
          <t>Defined quality measurement framework</t>
        </is>
      </c>
      <c r="D168" s="55" t="inlineStr">
        <is>
          <t>Unit</t>
        </is>
      </c>
      <c r="E168" s="55" t="inlineStr">
        <is>
          <t>ESG – Campus Operations &amp; Sustainability Delivery</t>
        </is>
      </c>
      <c r="P168" s="56">
        <f>'A1. Data scoring'!AH131</f>
        <v/>
      </c>
      <c r="Q168" s="56">
        <f>'A1. Data scoring'!AK131</f>
        <v/>
      </c>
      <c r="R168" s="8" t="n"/>
    </row>
    <row r="169" ht="18" customHeight="1">
      <c r="B169" s="57" t="inlineStr">
        <is>
          <t>NB1(c)</t>
        </is>
      </c>
      <c r="D169" s="13" t="inlineStr">
        <is>
          <t>Confirm end-2026 target status</t>
        </is>
      </c>
      <c r="E169" s="58">
        <f>'A1. Data scoring'!P131</f>
        <v/>
      </c>
      <c r="R169" s="59" t="n"/>
    </row>
    <row r="170" ht="60" customHeight="1">
      <c r="B170" s="57" t="inlineStr">
        <is>
          <t>NB1(c)</t>
        </is>
      </c>
      <c r="D170" s="13" t="inlineStr">
        <is>
          <t>OPTION 1:  Target-level reporting</t>
        </is>
      </c>
      <c r="E170" s="58">
        <f>'A1. Data scoring'!P132</f>
        <v/>
      </c>
      <c r="R170" s="59" t="n"/>
    </row>
    <row r="171" ht="60" customHeight="1">
      <c r="B171" s="57" t="inlineStr">
        <is>
          <t>NB1(c)</t>
        </is>
      </c>
      <c r="D171" s="13" t="inlineStr">
        <is>
          <t>OPTION 2:  Indicator level reporting</t>
        </is>
      </c>
      <c r="E171" s="58">
        <f>'A1. Data scoring'!P133</f>
        <v/>
      </c>
      <c r="R171" s="59" t="n"/>
    </row>
    <row r="172" ht="18" customHeight="1">
      <c r="B172" s="57" t="inlineStr">
        <is>
          <t>NB1(c)</t>
        </is>
      </c>
      <c r="D172" s="13" t="inlineStr">
        <is>
          <t>Supporting information/comments</t>
        </is>
      </c>
      <c r="E172" s="58">
        <f>'A1. Data scoring'!P134</f>
        <v/>
      </c>
      <c r="R172" s="59" t="n"/>
    </row>
    <row r="173" ht="18" customHeight="1">
      <c r="B173" s="57" t="inlineStr">
        <is>
          <t>NB1(c)</t>
        </is>
      </c>
      <c r="D173" s="13" t="inlineStr">
        <is>
          <t>Data source and limitations</t>
        </is>
      </c>
      <c r="E173" s="58">
        <f>'A1. Data scoring'!P135</f>
        <v/>
      </c>
      <c r="R173" s="59" t="n"/>
    </row>
    <row r="174" ht="18" customHeight="1">
      <c r="B174" s="57" t="inlineStr">
        <is>
          <t>NB1(c)</t>
        </is>
      </c>
      <c r="D174" s="13" t="inlineStr">
        <is>
          <t>Data owner confirms</t>
        </is>
      </c>
      <c r="E174" s="58">
        <f>'A1. Data scoring'!P136</f>
        <v/>
      </c>
      <c r="R174" s="60" t="n"/>
    </row>
    <row r="176">
      <c r="B176" s="7" t="inlineStr">
        <is>
          <t>NB1(d)</t>
        </is>
      </c>
      <c r="C176" s="50" t="inlineStr">
        <is>
          <t>Defined and quantified campus connectivity</t>
        </is>
      </c>
      <c r="D176" s="55" t="inlineStr">
        <is>
          <t>Unit</t>
        </is>
      </c>
      <c r="E176" s="55" t="inlineStr">
        <is>
          <t>ESG – Campus Operations &amp; Sustainability Delivery</t>
        </is>
      </c>
      <c r="P176" s="56">
        <f>'A1. Data scoring'!AH137</f>
        <v/>
      </c>
      <c r="Q176" s="56">
        <f>'A1. Data scoring'!AK137</f>
        <v/>
      </c>
      <c r="R176" s="8" t="n"/>
    </row>
    <row r="177" ht="18" customHeight="1">
      <c r="B177" s="57" t="inlineStr">
        <is>
          <t>NB1(d)</t>
        </is>
      </c>
      <c r="D177" s="13" t="inlineStr">
        <is>
          <t>Confirm end-2026 target status</t>
        </is>
      </c>
      <c r="E177" s="58">
        <f>'A1. Data scoring'!P137</f>
        <v/>
      </c>
      <c r="R177" s="59" t="n"/>
    </row>
    <row r="178" ht="60" customHeight="1">
      <c r="B178" s="57" t="inlineStr">
        <is>
          <t>NB1(d)</t>
        </is>
      </c>
      <c r="D178" s="13" t="inlineStr">
        <is>
          <t>OPTION 1:  Target-level reporting</t>
        </is>
      </c>
      <c r="E178" s="58">
        <f>'A1. Data scoring'!P138</f>
        <v/>
      </c>
      <c r="R178" s="59" t="n"/>
    </row>
    <row r="179" ht="60" customHeight="1">
      <c r="B179" s="57" t="inlineStr">
        <is>
          <t>NB1(d)</t>
        </is>
      </c>
      <c r="D179" s="13" t="inlineStr">
        <is>
          <t>OPTION 2:  Indicator level reporting</t>
        </is>
      </c>
      <c r="E179" s="58">
        <f>'A1. Data scoring'!P139</f>
        <v/>
      </c>
      <c r="R179" s="59" t="n"/>
    </row>
    <row r="180" ht="18" customHeight="1">
      <c r="B180" s="57" t="inlineStr">
        <is>
          <t>NB1(d)</t>
        </is>
      </c>
      <c r="D180" s="13" t="inlineStr">
        <is>
          <t>Supporting information/comments</t>
        </is>
      </c>
      <c r="E180" s="58">
        <f>'A1. Data scoring'!P140</f>
        <v/>
      </c>
      <c r="R180" s="59" t="n"/>
    </row>
    <row r="181" ht="18" customHeight="1">
      <c r="B181" s="57" t="inlineStr">
        <is>
          <t>NB1(d)</t>
        </is>
      </c>
      <c r="D181" s="13" t="inlineStr">
        <is>
          <t>Data source and limitations</t>
        </is>
      </c>
      <c r="E181" s="58">
        <f>'A1. Data scoring'!P141</f>
        <v/>
      </c>
      <c r="R181" s="59" t="n"/>
    </row>
    <row r="182" ht="18" customHeight="1">
      <c r="B182" s="57" t="inlineStr">
        <is>
          <t>NB1(d)</t>
        </is>
      </c>
      <c r="D182" s="13" t="inlineStr">
        <is>
          <t>Data owner confirms</t>
        </is>
      </c>
      <c r="E182" s="58">
        <f>'A1. Data scoring'!P142</f>
        <v/>
      </c>
      <c r="R182" s="60" t="n"/>
    </row>
    <row r="184">
      <c r="B184" s="7" t="inlineStr">
        <is>
          <t>NB2(a)</t>
        </is>
      </c>
      <c r="C184" s="50" t="inlineStr">
        <is>
          <t>Documented baseline nature footprint analysis</t>
        </is>
      </c>
      <c r="D184" s="55" t="inlineStr">
        <is>
          <t>Unit</t>
        </is>
      </c>
      <c r="E184" s="55" t="inlineStr">
        <is>
          <t>MRE – Research</t>
        </is>
      </c>
      <c r="P184" s="56">
        <f>'A1. Data scoring'!AH143</f>
        <v/>
      </c>
      <c r="Q184" s="56">
        <f>'A1. Data scoring'!AK143</f>
        <v/>
      </c>
      <c r="R184" s="8" t="n"/>
    </row>
    <row r="185" ht="18" customHeight="1">
      <c r="B185" s="57" t="inlineStr">
        <is>
          <t>NB2(a)</t>
        </is>
      </c>
      <c r="D185" s="13" t="inlineStr">
        <is>
          <t>Confirm end-2026 target status</t>
        </is>
      </c>
      <c r="E185" s="58">
        <f>'A1. Data scoring'!R143</f>
        <v/>
      </c>
      <c r="R185" s="59" t="n"/>
    </row>
    <row r="186" ht="60" customHeight="1">
      <c r="B186" s="57" t="inlineStr">
        <is>
          <t>NB2(a)</t>
        </is>
      </c>
      <c r="D186" s="13" t="inlineStr">
        <is>
          <t>OPTION 1:  Target-level reporting</t>
        </is>
      </c>
      <c r="E186" s="58">
        <f>'A1. Data scoring'!R144</f>
        <v/>
      </c>
      <c r="R186" s="59" t="n"/>
    </row>
    <row r="187" ht="60" customHeight="1">
      <c r="B187" s="57" t="inlineStr">
        <is>
          <t>NB2(a)</t>
        </is>
      </c>
      <c r="D187" s="13" t="inlineStr">
        <is>
          <t>OPTION 2:  Indicator level reporting</t>
        </is>
      </c>
      <c r="E187" s="58">
        <f>'A1. Data scoring'!R145</f>
        <v/>
      </c>
      <c r="R187" s="59" t="n"/>
    </row>
    <row r="188" ht="18" customHeight="1">
      <c r="B188" s="57" t="inlineStr">
        <is>
          <t>NB2(a)</t>
        </is>
      </c>
      <c r="D188" s="13" t="inlineStr">
        <is>
          <t>Supporting information/comments</t>
        </is>
      </c>
      <c r="E188" s="58">
        <f>'A1. Data scoring'!R146</f>
        <v/>
      </c>
      <c r="R188" s="59" t="n"/>
    </row>
    <row r="189" ht="18" customHeight="1">
      <c r="B189" s="57" t="inlineStr">
        <is>
          <t>NB2(a)</t>
        </is>
      </c>
      <c r="D189" s="13" t="inlineStr">
        <is>
          <t>Data source and limitations</t>
        </is>
      </c>
      <c r="E189" s="58">
        <f>'A1. Data scoring'!R147</f>
        <v/>
      </c>
      <c r="R189" s="59" t="n"/>
    </row>
    <row r="190" ht="18" customHeight="1">
      <c r="B190" s="57" t="inlineStr">
        <is>
          <t>NB2(a)</t>
        </is>
      </c>
      <c r="D190" s="13" t="inlineStr">
        <is>
          <t>Data owner confirms</t>
        </is>
      </c>
      <c r="E190" s="58">
        <f>'A1. Data scoring'!R148</f>
        <v/>
      </c>
      <c r="R190" s="60" t="n"/>
    </row>
    <row r="192">
      <c r="B192" s="7" t="inlineStr">
        <is>
          <t>NB2(b)</t>
        </is>
      </c>
      <c r="C192" s="50" t="inlineStr">
        <is>
          <t>Evidence of established framework to monitor and track supply-chain nature impacts over time</t>
        </is>
      </c>
      <c r="D192" s="55" t="inlineStr">
        <is>
          <t>Unit</t>
        </is>
      </c>
      <c r="E192" s="55" t="inlineStr">
        <is>
          <t>ESG – Campus Operations &amp; Sustainability Delivery</t>
        </is>
      </c>
      <c r="P192" s="56">
        <f>'A1. Data scoring'!AH149</f>
        <v/>
      </c>
      <c r="Q192" s="56">
        <f>'A1. Data scoring'!AK149</f>
        <v/>
      </c>
      <c r="R192" s="8" t="n"/>
    </row>
    <row r="193" ht="18" customHeight="1">
      <c r="B193" s="57" t="inlineStr">
        <is>
          <t>NB2(b)</t>
        </is>
      </c>
      <c r="D193" s="13" t="inlineStr">
        <is>
          <t>Confirm end-2026 target status</t>
        </is>
      </c>
      <c r="E193" s="58">
        <f>'A1. Data scoring'!P149</f>
        <v/>
      </c>
      <c r="R193" s="59" t="n"/>
    </row>
    <row r="194" ht="60" customHeight="1">
      <c r="B194" s="57" t="inlineStr">
        <is>
          <t>NB2(b)</t>
        </is>
      </c>
      <c r="D194" s="13" t="inlineStr">
        <is>
          <t>OPTION 1:  Target-level reporting</t>
        </is>
      </c>
      <c r="E194" s="58">
        <f>'A1. Data scoring'!P150</f>
        <v/>
      </c>
      <c r="R194" s="59" t="n"/>
    </row>
    <row r="195" ht="60" customHeight="1">
      <c r="B195" s="57" t="inlineStr">
        <is>
          <t>NB2(b)</t>
        </is>
      </c>
      <c r="D195" s="13" t="inlineStr">
        <is>
          <t>OPTION 2:  Indicator level reporting</t>
        </is>
      </c>
      <c r="E195" s="58">
        <f>'A1. Data scoring'!P151</f>
        <v/>
      </c>
      <c r="R195" s="59" t="n"/>
    </row>
    <row r="196" ht="18" customHeight="1">
      <c r="B196" s="57" t="inlineStr">
        <is>
          <t>NB2(b)</t>
        </is>
      </c>
      <c r="D196" s="13" t="inlineStr">
        <is>
          <t>Supporting information/comments</t>
        </is>
      </c>
      <c r="E196" s="58">
        <f>'A1. Data scoring'!P152</f>
        <v/>
      </c>
      <c r="R196" s="59" t="n"/>
    </row>
    <row r="197" ht="18" customHeight="1">
      <c r="B197" s="57" t="inlineStr">
        <is>
          <t>NB2(b)</t>
        </is>
      </c>
      <c r="D197" s="13" t="inlineStr">
        <is>
          <t>Data source and limitations</t>
        </is>
      </c>
      <c r="E197" s="58">
        <f>'A1. Data scoring'!P153</f>
        <v/>
      </c>
      <c r="R197" s="59" t="n"/>
    </row>
    <row r="198" ht="18" customHeight="1">
      <c r="B198" s="57" t="inlineStr">
        <is>
          <t>NB2(b)</t>
        </is>
      </c>
      <c r="D198" s="13" t="inlineStr">
        <is>
          <t>Data owner confirms</t>
        </is>
      </c>
      <c r="E198" s="58">
        <f>'A1. Data scoring'!P154</f>
        <v/>
      </c>
      <c r="R198" s="60" t="n"/>
    </row>
    <row r="200">
      <c r="B200" s="7" t="inlineStr">
        <is>
          <t>NB2(c)</t>
        </is>
      </c>
      <c r="C200" s="50" t="inlineStr">
        <is>
          <t>Evidence of prioritised high risk procurement categories or suppliers for nature impact management</t>
        </is>
      </c>
      <c r="D200" s="55" t="inlineStr">
        <is>
          <t>Unit</t>
        </is>
      </c>
      <c r="E200" s="55" t="inlineStr">
        <is>
          <t>CFOG – Procurement</t>
        </is>
      </c>
      <c r="F200" s="55" t="inlineStr">
        <is>
          <t>ESG – Campus Operations &amp; Sustainability Delivery</t>
        </is>
      </c>
      <c r="P200" s="56">
        <f>'A1. Data scoring'!AH155</f>
        <v/>
      </c>
      <c r="Q200" s="56">
        <f>'A1. Data scoring'!AK155</f>
        <v/>
      </c>
      <c r="R200" s="8" t="n"/>
    </row>
    <row r="201" ht="18" customHeight="1">
      <c r="B201" s="57" t="inlineStr">
        <is>
          <t>NB2(c)</t>
        </is>
      </c>
      <c r="D201" s="13" t="inlineStr">
        <is>
          <t>Confirm end-2026 target status</t>
        </is>
      </c>
      <c r="E201" s="58">
        <f>'A1. Data scoring'!N155</f>
        <v/>
      </c>
      <c r="F201" s="58">
        <f>'A1. Data scoring'!P155</f>
        <v/>
      </c>
      <c r="R201" s="59" t="n"/>
    </row>
    <row r="202" ht="60" customHeight="1">
      <c r="B202" s="57" t="inlineStr">
        <is>
          <t>NB2(c)</t>
        </is>
      </c>
      <c r="D202" s="13" t="inlineStr">
        <is>
          <t>OPTION 1:  Target-level reporting</t>
        </is>
      </c>
      <c r="E202" s="58">
        <f>'A1. Data scoring'!N156</f>
        <v/>
      </c>
      <c r="F202" s="58">
        <f>'A1. Data scoring'!P156</f>
        <v/>
      </c>
      <c r="R202" s="59" t="n"/>
    </row>
    <row r="203" ht="60" customHeight="1">
      <c r="B203" s="57" t="inlineStr">
        <is>
          <t>NB2(c)</t>
        </is>
      </c>
      <c r="D203" s="13" t="inlineStr">
        <is>
          <t>OPTION 2:  Indicator level reporting</t>
        </is>
      </c>
      <c r="E203" s="58">
        <f>'A1. Data scoring'!N157</f>
        <v/>
      </c>
      <c r="F203" s="58">
        <f>'A1. Data scoring'!P157</f>
        <v/>
      </c>
      <c r="R203" s="59" t="n"/>
    </row>
    <row r="204" ht="18" customHeight="1">
      <c r="B204" s="57" t="inlineStr">
        <is>
          <t>NB2(c)</t>
        </is>
      </c>
      <c r="D204" s="13" t="inlineStr">
        <is>
          <t>Supporting information/comments</t>
        </is>
      </c>
      <c r="E204" s="58">
        <f>'A1. Data scoring'!N158</f>
        <v/>
      </c>
      <c r="F204" s="58">
        <f>'A1. Data scoring'!P158</f>
        <v/>
      </c>
      <c r="R204" s="59" t="n"/>
    </row>
    <row r="205" ht="18" customHeight="1">
      <c r="B205" s="57" t="inlineStr">
        <is>
          <t>NB2(c)</t>
        </is>
      </c>
      <c r="D205" s="13" t="inlineStr">
        <is>
          <t>Data source and limitations</t>
        </is>
      </c>
      <c r="E205" s="58">
        <f>'A1. Data scoring'!N159</f>
        <v/>
      </c>
      <c r="F205" s="58">
        <f>'A1. Data scoring'!P159</f>
        <v/>
      </c>
      <c r="R205" s="59" t="n"/>
    </row>
    <row r="206" ht="18" customHeight="1">
      <c r="B206" s="57" t="inlineStr">
        <is>
          <t>NB2(c)</t>
        </is>
      </c>
      <c r="D206" s="13" t="inlineStr">
        <is>
          <t>Data owner confirms</t>
        </is>
      </c>
      <c r="E206" s="58">
        <f>'A1. Data scoring'!N160</f>
        <v/>
      </c>
      <c r="F206" s="58">
        <f>'A1. Data scoring'!P160</f>
        <v/>
      </c>
      <c r="R206" s="60" t="n"/>
    </row>
    <row r="208">
      <c r="B208" s="7" t="inlineStr">
        <is>
          <t>AI1(a)</t>
        </is>
      </c>
      <c r="C208" s="50" t="inlineStr">
        <is>
          <t>Established measurement of estimated operational impacts and opportunities (eg operational impacts could include energy, water, emissions and intensity measures)</t>
        </is>
      </c>
      <c r="D208" s="55" t="inlineStr">
        <is>
          <t>Unit</t>
        </is>
      </c>
      <c r="E208" s="55" t="inlineStr">
        <is>
          <t>CI&amp;S – Sustainability Strategy</t>
        </is>
      </c>
      <c r="F208" s="55" t="inlineStr">
        <is>
          <t>CIOG – Responsible AI &amp; digital</t>
        </is>
      </c>
      <c r="P208" s="56">
        <f>'A1. Data scoring'!AH161</f>
        <v/>
      </c>
      <c r="Q208" s="56">
        <f>'A1. Data scoring'!AK161</f>
        <v/>
      </c>
      <c r="R208" s="8" t="n"/>
    </row>
    <row r="209" ht="18" customHeight="1">
      <c r="B209" s="57" t="inlineStr">
        <is>
          <t>AI1(a)</t>
        </is>
      </c>
      <c r="D209" s="13" t="inlineStr">
        <is>
          <t>Confirm end-2026 target status</t>
        </is>
      </c>
      <c r="E209" s="58">
        <f>'A1. Data scoring'!M161</f>
        <v/>
      </c>
      <c r="F209" s="58">
        <f>'A1. Data scoring'!Q161</f>
        <v/>
      </c>
      <c r="R209" s="59" t="n"/>
    </row>
    <row r="210" ht="60" customHeight="1">
      <c r="B210" s="57" t="inlineStr">
        <is>
          <t>AI1(a)</t>
        </is>
      </c>
      <c r="D210" s="13" t="inlineStr">
        <is>
          <t>OPTION 1:  Target-level reporting</t>
        </is>
      </c>
      <c r="E210" s="58">
        <f>'A1. Data scoring'!M162</f>
        <v/>
      </c>
      <c r="F210" s="58">
        <f>'A1. Data scoring'!Q162</f>
        <v/>
      </c>
      <c r="R210" s="59" t="n"/>
    </row>
    <row r="211" ht="60" customHeight="1">
      <c r="B211" s="57" t="inlineStr">
        <is>
          <t>AI1(a)</t>
        </is>
      </c>
      <c r="D211" s="13" t="inlineStr">
        <is>
          <t>OPTION 2:  Indicator level reporting</t>
        </is>
      </c>
      <c r="E211" s="58">
        <f>'A1. Data scoring'!M163</f>
        <v/>
      </c>
      <c r="F211" s="58">
        <f>'A1. Data scoring'!Q163</f>
        <v/>
      </c>
      <c r="R211" s="59" t="n"/>
    </row>
    <row r="212" ht="18" customHeight="1">
      <c r="B212" s="57" t="inlineStr">
        <is>
          <t>AI1(a)</t>
        </is>
      </c>
      <c r="D212" s="13" t="inlineStr">
        <is>
          <t>Supporting information/comments</t>
        </is>
      </c>
      <c r="E212" s="58">
        <f>'A1. Data scoring'!M164</f>
        <v/>
      </c>
      <c r="F212" s="58">
        <f>'A1. Data scoring'!Q164</f>
        <v/>
      </c>
      <c r="R212" s="59" t="n"/>
    </row>
    <row r="213" ht="18" customHeight="1">
      <c r="B213" s="57" t="inlineStr">
        <is>
          <t>AI1(a)</t>
        </is>
      </c>
      <c r="D213" s="13" t="inlineStr">
        <is>
          <t>Data source and limitations</t>
        </is>
      </c>
      <c r="E213" s="58">
        <f>'A1. Data scoring'!M165</f>
        <v/>
      </c>
      <c r="F213" s="58">
        <f>'A1. Data scoring'!Q165</f>
        <v/>
      </c>
      <c r="R213" s="59" t="n"/>
    </row>
    <row r="214" ht="18" customHeight="1">
      <c r="B214" s="57" t="inlineStr">
        <is>
          <t>AI1(a)</t>
        </is>
      </c>
      <c r="D214" s="13" t="inlineStr">
        <is>
          <t>Data owner confirms</t>
        </is>
      </c>
      <c r="E214" s="58">
        <f>'A1. Data scoring'!M166</f>
        <v/>
      </c>
      <c r="F214" s="58">
        <f>'A1. Data scoring'!Q166</f>
        <v/>
      </c>
      <c r="R214" s="60" t="n"/>
    </row>
    <row r="216">
      <c r="B216" s="7" t="inlineStr">
        <is>
          <t>AI1(b)</t>
        </is>
      </c>
      <c r="C216" s="50" t="inlineStr">
        <is>
          <t>Case studies of sustainability and AI-related education, research and collaboration activities.</t>
        </is>
      </c>
      <c r="D216" s="55" t="inlineStr">
        <is>
          <t>Unit</t>
        </is>
      </c>
      <c r="E216" s="55" t="inlineStr">
        <is>
          <t>CI&amp;S – Sustainability Strategy</t>
        </is>
      </c>
      <c r="F216" s="55" t="inlineStr">
        <is>
          <t>CIOG – Responsible AI &amp; digital</t>
        </is>
      </c>
      <c r="P216" s="56">
        <f>'A1. Data scoring'!AH167</f>
        <v/>
      </c>
      <c r="Q216" s="56">
        <f>'A1. Data scoring'!AK167</f>
        <v/>
      </c>
      <c r="R216" s="8" t="n"/>
    </row>
    <row r="217" ht="18" customHeight="1">
      <c r="B217" s="57" t="inlineStr">
        <is>
          <t>AI1(b)</t>
        </is>
      </c>
      <c r="D217" s="13" t="inlineStr">
        <is>
          <t>Confirm end-2026 target status</t>
        </is>
      </c>
      <c r="E217" s="58">
        <f>'A1. Data scoring'!M167</f>
        <v/>
      </c>
      <c r="F217" s="58">
        <f>'A1. Data scoring'!Q167</f>
        <v/>
      </c>
      <c r="R217" s="59" t="n"/>
    </row>
    <row r="218" ht="60" customHeight="1">
      <c r="B218" s="57" t="inlineStr">
        <is>
          <t>AI1(b)</t>
        </is>
      </c>
      <c r="D218" s="13" t="inlineStr">
        <is>
          <t>OPTION 1:  Target-level reporting</t>
        </is>
      </c>
      <c r="E218" s="58">
        <f>'A1. Data scoring'!M168</f>
        <v/>
      </c>
      <c r="F218" s="58">
        <f>'A1. Data scoring'!Q168</f>
        <v/>
      </c>
      <c r="R218" s="59" t="n"/>
    </row>
    <row r="219" ht="60" customHeight="1">
      <c r="B219" s="57" t="inlineStr">
        <is>
          <t>AI1(b)</t>
        </is>
      </c>
      <c r="D219" s="13" t="inlineStr">
        <is>
          <t>OPTION 2:  Indicator level reporting</t>
        </is>
      </c>
      <c r="E219" s="58">
        <f>'A1. Data scoring'!M169</f>
        <v/>
      </c>
      <c r="F219" s="58">
        <f>'A1. Data scoring'!Q169</f>
        <v/>
      </c>
      <c r="R219" s="59" t="n"/>
    </row>
    <row r="220" ht="18" customHeight="1">
      <c r="B220" s="57" t="inlineStr">
        <is>
          <t>AI1(b)</t>
        </is>
      </c>
      <c r="D220" s="13" t="inlineStr">
        <is>
          <t>Supporting information/comments</t>
        </is>
      </c>
      <c r="E220" s="58">
        <f>'A1. Data scoring'!M170</f>
        <v/>
      </c>
      <c r="F220" s="58">
        <f>'A1. Data scoring'!Q170</f>
        <v/>
      </c>
      <c r="R220" s="59" t="n"/>
    </row>
    <row r="221" ht="18" customHeight="1">
      <c r="B221" s="57" t="inlineStr">
        <is>
          <t>AI1(b)</t>
        </is>
      </c>
      <c r="D221" s="13" t="inlineStr">
        <is>
          <t>Data source and limitations</t>
        </is>
      </c>
      <c r="E221" s="58">
        <f>'A1. Data scoring'!M171</f>
        <v/>
      </c>
      <c r="F221" s="58">
        <f>'A1. Data scoring'!Q171</f>
        <v/>
      </c>
      <c r="R221" s="59" t="n"/>
    </row>
    <row r="222" ht="18" customHeight="1">
      <c r="B222" s="57" t="inlineStr">
        <is>
          <t>AI1(b)</t>
        </is>
      </c>
      <c r="D222" s="13" t="inlineStr">
        <is>
          <t>Data owner confirms</t>
        </is>
      </c>
      <c r="E222" s="58">
        <f>'A1. Data scoring'!M172</f>
        <v/>
      </c>
      <c r="F222" s="58">
        <f>'A1. Data scoring'!Q172</f>
        <v/>
      </c>
      <c r="R222" s="60" t="n"/>
    </row>
    <row r="224">
      <c r="B224" s="7" t="inlineStr">
        <is>
          <t>EI1(a)</t>
        </is>
      </c>
      <c r="C224" s="50" t="inlineStr">
        <is>
          <t>Evidence of increased maturity of estate and infrastructure planning, development and operations to support the other priority areas in Sustainability 2030</t>
        </is>
      </c>
      <c r="D224" s="55" t="inlineStr">
        <is>
          <t>Unit</t>
        </is>
      </c>
      <c r="E224" s="55" t="inlineStr">
        <is>
          <t>CI&amp;S – Estate Planning &amp; Development</t>
        </is>
      </c>
      <c r="P224" s="56">
        <f>'A1. Data scoring'!AH173</f>
        <v/>
      </c>
      <c r="Q224" s="56">
        <f>'A1. Data scoring'!AK173</f>
        <v/>
      </c>
      <c r="R224" s="8" t="n"/>
    </row>
    <row r="225" ht="18" customHeight="1">
      <c r="B225" s="57" t="inlineStr">
        <is>
          <t>EI1(a)</t>
        </is>
      </c>
      <c r="D225" s="13" t="inlineStr">
        <is>
          <t>Confirm end-2026 target status</t>
        </is>
      </c>
      <c r="E225" s="58">
        <f>'A1. Data scoring'!L173</f>
        <v/>
      </c>
      <c r="R225" s="59" t="n"/>
    </row>
    <row r="226" ht="60" customHeight="1">
      <c r="B226" s="57" t="inlineStr">
        <is>
          <t>EI1(a)</t>
        </is>
      </c>
      <c r="D226" s="13" t="inlineStr">
        <is>
          <t>OPTION 1:  Target-level reporting</t>
        </is>
      </c>
      <c r="E226" s="58">
        <f>'A1. Data scoring'!L174</f>
        <v/>
      </c>
      <c r="R226" s="59" t="n"/>
    </row>
    <row r="227" ht="60" customHeight="1">
      <c r="B227" s="57" t="inlineStr">
        <is>
          <t>EI1(a)</t>
        </is>
      </c>
      <c r="D227" s="13" t="inlineStr">
        <is>
          <t>OPTION 2:  Indicator level reporting</t>
        </is>
      </c>
      <c r="E227" s="58">
        <f>'A1. Data scoring'!L175</f>
        <v/>
      </c>
      <c r="R227" s="59" t="n"/>
    </row>
    <row r="228" ht="18" customHeight="1">
      <c r="B228" s="57" t="inlineStr">
        <is>
          <t>EI1(a)</t>
        </is>
      </c>
      <c r="D228" s="13" t="inlineStr">
        <is>
          <t>Supporting information/comments</t>
        </is>
      </c>
      <c r="E228" s="58">
        <f>'A1. Data scoring'!L176</f>
        <v/>
      </c>
      <c r="R228" s="59" t="n"/>
    </row>
    <row r="229" ht="18" customHeight="1">
      <c r="B229" s="57" t="inlineStr">
        <is>
          <t>EI1(a)</t>
        </is>
      </c>
      <c r="D229" s="13" t="inlineStr">
        <is>
          <t>Data source and limitations</t>
        </is>
      </c>
      <c r="E229" s="58">
        <f>'A1. Data scoring'!L177</f>
        <v/>
      </c>
      <c r="R229" s="59" t="n"/>
    </row>
    <row r="230" ht="18" customHeight="1">
      <c r="B230" s="57" t="inlineStr">
        <is>
          <t>EI1(a)</t>
        </is>
      </c>
      <c r="D230" s="13" t="inlineStr">
        <is>
          <t>Data owner confirms</t>
        </is>
      </c>
      <c r="E230" s="58">
        <f>'A1. Data scoring'!L178</f>
        <v/>
      </c>
      <c r="R230" s="60" t="n"/>
    </row>
    <row r="232">
      <c r="B232" s="7" t="inlineStr">
        <is>
          <t>EI1(b)</t>
        </is>
      </c>
      <c r="C232" s="50" t="inlineStr">
        <is>
          <t>Estimated sustainability impacts of the University’s estate and infrastructure capital plan to inform progress towards emissions reduction targets and other priority areas (to the extent enabled by available information)</t>
        </is>
      </c>
      <c r="D232" s="55" t="inlineStr">
        <is>
          <t>Unit</t>
        </is>
      </c>
      <c r="E232" s="55" t="inlineStr">
        <is>
          <t>CI&amp;S – Estate Planning &amp; Development</t>
        </is>
      </c>
      <c r="P232" s="56">
        <f>'A1. Data scoring'!AH179</f>
        <v/>
      </c>
      <c r="Q232" s="56">
        <f>'A1. Data scoring'!AK179</f>
        <v/>
      </c>
      <c r="R232" s="8" t="n"/>
    </row>
    <row r="233" ht="18" customHeight="1">
      <c r="B233" s="57" t="inlineStr">
        <is>
          <t>EI1(b)</t>
        </is>
      </c>
      <c r="D233" s="13" t="inlineStr">
        <is>
          <t>Confirm end-2026 target status</t>
        </is>
      </c>
      <c r="E233" s="58">
        <f>'A1. Data scoring'!L179</f>
        <v/>
      </c>
      <c r="R233" s="59" t="n"/>
    </row>
    <row r="234" ht="60" customHeight="1">
      <c r="B234" s="57" t="inlineStr">
        <is>
          <t>EI1(b)</t>
        </is>
      </c>
      <c r="D234" s="13" t="inlineStr">
        <is>
          <t>OPTION 1:  Target-level reporting</t>
        </is>
      </c>
      <c r="E234" s="58">
        <f>'A1. Data scoring'!L180</f>
        <v/>
      </c>
      <c r="R234" s="59" t="n"/>
    </row>
    <row r="235" ht="60" customHeight="1">
      <c r="B235" s="57" t="inlineStr">
        <is>
          <t>EI1(b)</t>
        </is>
      </c>
      <c r="D235" s="13" t="inlineStr">
        <is>
          <t>OPTION 2:  Indicator level reporting</t>
        </is>
      </c>
      <c r="E235" s="58">
        <f>'A1. Data scoring'!L181</f>
        <v/>
      </c>
      <c r="R235" s="59" t="n"/>
    </row>
    <row r="236" ht="18" customHeight="1">
      <c r="B236" s="57" t="inlineStr">
        <is>
          <t>EI1(b)</t>
        </is>
      </c>
      <c r="D236" s="13" t="inlineStr">
        <is>
          <t>Supporting information/comments</t>
        </is>
      </c>
      <c r="E236" s="58">
        <f>'A1. Data scoring'!L182</f>
        <v/>
      </c>
      <c r="R236" s="59" t="n"/>
    </row>
    <row r="237" ht="18" customHeight="1">
      <c r="B237" s="57" t="inlineStr">
        <is>
          <t>EI1(b)</t>
        </is>
      </c>
      <c r="D237" s="13" t="inlineStr">
        <is>
          <t>Data source and limitations</t>
        </is>
      </c>
      <c r="E237" s="58">
        <f>'A1. Data scoring'!L183</f>
        <v/>
      </c>
      <c r="R237" s="59" t="n"/>
    </row>
    <row r="238" ht="18" customHeight="1">
      <c r="B238" s="57" t="inlineStr">
        <is>
          <t>EI1(b)</t>
        </is>
      </c>
      <c r="D238" s="13" t="inlineStr">
        <is>
          <t>Data owner confirms</t>
        </is>
      </c>
      <c r="E238" s="58">
        <f>'A1. Data scoring'!L184</f>
        <v/>
      </c>
      <c r="R238" s="60" t="n"/>
    </row>
    <row r="240">
      <c r="B240" s="7" t="inlineStr">
        <is>
          <t>EI1(c)</t>
        </is>
      </c>
      <c r="C240" s="50" t="inlineStr">
        <is>
          <t>Reporting on relevant activities and impacts for the University’s major estate and infrastructure projects and programs aligned with the other priority areas in Sustainability 2030</t>
        </is>
      </c>
      <c r="D240" s="55" t="inlineStr">
        <is>
          <t>Unit</t>
        </is>
      </c>
      <c r="E240" s="55" t="inlineStr">
        <is>
          <t>CI&amp;S – Estate Planning &amp; Development</t>
        </is>
      </c>
      <c r="P240" s="56">
        <f>'A1. Data scoring'!AH185</f>
        <v/>
      </c>
      <c r="Q240" s="56">
        <f>'A1. Data scoring'!AK185</f>
        <v/>
      </c>
      <c r="R240" s="8" t="n"/>
    </row>
    <row r="241" ht="18" customHeight="1">
      <c r="B241" s="57" t="inlineStr">
        <is>
          <t>EI1(c)</t>
        </is>
      </c>
      <c r="D241" s="13" t="inlineStr">
        <is>
          <t>Confirm end-2026 target status</t>
        </is>
      </c>
      <c r="E241" s="58">
        <f>'A1. Data scoring'!L185</f>
        <v/>
      </c>
      <c r="R241" s="59" t="n"/>
    </row>
    <row r="242" ht="60" customHeight="1">
      <c r="B242" s="57" t="inlineStr">
        <is>
          <t>EI1(c)</t>
        </is>
      </c>
      <c r="D242" s="13" t="inlineStr">
        <is>
          <t>OPTION 1:  Target-level reporting</t>
        </is>
      </c>
      <c r="E242" s="58">
        <f>'A1. Data scoring'!L186</f>
        <v/>
      </c>
      <c r="R242" s="59" t="n"/>
    </row>
    <row r="243" ht="60" customHeight="1">
      <c r="B243" s="57" t="inlineStr">
        <is>
          <t>EI1(c)</t>
        </is>
      </c>
      <c r="D243" s="13" t="inlineStr">
        <is>
          <t>OPTION 2:  Indicator level reporting</t>
        </is>
      </c>
      <c r="E243" s="58">
        <f>'A1. Data scoring'!L187</f>
        <v/>
      </c>
      <c r="R243" s="59" t="n"/>
    </row>
    <row r="244" ht="18" customHeight="1">
      <c r="B244" s="57" t="inlineStr">
        <is>
          <t>EI1(c)</t>
        </is>
      </c>
      <c r="D244" s="13" t="inlineStr">
        <is>
          <t>Supporting information/comments</t>
        </is>
      </c>
      <c r="E244" s="58">
        <f>'A1. Data scoring'!L188</f>
        <v/>
      </c>
      <c r="R244" s="59" t="n"/>
    </row>
    <row r="245" ht="18" customHeight="1">
      <c r="B245" s="57" t="inlineStr">
        <is>
          <t>EI1(c)</t>
        </is>
      </c>
      <c r="D245" s="13" t="inlineStr">
        <is>
          <t>Data source and limitations</t>
        </is>
      </c>
      <c r="E245" s="58">
        <f>'A1. Data scoring'!L189</f>
        <v/>
      </c>
      <c r="R245" s="59" t="n"/>
    </row>
    <row r="246" ht="18" customHeight="1">
      <c r="B246" s="57" t="inlineStr">
        <is>
          <t>EI1(c)</t>
        </is>
      </c>
      <c r="D246" s="13" t="inlineStr">
        <is>
          <t>Data owner confirms</t>
        </is>
      </c>
      <c r="E246" s="58">
        <f>'A1. Data scoring'!L190</f>
        <v/>
      </c>
      <c r="R246" s="60" t="n"/>
    </row>
    <row r="248">
      <c r="B248" s="7" t="inlineStr">
        <is>
          <t>EI1(d)</t>
        </is>
      </c>
      <c r="C248" s="50" t="inlineStr">
        <is>
          <t>Evidence of understanding and integration of Indigenous approaches to sustainability in estate planning and development programs and projects.</t>
        </is>
      </c>
      <c r="D248" s="55" t="inlineStr">
        <is>
          <t>Unit</t>
        </is>
      </c>
      <c r="E248" s="55" t="inlineStr">
        <is>
          <t>CI&amp;S – Estate Planning &amp; Development</t>
        </is>
      </c>
      <c r="P248" s="56">
        <f>'A1. Data scoring'!AH191</f>
        <v/>
      </c>
      <c r="Q248" s="56">
        <f>'A1. Data scoring'!AK191</f>
        <v/>
      </c>
      <c r="R248" s="8" t="n"/>
    </row>
    <row r="249" ht="18" customHeight="1">
      <c r="B249" s="57" t="inlineStr">
        <is>
          <t>EI1(d)</t>
        </is>
      </c>
      <c r="D249" s="13" t="inlineStr">
        <is>
          <t>Confirm end-2026 target status</t>
        </is>
      </c>
      <c r="E249" s="58">
        <f>'A1. Data scoring'!L191</f>
        <v/>
      </c>
      <c r="R249" s="59" t="n"/>
    </row>
    <row r="250" ht="60" customHeight="1">
      <c r="B250" s="57" t="inlineStr">
        <is>
          <t>EI1(d)</t>
        </is>
      </c>
      <c r="D250" s="13" t="inlineStr">
        <is>
          <t>OPTION 1:  Target-level reporting</t>
        </is>
      </c>
      <c r="E250" s="58">
        <f>'A1. Data scoring'!L192</f>
        <v/>
      </c>
      <c r="R250" s="59" t="n"/>
    </row>
    <row r="251" ht="60" customHeight="1">
      <c r="B251" s="57" t="inlineStr">
        <is>
          <t>EI1(d)</t>
        </is>
      </c>
      <c r="D251" s="13" t="inlineStr">
        <is>
          <t>OPTION 2:  Indicator level reporting</t>
        </is>
      </c>
      <c r="E251" s="58">
        <f>'A1. Data scoring'!L193</f>
        <v/>
      </c>
      <c r="R251" s="59" t="n"/>
    </row>
    <row r="252" ht="18" customHeight="1">
      <c r="B252" s="57" t="inlineStr">
        <is>
          <t>EI1(d)</t>
        </is>
      </c>
      <c r="D252" s="13" t="inlineStr">
        <is>
          <t>Supporting information/comments</t>
        </is>
      </c>
      <c r="E252" s="58">
        <f>'A1. Data scoring'!L194</f>
        <v/>
      </c>
      <c r="R252" s="59" t="n"/>
    </row>
    <row r="253" ht="18" customHeight="1">
      <c r="B253" s="57" t="inlineStr">
        <is>
          <t>EI1(d)</t>
        </is>
      </c>
      <c r="D253" s="13" t="inlineStr">
        <is>
          <t>Data source and limitations</t>
        </is>
      </c>
      <c r="E253" s="58">
        <f>'A1. Data scoring'!L195</f>
        <v/>
      </c>
      <c r="R253" s="59" t="n"/>
    </row>
    <row r="254" ht="18" customHeight="1">
      <c r="B254" s="57" t="inlineStr">
        <is>
          <t>EI1(d)</t>
        </is>
      </c>
      <c r="D254" s="13" t="inlineStr">
        <is>
          <t>Data owner confirms</t>
        </is>
      </c>
      <c r="E254" s="58">
        <f>'A1. Data scoring'!L196</f>
        <v/>
      </c>
      <c r="R254" s="60" t="n"/>
    </row>
    <row r="256">
      <c r="B256" s="7" t="inlineStr">
        <is>
          <t>RP1(a)</t>
        </is>
      </c>
      <c r="C256" s="50" t="inlineStr">
        <is>
          <t>Case studies of maturity improvement related to responsible procurement process and systems.</t>
        </is>
      </c>
      <c r="D256" s="55" t="inlineStr">
        <is>
          <t>Unit</t>
        </is>
      </c>
      <c r="E256" s="55" t="inlineStr">
        <is>
          <t>CFOG – Procurement</t>
        </is>
      </c>
      <c r="P256" s="56">
        <f>'A1. Data scoring'!AH197</f>
        <v/>
      </c>
      <c r="Q256" s="56">
        <f>'A1. Data scoring'!AK197</f>
        <v/>
      </c>
      <c r="R256" s="8" t="n"/>
    </row>
    <row r="257" ht="18" customHeight="1">
      <c r="B257" s="57" t="inlineStr">
        <is>
          <t>RP1(a)</t>
        </is>
      </c>
      <c r="D257" s="13" t="inlineStr">
        <is>
          <t>Confirm end-2026 target status</t>
        </is>
      </c>
      <c r="E257" s="58">
        <f>'A1. Data scoring'!N197</f>
        <v/>
      </c>
      <c r="R257" s="59" t="n"/>
    </row>
    <row r="258" ht="60" customHeight="1">
      <c r="B258" s="57" t="inlineStr">
        <is>
          <t>RP1(a)</t>
        </is>
      </c>
      <c r="D258" s="13" t="inlineStr">
        <is>
          <t>OPTION 1:  Target-level reporting</t>
        </is>
      </c>
      <c r="E258" s="58">
        <f>'A1. Data scoring'!N198</f>
        <v/>
      </c>
      <c r="R258" s="59" t="n"/>
    </row>
    <row r="259" ht="60" customHeight="1">
      <c r="B259" s="57" t="inlineStr">
        <is>
          <t>RP1(a)</t>
        </is>
      </c>
      <c r="D259" s="13" t="inlineStr">
        <is>
          <t>OPTION 2:  Indicator level reporting</t>
        </is>
      </c>
      <c r="E259" s="58">
        <f>'A1. Data scoring'!N199</f>
        <v/>
      </c>
      <c r="R259" s="59" t="n"/>
    </row>
    <row r="260" ht="18" customHeight="1">
      <c r="B260" s="57" t="inlineStr">
        <is>
          <t>RP1(a)</t>
        </is>
      </c>
      <c r="D260" s="13" t="inlineStr">
        <is>
          <t>Supporting information/comments</t>
        </is>
      </c>
      <c r="E260" s="58">
        <f>'A1. Data scoring'!N200</f>
        <v/>
      </c>
      <c r="R260" s="59" t="n"/>
    </row>
    <row r="261" ht="18" customHeight="1">
      <c r="B261" s="57" t="inlineStr">
        <is>
          <t>RP1(a)</t>
        </is>
      </c>
      <c r="D261" s="13" t="inlineStr">
        <is>
          <t>Data source and limitations</t>
        </is>
      </c>
      <c r="E261" s="58">
        <f>'A1. Data scoring'!N201</f>
        <v/>
      </c>
      <c r="R261" s="59" t="n"/>
    </row>
    <row r="262" ht="18" customHeight="1">
      <c r="B262" s="57" t="inlineStr">
        <is>
          <t>RP1(a)</t>
        </is>
      </c>
      <c r="D262" s="13" t="inlineStr">
        <is>
          <t>Data owner confirms</t>
        </is>
      </c>
      <c r="E262" s="58">
        <f>'A1. Data scoring'!N202</f>
        <v/>
      </c>
      <c r="R262" s="60" t="n"/>
    </row>
    <row r="264">
      <c r="B264" s="7" t="inlineStr">
        <is>
          <t>MS1(a)</t>
        </is>
      </c>
      <c r="C264" s="50" t="inlineStr">
        <is>
          <t>Annual progress reporting via the Modern Slavery Statement</t>
        </is>
      </c>
      <c r="D264" s="55" t="inlineStr">
        <is>
          <t>Unit</t>
        </is>
      </c>
      <c r="E264" s="55" t="inlineStr">
        <is>
          <t>CI&amp;S – Sustainability Strategy</t>
        </is>
      </c>
      <c r="F264" s="55" t="inlineStr">
        <is>
          <t>CFOG – Procurement</t>
        </is>
      </c>
      <c r="P264" s="56">
        <f>'A1. Data scoring'!AH203</f>
        <v/>
      </c>
      <c r="Q264" s="56">
        <f>'A1. Data scoring'!AK203</f>
        <v/>
      </c>
      <c r="R264" s="8" t="n"/>
    </row>
    <row r="265" ht="18" customHeight="1">
      <c r="B265" s="57" t="inlineStr">
        <is>
          <t>MS1(a)</t>
        </is>
      </c>
      <c r="D265" s="13" t="inlineStr">
        <is>
          <t>Confirm end-2026 target status</t>
        </is>
      </c>
      <c r="E265" s="58">
        <f>'A1. Data scoring'!M203</f>
        <v/>
      </c>
      <c r="F265" s="58">
        <f>'A1. Data scoring'!N203</f>
        <v/>
      </c>
      <c r="R265" s="59" t="n"/>
    </row>
    <row r="266" ht="60" customHeight="1">
      <c r="B266" s="57" t="inlineStr">
        <is>
          <t>MS1(a)</t>
        </is>
      </c>
      <c r="D266" s="13" t="inlineStr">
        <is>
          <t>OPTION 1:  Target-level reporting</t>
        </is>
      </c>
      <c r="E266" s="58">
        <f>'A1. Data scoring'!M204</f>
        <v/>
      </c>
      <c r="F266" s="58">
        <f>'A1. Data scoring'!N204</f>
        <v/>
      </c>
      <c r="R266" s="59" t="n"/>
    </row>
    <row r="267" ht="60" customHeight="1">
      <c r="B267" s="57" t="inlineStr">
        <is>
          <t>MS1(a)</t>
        </is>
      </c>
      <c r="D267" s="13" t="inlineStr">
        <is>
          <t>OPTION 2:  Indicator level reporting</t>
        </is>
      </c>
      <c r="E267" s="58">
        <f>'A1. Data scoring'!M205</f>
        <v/>
      </c>
      <c r="F267" s="58">
        <f>'A1. Data scoring'!N205</f>
        <v/>
      </c>
      <c r="R267" s="59" t="n"/>
    </row>
    <row r="268" ht="18" customHeight="1">
      <c r="B268" s="57" t="inlineStr">
        <is>
          <t>MS1(a)</t>
        </is>
      </c>
      <c r="D268" s="13" t="inlineStr">
        <is>
          <t>Supporting information/comments</t>
        </is>
      </c>
      <c r="E268" s="58">
        <f>'A1. Data scoring'!M206</f>
        <v/>
      </c>
      <c r="F268" s="58">
        <f>'A1. Data scoring'!N206</f>
        <v/>
      </c>
      <c r="R268" s="59" t="n"/>
    </row>
    <row r="269" ht="18" customHeight="1">
      <c r="B269" s="57" t="inlineStr">
        <is>
          <t>MS1(a)</t>
        </is>
      </c>
      <c r="D269" s="13" t="inlineStr">
        <is>
          <t>Data source and limitations</t>
        </is>
      </c>
      <c r="E269" s="58">
        <f>'A1. Data scoring'!M207</f>
        <v/>
      </c>
      <c r="F269" s="58">
        <f>'A1. Data scoring'!N207</f>
        <v/>
      </c>
      <c r="R269" s="59" t="n"/>
    </row>
    <row r="270" ht="18" customHeight="1">
      <c r="B270" s="57" t="inlineStr">
        <is>
          <t>MS1(a)</t>
        </is>
      </c>
      <c r="D270" s="13" t="inlineStr">
        <is>
          <t>Data owner confirms</t>
        </is>
      </c>
      <c r="E270" s="58">
        <f>'A1. Data scoring'!M208</f>
        <v/>
      </c>
      <c r="F270" s="58">
        <f>'A1. Data scoring'!N208</f>
        <v/>
      </c>
      <c r="R270" s="60" t="n"/>
    </row>
    <row r="272">
      <c r="B272" s="7" t="inlineStr">
        <is>
          <t>RI1(b)</t>
        </is>
      </c>
      <c r="C272" s="50" t="inlineStr">
        <is>
          <t>Continuous improvement of the reporting of the University’s sustainability-related investment profile metrics, could include investment in climate mitigation and transition solutions, and compliance with related obligations (eg UNPRI).</t>
        </is>
      </c>
      <c r="D272" s="55" t="inlineStr">
        <is>
          <t>Unit</t>
        </is>
      </c>
      <c r="E272" s="55" t="inlineStr">
        <is>
          <t>CI&amp;S – Sustainability Strategy</t>
        </is>
      </c>
      <c r="F272" s="55" t="inlineStr">
        <is>
          <t>CFOG – Treasury &amp; Investments</t>
        </is>
      </c>
      <c r="P272" s="56">
        <f>'A1. Data scoring'!AH209</f>
        <v/>
      </c>
      <c r="Q272" s="56">
        <f>'A1. Data scoring'!AK209</f>
        <v/>
      </c>
      <c r="R272" s="8" t="n"/>
    </row>
    <row r="273" ht="18" customHeight="1">
      <c r="B273" s="57" t="inlineStr">
        <is>
          <t>RI1(b)</t>
        </is>
      </c>
      <c r="D273" s="13" t="inlineStr">
        <is>
          <t>Confirm end-2026 target status</t>
        </is>
      </c>
      <c r="E273" s="58">
        <f>'A1. Data scoring'!M209</f>
        <v/>
      </c>
      <c r="F273" s="58">
        <f>'A1. Data scoring'!O209</f>
        <v/>
      </c>
      <c r="R273" s="59" t="n"/>
    </row>
    <row r="274" ht="60" customHeight="1">
      <c r="B274" s="57" t="inlineStr">
        <is>
          <t>RI1(b)</t>
        </is>
      </c>
      <c r="D274" s="13" t="inlineStr">
        <is>
          <t>OPTION 1:  Target-level reporting</t>
        </is>
      </c>
      <c r="E274" s="58">
        <f>'A1. Data scoring'!M210</f>
        <v/>
      </c>
      <c r="F274" s="58">
        <f>'A1. Data scoring'!O210</f>
        <v/>
      </c>
      <c r="R274" s="59" t="n"/>
    </row>
    <row r="275" ht="60" customHeight="1">
      <c r="B275" s="57" t="inlineStr">
        <is>
          <t>RI1(b)</t>
        </is>
      </c>
      <c r="D275" s="13" t="inlineStr">
        <is>
          <t>OPTION 2:  Indicator level reporting</t>
        </is>
      </c>
      <c r="E275" s="58">
        <f>'A1. Data scoring'!M211</f>
        <v/>
      </c>
      <c r="F275" s="58">
        <f>'A1. Data scoring'!O211</f>
        <v/>
      </c>
      <c r="R275" s="59" t="n"/>
    </row>
    <row r="276" ht="18" customHeight="1">
      <c r="B276" s="57" t="inlineStr">
        <is>
          <t>RI1(b)</t>
        </is>
      </c>
      <c r="D276" s="13" t="inlineStr">
        <is>
          <t>Supporting information/comments</t>
        </is>
      </c>
      <c r="E276" s="58">
        <f>'A1. Data scoring'!M212</f>
        <v/>
      </c>
      <c r="F276" s="58">
        <f>'A1. Data scoring'!O212</f>
        <v/>
      </c>
      <c r="R276" s="59" t="n"/>
    </row>
    <row r="277" ht="18" customHeight="1">
      <c r="B277" s="57" t="inlineStr">
        <is>
          <t>RI1(b)</t>
        </is>
      </c>
      <c r="D277" s="13" t="inlineStr">
        <is>
          <t>Data source and limitations</t>
        </is>
      </c>
      <c r="E277" s="58">
        <f>'A1. Data scoring'!M213</f>
        <v/>
      </c>
      <c r="F277" s="58">
        <f>'A1. Data scoring'!O213</f>
        <v/>
      </c>
      <c r="R277" s="59" t="n"/>
    </row>
    <row r="278" ht="18" customHeight="1">
      <c r="B278" s="57" t="inlineStr">
        <is>
          <t>RI1(b)</t>
        </is>
      </c>
      <c r="D278" s="13" t="inlineStr">
        <is>
          <t>Data owner confirms</t>
        </is>
      </c>
      <c r="E278" s="58">
        <f>'A1. Data scoring'!M214</f>
        <v/>
      </c>
      <c r="F278" s="58">
        <f>'A1. Data scoring'!O214</f>
        <v/>
      </c>
      <c r="R278" s="60" t="n"/>
    </row>
    <row r="280">
      <c r="B280" s="7" t="inlineStr">
        <is>
          <t>EN1(a)</t>
        </is>
      </c>
      <c r="C280" s="50" t="inlineStr">
        <is>
          <t>Evidence of sustainability outcomes informed by Indigenous knowledges</t>
        </is>
      </c>
      <c r="D280" s="55" t="inlineStr">
        <is>
          <t>Unit</t>
        </is>
      </c>
      <c r="E280" s="55" t="inlineStr">
        <is>
          <t>ABP</t>
        </is>
      </c>
      <c r="F280" s="55" t="inlineStr">
        <is>
          <t>ARTS</t>
        </is>
      </c>
      <c r="G280" s="55" t="inlineStr">
        <is>
          <t>FBE</t>
        </is>
      </c>
      <c r="H280" s="55" t="inlineStr">
        <is>
          <t>SCI</t>
        </is>
      </c>
      <c r="I280" s="55" t="inlineStr">
        <is>
          <t>GCE – Global, Culture and Engagement</t>
        </is>
      </c>
      <c r="J280" s="55" t="inlineStr">
        <is>
          <t>Indigenous – Chancellery Indigenous</t>
        </is>
      </c>
      <c r="P280" s="56">
        <f>'A1. Data scoring'!AH215</f>
        <v/>
      </c>
      <c r="Q280" s="56">
        <f>'A1. Data scoring'!AK215</f>
        <v/>
      </c>
      <c r="R280" s="8" t="n"/>
    </row>
    <row r="281" ht="18" customHeight="1">
      <c r="B281" s="57" t="inlineStr">
        <is>
          <t>EN1(a)</t>
        </is>
      </c>
      <c r="D281" s="13" t="inlineStr">
        <is>
          <t>Confirm end-2026 target status</t>
        </is>
      </c>
      <c r="E281" s="58">
        <f>'A1. Data scoring'!H215</f>
        <v/>
      </c>
      <c r="F281" s="58">
        <f>'A1. Data scoring'!I215</f>
        <v/>
      </c>
      <c r="G281" s="58">
        <f>'A1. Data scoring'!J215</f>
        <v/>
      </c>
      <c r="H281" s="58">
        <f>'A1. Data scoring'!K215</f>
        <v/>
      </c>
      <c r="I281" s="58">
        <f>'A1. Data scoring'!T215</f>
        <v/>
      </c>
      <c r="J281" s="58">
        <f>'A1. Data scoring'!W215</f>
        <v/>
      </c>
      <c r="R281" s="59" t="n"/>
    </row>
    <row r="282" ht="60" customHeight="1">
      <c r="B282" s="57" t="inlineStr">
        <is>
          <t>EN1(a)</t>
        </is>
      </c>
      <c r="D282" s="13" t="inlineStr">
        <is>
          <t>OPTION 1:  Target-level reporting</t>
        </is>
      </c>
      <c r="E282" s="58">
        <f>'A1. Data scoring'!H216</f>
        <v/>
      </c>
      <c r="F282" s="58">
        <f>'A1. Data scoring'!I216</f>
        <v/>
      </c>
      <c r="G282" s="58">
        <f>'A1. Data scoring'!J216</f>
        <v/>
      </c>
      <c r="H282" s="58">
        <f>'A1. Data scoring'!K216</f>
        <v/>
      </c>
      <c r="I282" s="58">
        <f>'A1. Data scoring'!T216</f>
        <v/>
      </c>
      <c r="J282" s="58">
        <f>'A1. Data scoring'!W216</f>
        <v/>
      </c>
      <c r="R282" s="59" t="n"/>
    </row>
    <row r="283" ht="60" customHeight="1">
      <c r="B283" s="57" t="inlineStr">
        <is>
          <t>EN1(a)</t>
        </is>
      </c>
      <c r="D283" s="13" t="inlineStr">
        <is>
          <t>OPTION 2:  Indicator level reporting</t>
        </is>
      </c>
      <c r="E283" s="58">
        <f>'A1. Data scoring'!H217</f>
        <v/>
      </c>
      <c r="F283" s="58">
        <f>'A1. Data scoring'!I217</f>
        <v/>
      </c>
      <c r="G283" s="58">
        <f>'A1. Data scoring'!J217</f>
        <v/>
      </c>
      <c r="H283" s="58">
        <f>'A1. Data scoring'!K217</f>
        <v/>
      </c>
      <c r="I283" s="58">
        <f>'A1. Data scoring'!T217</f>
        <v/>
      </c>
      <c r="J283" s="58">
        <f>'A1. Data scoring'!W217</f>
        <v/>
      </c>
      <c r="R283" s="59" t="n"/>
    </row>
    <row r="284" ht="18" customHeight="1">
      <c r="B284" s="57" t="inlineStr">
        <is>
          <t>EN1(a)</t>
        </is>
      </c>
      <c r="D284" s="13" t="inlineStr">
        <is>
          <t>Supporting information/comments</t>
        </is>
      </c>
      <c r="E284" s="58">
        <f>'A1. Data scoring'!H218</f>
        <v/>
      </c>
      <c r="F284" s="58">
        <f>'A1. Data scoring'!I218</f>
        <v/>
      </c>
      <c r="G284" s="58">
        <f>'A1. Data scoring'!J218</f>
        <v/>
      </c>
      <c r="H284" s="58">
        <f>'A1. Data scoring'!K218</f>
        <v/>
      </c>
      <c r="I284" s="58">
        <f>'A1. Data scoring'!T218</f>
        <v/>
      </c>
      <c r="J284" s="58">
        <f>'A1. Data scoring'!W218</f>
        <v/>
      </c>
      <c r="R284" s="59" t="n"/>
    </row>
    <row r="285" ht="18" customHeight="1">
      <c r="B285" s="57" t="inlineStr">
        <is>
          <t>EN1(a)</t>
        </is>
      </c>
      <c r="D285" s="13" t="inlineStr">
        <is>
          <t>Data source and limitations</t>
        </is>
      </c>
      <c r="E285" s="58">
        <f>'A1. Data scoring'!H219</f>
        <v/>
      </c>
      <c r="F285" s="58">
        <f>'A1. Data scoring'!I219</f>
        <v/>
      </c>
      <c r="G285" s="58">
        <f>'A1. Data scoring'!J219</f>
        <v/>
      </c>
      <c r="H285" s="58">
        <f>'A1. Data scoring'!K219</f>
        <v/>
      </c>
      <c r="I285" s="58">
        <f>'A1. Data scoring'!T219</f>
        <v/>
      </c>
      <c r="J285" s="58">
        <f>'A1. Data scoring'!W219</f>
        <v/>
      </c>
      <c r="R285" s="59" t="n"/>
    </row>
    <row r="286" ht="18" customHeight="1">
      <c r="B286" s="57" t="inlineStr">
        <is>
          <t>EN1(a)</t>
        </is>
      </c>
      <c r="D286" s="13" t="inlineStr">
        <is>
          <t>Data owner confirms</t>
        </is>
      </c>
      <c r="E286" s="58">
        <f>'A1. Data scoring'!H220</f>
        <v/>
      </c>
      <c r="F286" s="58">
        <f>'A1. Data scoring'!I220</f>
        <v/>
      </c>
      <c r="G286" s="58">
        <f>'A1. Data scoring'!J220</f>
        <v/>
      </c>
      <c r="H286" s="58">
        <f>'A1. Data scoring'!K220</f>
        <v/>
      </c>
      <c r="I286" s="58">
        <f>'A1. Data scoring'!T220</f>
        <v/>
      </c>
      <c r="J286" s="58">
        <f>'A1. Data scoring'!W220</f>
        <v/>
      </c>
      <c r="R286" s="60" t="n"/>
    </row>
    <row r="288">
      <c r="B288" s="7" t="inlineStr">
        <is>
          <t>EN1(b)</t>
        </is>
      </c>
      <c r="C288" s="50" t="inlineStr">
        <is>
          <t>Living laboratories enabling applied learning, research and operational sustainability outcomes</t>
        </is>
      </c>
      <c r="D288" s="55" t="inlineStr">
        <is>
          <t>Unit</t>
        </is>
      </c>
      <c r="E288" s="55" t="inlineStr">
        <is>
          <t>ABP</t>
        </is>
      </c>
      <c r="F288" s="55" t="inlineStr">
        <is>
          <t>ARTS</t>
        </is>
      </c>
      <c r="G288" s="55" t="inlineStr">
        <is>
          <t>FBE</t>
        </is>
      </c>
      <c r="H288" s="55" t="inlineStr">
        <is>
          <t>SCI</t>
        </is>
      </c>
      <c r="I288" s="55" t="inlineStr">
        <is>
          <t>CI&amp;S – Sustainability Strategy</t>
        </is>
      </c>
      <c r="P288" s="56">
        <f>'A1. Data scoring'!AH221</f>
        <v/>
      </c>
      <c r="Q288" s="56">
        <f>'A1. Data scoring'!AK221</f>
        <v/>
      </c>
      <c r="R288" s="8" t="n"/>
    </row>
    <row r="289" ht="18" customHeight="1">
      <c r="B289" s="57" t="inlineStr">
        <is>
          <t>EN1(b)</t>
        </is>
      </c>
      <c r="D289" s="13" t="inlineStr">
        <is>
          <t>Confirm end-2026 target status</t>
        </is>
      </c>
      <c r="E289" s="58">
        <f>'A1. Data scoring'!H221</f>
        <v/>
      </c>
      <c r="F289" s="58">
        <f>'A1. Data scoring'!I221</f>
        <v/>
      </c>
      <c r="G289" s="58">
        <f>'A1. Data scoring'!J221</f>
        <v/>
      </c>
      <c r="H289" s="58">
        <f>'A1. Data scoring'!K221</f>
        <v/>
      </c>
      <c r="I289" s="58">
        <f>'A1. Data scoring'!M221</f>
        <v/>
      </c>
      <c r="R289" s="59" t="n"/>
    </row>
    <row r="290" ht="60" customHeight="1">
      <c r="B290" s="57" t="inlineStr">
        <is>
          <t>EN1(b)</t>
        </is>
      </c>
      <c r="D290" s="13" t="inlineStr">
        <is>
          <t>OPTION 1:  Target-level reporting</t>
        </is>
      </c>
      <c r="E290" s="58">
        <f>'A1. Data scoring'!H222</f>
        <v/>
      </c>
      <c r="F290" s="58">
        <f>'A1. Data scoring'!I222</f>
        <v/>
      </c>
      <c r="G290" s="58">
        <f>'A1. Data scoring'!J222</f>
        <v/>
      </c>
      <c r="H290" s="58">
        <f>'A1. Data scoring'!K222</f>
        <v/>
      </c>
      <c r="I290" s="58">
        <f>'A1. Data scoring'!M222</f>
        <v/>
      </c>
      <c r="R290" s="59" t="n"/>
    </row>
    <row r="291" ht="60" customHeight="1">
      <c r="B291" s="57" t="inlineStr">
        <is>
          <t>EN1(b)</t>
        </is>
      </c>
      <c r="D291" s="13" t="inlineStr">
        <is>
          <t>OPTION 2:  Indicator level reporting</t>
        </is>
      </c>
      <c r="E291" s="58">
        <f>'A1. Data scoring'!H223</f>
        <v/>
      </c>
      <c r="F291" s="58">
        <f>'A1. Data scoring'!I223</f>
        <v/>
      </c>
      <c r="G291" s="58">
        <f>'A1. Data scoring'!J223</f>
        <v/>
      </c>
      <c r="H291" s="58">
        <f>'A1. Data scoring'!K223</f>
        <v/>
      </c>
      <c r="I291" s="58">
        <f>'A1. Data scoring'!M223</f>
        <v/>
      </c>
      <c r="R291" s="59" t="n"/>
    </row>
    <row r="292" ht="18" customHeight="1">
      <c r="B292" s="57" t="inlineStr">
        <is>
          <t>EN1(b)</t>
        </is>
      </c>
      <c r="D292" s="13" t="inlineStr">
        <is>
          <t>Supporting information/comments</t>
        </is>
      </c>
      <c r="E292" s="58">
        <f>'A1. Data scoring'!H224</f>
        <v/>
      </c>
      <c r="F292" s="58">
        <f>'A1. Data scoring'!I224</f>
        <v/>
      </c>
      <c r="G292" s="58">
        <f>'A1. Data scoring'!J224</f>
        <v/>
      </c>
      <c r="H292" s="58">
        <f>'A1. Data scoring'!K224</f>
        <v/>
      </c>
      <c r="I292" s="58">
        <f>'A1. Data scoring'!M224</f>
        <v/>
      </c>
      <c r="R292" s="59" t="n"/>
    </row>
    <row r="293" ht="18" customHeight="1">
      <c r="B293" s="57" t="inlineStr">
        <is>
          <t>EN1(b)</t>
        </is>
      </c>
      <c r="D293" s="13" t="inlineStr">
        <is>
          <t>Data source and limitations</t>
        </is>
      </c>
      <c r="E293" s="58">
        <f>'A1. Data scoring'!H225</f>
        <v/>
      </c>
      <c r="F293" s="58">
        <f>'A1. Data scoring'!I225</f>
        <v/>
      </c>
      <c r="G293" s="58">
        <f>'A1. Data scoring'!J225</f>
        <v/>
      </c>
      <c r="H293" s="58">
        <f>'A1. Data scoring'!K225</f>
        <v/>
      </c>
      <c r="I293" s="58">
        <f>'A1. Data scoring'!M225</f>
        <v/>
      </c>
      <c r="R293" s="59" t="n"/>
    </row>
    <row r="294" ht="18" customHeight="1">
      <c r="B294" s="57" t="inlineStr">
        <is>
          <t>EN1(b)</t>
        </is>
      </c>
      <c r="D294" s="13" t="inlineStr">
        <is>
          <t>Data owner confirms</t>
        </is>
      </c>
      <c r="E294" s="58">
        <f>'A1. Data scoring'!H226</f>
        <v/>
      </c>
      <c r="F294" s="58">
        <f>'A1. Data scoring'!I226</f>
        <v/>
      </c>
      <c r="G294" s="58">
        <f>'A1. Data scoring'!J226</f>
        <v/>
      </c>
      <c r="H294" s="58">
        <f>'A1. Data scoring'!K226</f>
        <v/>
      </c>
      <c r="I294" s="58">
        <f>'A1. Data scoring'!M226</f>
        <v/>
      </c>
      <c r="R294" s="60" t="n"/>
    </row>
    <row r="296">
      <c r="B296" s="7" t="inlineStr">
        <is>
          <t>EN1(c)</t>
        </is>
      </c>
      <c r="C296" s="50" t="inlineStr">
        <is>
          <t>Coordinated internal engagement and external partnerships contributing to delivery of sustainability outcomes across priority areas.</t>
        </is>
      </c>
      <c r="D296" s="55" t="inlineStr">
        <is>
          <t>Unit</t>
        </is>
      </c>
      <c r="E296" s="55" t="inlineStr">
        <is>
          <t>ABP</t>
        </is>
      </c>
      <c r="F296" s="55" t="inlineStr">
        <is>
          <t>ARTS</t>
        </is>
      </c>
      <c r="G296" s="55" t="inlineStr">
        <is>
          <t>FBE</t>
        </is>
      </c>
      <c r="H296" s="55" t="inlineStr">
        <is>
          <t>SCI</t>
        </is>
      </c>
      <c r="I296" s="55" t="inlineStr">
        <is>
          <t>CI&amp;S – Sustainability Strategy</t>
        </is>
      </c>
      <c r="J296" s="55" t="inlineStr">
        <is>
          <t>CFOG – Procurement</t>
        </is>
      </c>
      <c r="K296" s="55" t="inlineStr">
        <is>
          <t>ESG – Campus Operations &amp; Sustainability Delivery</t>
        </is>
      </c>
      <c r="L296" s="55" t="inlineStr">
        <is>
          <t>CIOG – Responsible AI &amp; digital</t>
        </is>
      </c>
      <c r="M296" s="55" t="inlineStr">
        <is>
          <t>AC&amp;M – Advancement, Communication and Marketing</t>
        </is>
      </c>
      <c r="N296" s="55" t="inlineStr">
        <is>
          <t>GCE – Global, Culture and Engagement</t>
        </is>
      </c>
      <c r="O296" s="55" t="inlineStr">
        <is>
          <t>Education – Chancellery Education</t>
        </is>
      </c>
      <c r="P296" s="56">
        <f>'A1. Data scoring'!AH227</f>
        <v/>
      </c>
      <c r="Q296" s="56">
        <f>'A1. Data scoring'!AK227</f>
        <v/>
      </c>
      <c r="R296" s="8" t="n"/>
    </row>
    <row r="297" ht="18" customHeight="1">
      <c r="B297" s="57" t="inlineStr">
        <is>
          <t>EN1(c)</t>
        </is>
      </c>
      <c r="D297" s="13" t="inlineStr">
        <is>
          <t>Confirm end-2026 target status</t>
        </is>
      </c>
      <c r="E297" s="58">
        <f>'A1. Data scoring'!H227</f>
        <v/>
      </c>
      <c r="F297" s="58">
        <f>'A1. Data scoring'!I227</f>
        <v/>
      </c>
      <c r="G297" s="58">
        <f>'A1. Data scoring'!J227</f>
        <v/>
      </c>
      <c r="H297" s="58">
        <f>'A1. Data scoring'!K227</f>
        <v/>
      </c>
      <c r="I297" s="58">
        <f>'A1. Data scoring'!M227</f>
        <v/>
      </c>
      <c r="J297" s="58">
        <f>'A1. Data scoring'!N227</f>
        <v/>
      </c>
      <c r="K297" s="58">
        <f>'A1. Data scoring'!P227</f>
        <v/>
      </c>
      <c r="L297" s="58">
        <f>'A1. Data scoring'!Q227</f>
        <v/>
      </c>
      <c r="M297" s="58">
        <f>'A1. Data scoring'!S227</f>
        <v/>
      </c>
      <c r="N297" s="58">
        <f>'A1. Data scoring'!T227</f>
        <v/>
      </c>
      <c r="O297" s="58">
        <f>'A1. Data scoring'!U227</f>
        <v/>
      </c>
      <c r="R297" s="59" t="n"/>
    </row>
    <row r="298" ht="60" customHeight="1">
      <c r="B298" s="57" t="inlineStr">
        <is>
          <t>EN1(c)</t>
        </is>
      </c>
      <c r="D298" s="13" t="inlineStr">
        <is>
          <t>OPTION 1:  Target-level reporting</t>
        </is>
      </c>
      <c r="E298" s="58">
        <f>'A1. Data scoring'!H228</f>
        <v/>
      </c>
      <c r="F298" s="58">
        <f>'A1. Data scoring'!I228</f>
        <v/>
      </c>
      <c r="G298" s="58">
        <f>'A1. Data scoring'!J228</f>
        <v/>
      </c>
      <c r="H298" s="58">
        <f>'A1. Data scoring'!K228</f>
        <v/>
      </c>
      <c r="I298" s="58">
        <f>'A1. Data scoring'!M228</f>
        <v/>
      </c>
      <c r="J298" s="58">
        <f>'A1. Data scoring'!N228</f>
        <v/>
      </c>
      <c r="K298" s="58">
        <f>'A1. Data scoring'!P228</f>
        <v/>
      </c>
      <c r="L298" s="58">
        <f>'A1. Data scoring'!Q228</f>
        <v/>
      </c>
      <c r="M298" s="58">
        <f>'A1. Data scoring'!S228</f>
        <v/>
      </c>
      <c r="N298" s="58">
        <f>'A1. Data scoring'!T228</f>
        <v/>
      </c>
      <c r="O298" s="58">
        <f>'A1. Data scoring'!U228</f>
        <v/>
      </c>
      <c r="R298" s="59" t="n"/>
    </row>
    <row r="299" ht="60" customHeight="1">
      <c r="B299" s="57" t="inlineStr">
        <is>
          <t>EN1(c)</t>
        </is>
      </c>
      <c r="D299" s="13" t="inlineStr">
        <is>
          <t>OPTION 2:  Indicator level reporting</t>
        </is>
      </c>
      <c r="E299" s="58">
        <f>'A1. Data scoring'!H229</f>
        <v/>
      </c>
      <c r="F299" s="58">
        <f>'A1. Data scoring'!I229</f>
        <v/>
      </c>
      <c r="G299" s="58">
        <f>'A1. Data scoring'!J229</f>
        <v/>
      </c>
      <c r="H299" s="58">
        <f>'A1. Data scoring'!K229</f>
        <v/>
      </c>
      <c r="I299" s="58">
        <f>'A1. Data scoring'!M229</f>
        <v/>
      </c>
      <c r="J299" s="58">
        <f>'A1. Data scoring'!N229</f>
        <v/>
      </c>
      <c r="K299" s="58">
        <f>'A1. Data scoring'!P229</f>
        <v/>
      </c>
      <c r="L299" s="58">
        <f>'A1. Data scoring'!Q229</f>
        <v/>
      </c>
      <c r="M299" s="58">
        <f>'A1. Data scoring'!S229</f>
        <v/>
      </c>
      <c r="N299" s="58">
        <f>'A1. Data scoring'!T229</f>
        <v/>
      </c>
      <c r="O299" s="58">
        <f>'A1. Data scoring'!U229</f>
        <v/>
      </c>
      <c r="R299" s="59" t="n"/>
    </row>
    <row r="300" ht="18" customHeight="1">
      <c r="B300" s="57" t="inlineStr">
        <is>
          <t>EN1(c)</t>
        </is>
      </c>
      <c r="D300" s="13" t="inlineStr">
        <is>
          <t>Supporting information/comments</t>
        </is>
      </c>
      <c r="E300" s="58">
        <f>'A1. Data scoring'!H230</f>
        <v/>
      </c>
      <c r="F300" s="58">
        <f>'A1. Data scoring'!I230</f>
        <v/>
      </c>
      <c r="G300" s="58">
        <f>'A1. Data scoring'!J230</f>
        <v/>
      </c>
      <c r="H300" s="58">
        <f>'A1. Data scoring'!K230</f>
        <v/>
      </c>
      <c r="I300" s="58">
        <f>'A1. Data scoring'!M230</f>
        <v/>
      </c>
      <c r="J300" s="58">
        <f>'A1. Data scoring'!N230</f>
        <v/>
      </c>
      <c r="K300" s="58">
        <f>'A1. Data scoring'!P230</f>
        <v/>
      </c>
      <c r="L300" s="58">
        <f>'A1. Data scoring'!Q230</f>
        <v/>
      </c>
      <c r="M300" s="58">
        <f>'A1. Data scoring'!S230</f>
        <v/>
      </c>
      <c r="N300" s="58">
        <f>'A1. Data scoring'!T230</f>
        <v/>
      </c>
      <c r="O300" s="58">
        <f>'A1. Data scoring'!U230</f>
        <v/>
      </c>
      <c r="R300" s="59" t="n"/>
    </row>
    <row r="301" ht="18" customHeight="1">
      <c r="B301" s="57" t="inlineStr">
        <is>
          <t>EN1(c)</t>
        </is>
      </c>
      <c r="D301" s="13" t="inlineStr">
        <is>
          <t>Data source and limitations</t>
        </is>
      </c>
      <c r="E301" s="58">
        <f>'A1. Data scoring'!H231</f>
        <v/>
      </c>
      <c r="F301" s="58">
        <f>'A1. Data scoring'!I231</f>
        <v/>
      </c>
      <c r="G301" s="58">
        <f>'A1. Data scoring'!J231</f>
        <v/>
      </c>
      <c r="H301" s="58">
        <f>'A1. Data scoring'!K231</f>
        <v/>
      </c>
      <c r="I301" s="58">
        <f>'A1. Data scoring'!M231</f>
        <v/>
      </c>
      <c r="J301" s="58">
        <f>'A1. Data scoring'!N231</f>
        <v/>
      </c>
      <c r="K301" s="58">
        <f>'A1. Data scoring'!P231</f>
        <v/>
      </c>
      <c r="L301" s="58">
        <f>'A1. Data scoring'!Q231</f>
        <v/>
      </c>
      <c r="M301" s="58">
        <f>'A1. Data scoring'!S231</f>
        <v/>
      </c>
      <c r="N301" s="58">
        <f>'A1. Data scoring'!T231</f>
        <v/>
      </c>
      <c r="O301" s="58">
        <f>'A1. Data scoring'!U231</f>
        <v/>
      </c>
      <c r="R301" s="59" t="n"/>
    </row>
    <row r="302" ht="18" customHeight="1">
      <c r="B302" s="57" t="inlineStr">
        <is>
          <t>EN1(c)</t>
        </is>
      </c>
      <c r="D302" s="13" t="inlineStr">
        <is>
          <t>Data owner confirms</t>
        </is>
      </c>
      <c r="E302" s="58">
        <f>'A1. Data scoring'!H232</f>
        <v/>
      </c>
      <c r="F302" s="58">
        <f>'A1. Data scoring'!I232</f>
        <v/>
      </c>
      <c r="G302" s="58">
        <f>'A1. Data scoring'!J232</f>
        <v/>
      </c>
      <c r="H302" s="58">
        <f>'A1. Data scoring'!K232</f>
        <v/>
      </c>
      <c r="I302" s="58">
        <f>'A1. Data scoring'!M232</f>
        <v/>
      </c>
      <c r="J302" s="58">
        <f>'A1. Data scoring'!N232</f>
        <v/>
      </c>
      <c r="K302" s="58">
        <f>'A1. Data scoring'!P232</f>
        <v/>
      </c>
      <c r="L302" s="58">
        <f>'A1. Data scoring'!Q232</f>
        <v/>
      </c>
      <c r="M302" s="58">
        <f>'A1. Data scoring'!S232</f>
        <v/>
      </c>
      <c r="N302" s="58">
        <f>'A1. Data scoring'!T232</f>
        <v/>
      </c>
      <c r="O302" s="58">
        <f>'A1. Data scoring'!U232</f>
        <v/>
      </c>
      <c r="R302" s="60" t="n"/>
    </row>
    <row r="304">
      <c r="B304" s="7" t="inlineStr">
        <is>
          <t>EN1(d)</t>
        </is>
      </c>
      <c r="C304" s="50" t="inlineStr">
        <is>
          <t>Sustainability objectives integrated into governance and decision‑making processes, supported by transparent reporting.</t>
        </is>
      </c>
      <c r="D304" s="55" t="inlineStr">
        <is>
          <t>Unit</t>
        </is>
      </c>
      <c r="E304" s="55" t="inlineStr">
        <is>
          <t>CI&amp;S – Sustainability Strategy</t>
        </is>
      </c>
      <c r="F304" s="55" t="inlineStr">
        <is>
          <t>CFOG – Procurement</t>
        </is>
      </c>
      <c r="G304" s="55" t="inlineStr">
        <is>
          <t>ESG – Campus Operations &amp; Sustainability Delivery</t>
        </is>
      </c>
      <c r="H304" s="55" t="inlineStr">
        <is>
          <t>CIOG – Responsible AI &amp; digital</t>
        </is>
      </c>
      <c r="P304" s="56">
        <f>'A1. Data scoring'!AH233</f>
        <v/>
      </c>
      <c r="Q304" s="56">
        <f>'A1. Data scoring'!AK233</f>
        <v/>
      </c>
      <c r="R304" s="8" t="n"/>
    </row>
    <row r="305" ht="18" customHeight="1">
      <c r="B305" s="57" t="inlineStr">
        <is>
          <t>EN1(d)</t>
        </is>
      </c>
      <c r="D305" s="13" t="inlineStr">
        <is>
          <t>Confirm end-2026 target status</t>
        </is>
      </c>
      <c r="E305" s="58">
        <f>'A1. Data scoring'!M233</f>
        <v/>
      </c>
      <c r="F305" s="58">
        <f>'A1. Data scoring'!N233</f>
        <v/>
      </c>
      <c r="G305" s="58">
        <f>'A1. Data scoring'!P233</f>
        <v/>
      </c>
      <c r="H305" s="58">
        <f>'A1. Data scoring'!Q233</f>
        <v/>
      </c>
      <c r="R305" s="59" t="n"/>
    </row>
    <row r="306" ht="60" customHeight="1">
      <c r="B306" s="57" t="inlineStr">
        <is>
          <t>EN1(d)</t>
        </is>
      </c>
      <c r="D306" s="13" t="inlineStr">
        <is>
          <t>OPTION 1:  Target-level reporting</t>
        </is>
      </c>
      <c r="E306" s="58">
        <f>'A1. Data scoring'!M234</f>
        <v/>
      </c>
      <c r="F306" s="58">
        <f>'A1. Data scoring'!N234</f>
        <v/>
      </c>
      <c r="G306" s="58">
        <f>'A1. Data scoring'!P234</f>
        <v/>
      </c>
      <c r="H306" s="58">
        <f>'A1. Data scoring'!Q234</f>
        <v/>
      </c>
      <c r="R306" s="59" t="n"/>
    </row>
    <row r="307" ht="60" customHeight="1">
      <c r="B307" s="57" t="inlineStr">
        <is>
          <t>EN1(d)</t>
        </is>
      </c>
      <c r="D307" s="13" t="inlineStr">
        <is>
          <t>OPTION 2:  Indicator level reporting</t>
        </is>
      </c>
      <c r="E307" s="58">
        <f>'A1. Data scoring'!M235</f>
        <v/>
      </c>
      <c r="F307" s="58">
        <f>'A1. Data scoring'!N235</f>
        <v/>
      </c>
      <c r="G307" s="58">
        <f>'A1. Data scoring'!P235</f>
        <v/>
      </c>
      <c r="H307" s="58">
        <f>'A1. Data scoring'!Q235</f>
        <v/>
      </c>
      <c r="R307" s="59" t="n"/>
    </row>
    <row r="308" ht="18" customHeight="1">
      <c r="B308" s="57" t="inlineStr">
        <is>
          <t>EN1(d)</t>
        </is>
      </c>
      <c r="D308" s="13" t="inlineStr">
        <is>
          <t>Supporting information/comments</t>
        </is>
      </c>
      <c r="E308" s="58">
        <f>'A1. Data scoring'!M236</f>
        <v/>
      </c>
      <c r="F308" s="58">
        <f>'A1. Data scoring'!N236</f>
        <v/>
      </c>
      <c r="G308" s="58">
        <f>'A1. Data scoring'!P236</f>
        <v/>
      </c>
      <c r="H308" s="58">
        <f>'A1. Data scoring'!Q236</f>
        <v/>
      </c>
      <c r="R308" s="59" t="n"/>
    </row>
    <row r="309" ht="18" customHeight="1">
      <c r="B309" s="57" t="inlineStr">
        <is>
          <t>EN1(d)</t>
        </is>
      </c>
      <c r="D309" s="13" t="inlineStr">
        <is>
          <t>Data source and limitations</t>
        </is>
      </c>
      <c r="E309" s="58">
        <f>'A1. Data scoring'!M237</f>
        <v/>
      </c>
      <c r="F309" s="58">
        <f>'A1. Data scoring'!N237</f>
        <v/>
      </c>
      <c r="G309" s="58">
        <f>'A1. Data scoring'!P237</f>
        <v/>
      </c>
      <c r="H309" s="58">
        <f>'A1. Data scoring'!Q237</f>
        <v/>
      </c>
      <c r="R309" s="59" t="n"/>
    </row>
    <row r="310" ht="18" customHeight="1">
      <c r="B310" s="57" t="inlineStr">
        <is>
          <t>EN1(d)</t>
        </is>
      </c>
      <c r="D310" s="13" t="inlineStr">
        <is>
          <t>Data owner confirms</t>
        </is>
      </c>
      <c r="E310" s="58">
        <f>'A1. Data scoring'!M238</f>
        <v/>
      </c>
      <c r="F310" s="58">
        <f>'A1. Data scoring'!N238</f>
        <v/>
      </c>
      <c r="G310" s="58">
        <f>'A1. Data scoring'!P238</f>
        <v/>
      </c>
      <c r="H310" s="58">
        <f>'A1. Data scoring'!Q238</f>
        <v/>
      </c>
      <c r="R310" s="60"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1" t="inlineStr">
        <is>
          <t>EE1(a)</t>
        </is>
      </c>
      <c r="D4" s="62">
        <f>IF($C$4="EE1(c)","Faculties answer this indicator in their EE1(a) response (merged question) – review both.","← select an indicator ref from the dropdown")</f>
        <v/>
      </c>
    </row>
    <row r="5" ht="45" customHeight="1">
      <c r="B5" s="63" t="inlineStr">
        <is>
          <t>Priority area</t>
        </is>
      </c>
      <c r="C5" s="64">
        <f>IFERROR(INDEX('1. Requirements matrix'!$D$6:$D$43,MATCH($C$4,'1. Requirements matrix'!$B$6:$B$43,0)),"")</f>
        <v/>
      </c>
    </row>
    <row r="6" ht="45" customHeight="1">
      <c r="B6" s="63" t="inlineStr">
        <is>
          <t>Target</t>
        </is>
      </c>
      <c r="C6" s="64">
        <f>IFERROR(INDEX('1. Requirements matrix'!$E$6:$E$43,MATCH($C$4,'1. Requirements matrix'!$B$6:$B$43,0)),"")</f>
        <v/>
      </c>
    </row>
    <row r="7" ht="45" customHeight="1">
      <c r="B7" s="63" t="inlineStr">
        <is>
          <t>Indicator</t>
        </is>
      </c>
      <c r="C7" s="64">
        <f>IFERROR(INDEX('1. Requirements matrix'!$F$6:$F$43,MATCH($C$4,'1. Requirements matrix'!$B$6:$B$43,0)),"")</f>
        <v/>
      </c>
    </row>
    <row r="8" ht="45" customHeight="1">
      <c r="B8" s="63" t="inlineStr">
        <is>
          <t>Reporting requirement</t>
        </is>
      </c>
      <c r="C8" s="64">
        <f>IFERROR(INDEX('1. Requirements matrix'!$G$6:$G$43,MATCH($C$4,'1. Requirements matrix'!$B$6:$B$43,0)),"")</f>
        <v/>
      </c>
    </row>
    <row r="9" ht="45" customHeight="1">
      <c r="B9" s="63" t="inlineStr">
        <is>
          <t>Request issued to</t>
        </is>
      </c>
      <c r="C9" s="64">
        <f>IFERROR(INDEX('1. Requirements matrix'!$I$6:$I$43,MATCH($C$4,'1. Requirements matrix'!$B$6:$B$43,0)),"")</f>
        <v/>
      </c>
    </row>
    <row r="11">
      <c r="B11" s="65" t="inlineStr">
        <is>
          <t>Target score (text)</t>
        </is>
      </c>
      <c r="D11" s="65" t="inlineStr">
        <is>
          <t>Threshold status (SR25 rule)</t>
        </is>
      </c>
      <c r="F11" s="65" t="inlineStr">
        <is>
          <t>% met</t>
        </is>
      </c>
      <c r="H11" s="65" t="inlineStr">
        <is>
          <t>Total valid responses</t>
        </is>
      </c>
      <c r="J11" s="65" t="inlineStr">
        <is>
          <t>Requested, no response received</t>
        </is>
      </c>
    </row>
    <row r="12">
      <c r="B12" s="66">
        <f>IFERROR(INDEX('A1. Data scoring'!$AH$11:$AH$238,MATCH($C$4&amp;"|"&amp;"Confirm end-2026 target status",'A1. Data scoring'!$A$11:$A$238,0)),"")</f>
        <v/>
      </c>
      <c r="D12" s="66">
        <f>IFERROR(INDEX('A1. Data scoring'!$AK$11:$AK$238,MATCH($C$4&amp;"|"&amp;"Confirm end-2026 target status",'A1. Data scoring'!$A$11:$A$238,0)),"")</f>
        <v/>
      </c>
      <c r="F12" s="67">
        <f>IFERROR(INDEX('A1. Data scoring'!$AI$11:$AI$238,MATCH($C$4&amp;"|"&amp;"Confirm end-2026 target status",'A1. Data scoring'!$A$11:$A$238,0)),"")</f>
        <v/>
      </c>
      <c r="H12" s="66">
        <f>IFERROR(INDEX('A1. Data scoring'!$AF$11:$AF$238,MATCH($C$4&amp;"|"&amp;"Confirm end-2026 target status",'A1. Data scoring'!$A$11:$A$238,0)),"")</f>
        <v/>
      </c>
      <c r="J12" s="66">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5" t="inlineStr">
        <is>
          <t>Requested?</t>
        </is>
      </c>
      <c r="C15" s="68">
        <f>IFERROR(IF(INDEX('A1. Data scoring'!H$11:H$238,MATCH($C$4&amp;"|"&amp;"Confirm end-2026 target status",'A1. Data scoring'!$A$11:$A$238,0))="N/A","No","Yes"),"")</f>
        <v/>
      </c>
      <c r="D15" s="68">
        <f>IFERROR(IF(INDEX('A1. Data scoring'!I$11:I$238,MATCH($C$4&amp;"|"&amp;"Confirm end-2026 target status",'A1. Data scoring'!$A$11:$A$238,0))="N/A","No","Yes"),"")</f>
        <v/>
      </c>
      <c r="E15" s="68">
        <f>IFERROR(IF(INDEX('A1. Data scoring'!J$11:J$238,MATCH($C$4&amp;"|"&amp;"Confirm end-2026 target status",'A1. Data scoring'!$A$11:$A$238,0))="N/A","No","Yes"),"")</f>
        <v/>
      </c>
      <c r="F15" s="68">
        <f>IFERROR(IF(INDEX('A1. Data scoring'!K$11:K$238,MATCH($C$4&amp;"|"&amp;"Confirm end-2026 target status",'A1. Data scoring'!$A$11:$A$238,0))="N/A","No","Yes"),"")</f>
        <v/>
      </c>
      <c r="G15" s="68">
        <f>IFERROR(IF(INDEX('A1. Data scoring'!L$11:L$238,MATCH($C$4&amp;"|"&amp;"Confirm end-2026 target status",'A1. Data scoring'!$A$11:$A$238,0))="N/A","No","Yes"),"")</f>
        <v/>
      </c>
      <c r="H15" s="68">
        <f>IFERROR(IF(INDEX('A1. Data scoring'!M$11:M$238,MATCH($C$4&amp;"|"&amp;"Confirm end-2026 target status",'A1. Data scoring'!$A$11:$A$238,0))="N/A","No","Yes"),"")</f>
        <v/>
      </c>
      <c r="I15" s="68">
        <f>IFERROR(IF(INDEX('A1. Data scoring'!N$11:N$238,MATCH($C$4&amp;"|"&amp;"Confirm end-2026 target status",'A1. Data scoring'!$A$11:$A$238,0))="N/A","No","Yes"),"")</f>
        <v/>
      </c>
      <c r="J15" s="68">
        <f>IFERROR(IF(INDEX('A1. Data scoring'!O$11:O$238,MATCH($C$4&amp;"|"&amp;"Confirm end-2026 target status",'A1. Data scoring'!$A$11:$A$238,0))="N/A","No","Yes"),"")</f>
        <v/>
      </c>
      <c r="K15" s="68">
        <f>IFERROR(IF(INDEX('A1. Data scoring'!P$11:P$238,MATCH($C$4&amp;"|"&amp;"Confirm end-2026 target status",'A1. Data scoring'!$A$11:$A$238,0))="N/A","No","Yes"),"")</f>
        <v/>
      </c>
      <c r="L15" s="68">
        <f>IFERROR(IF(INDEX('A1. Data scoring'!Q$11:Q$238,MATCH($C$4&amp;"|"&amp;"Confirm end-2026 target status",'A1. Data scoring'!$A$11:$A$238,0))="N/A","No","Yes"),"")</f>
        <v/>
      </c>
      <c r="M15" s="68">
        <f>IFERROR(IF(INDEX('A1. Data scoring'!R$11:R$238,MATCH($C$4&amp;"|"&amp;"Confirm end-2026 target status",'A1. Data scoring'!$A$11:$A$238,0))="N/A","No","Yes"),"")</f>
        <v/>
      </c>
      <c r="N15" s="68">
        <f>IFERROR(IF(INDEX('A1. Data scoring'!S$11:S$238,MATCH($C$4&amp;"|"&amp;"Confirm end-2026 target status",'A1. Data scoring'!$A$11:$A$238,0))="N/A","No","Yes"),"")</f>
        <v/>
      </c>
      <c r="O15" s="68">
        <f>IFERROR(IF(INDEX('A1. Data scoring'!T$11:T$238,MATCH($C$4&amp;"|"&amp;"Confirm end-2026 target status",'A1. Data scoring'!$A$11:$A$238,0))="N/A","No","Yes"),"")</f>
        <v/>
      </c>
      <c r="P15" s="68">
        <f>IFERROR(IF(INDEX('A1. Data scoring'!U$11:U$238,MATCH($C$4&amp;"|"&amp;"Confirm end-2026 target status",'A1. Data scoring'!$A$11:$A$238,0))="N/A","No","Yes"),"")</f>
        <v/>
      </c>
      <c r="Q15" s="68">
        <f>IFERROR(IF(INDEX('A1. Data scoring'!V$11:V$238,MATCH($C$4&amp;"|"&amp;"Confirm end-2026 target status",'A1. Data scoring'!$A$11:$A$238,0))="N/A","No","Yes"),"")</f>
        <v/>
      </c>
      <c r="R15" s="68">
        <f>IFERROR(IF(INDEX('A1. Data scoring'!W$11:W$238,MATCH($C$4&amp;"|"&amp;"Confirm end-2026 target status",'A1. Data scoring'!$A$11:$A$238,0))="N/A","No","Yes"),"")</f>
        <v/>
      </c>
      <c r="S15" s="68">
        <f>IFERROR(IF(INDEX('A1. Data scoring'!X$11:X$238,MATCH($C$4&amp;"|"&amp;"Confirm end-2026 target status",'A1. Data scoring'!$A$11:$A$238,0))="N/A","No","Yes"),"")</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10">
        <f>IF([1]'2. OPTIONAL highlighted stories'!B10="","",[1]'2. OPTIONAL highlighted stories'!B10)</f>
        <v/>
      </c>
      <c r="E6" s="10">
        <f>IF([1]'2. OPTIONAL highlighted stories'!C10="","",[1]'2. OPTIONAL highlighted stories'!C10)</f>
        <v/>
      </c>
      <c r="F6" s="10">
        <f>IF([1]'2. OPTIONAL highlighted stories'!D10="","",[1]'2. OPTIONAL highlighted stories'!D10)</f>
        <v/>
      </c>
      <c r="G6" s="10">
        <f>IF([1]'2. OPTIONAL highlighted stories'!E10="","",[1]'2. OPTIONAL highlighted stories'!E10)</f>
        <v/>
      </c>
      <c r="H6" s="10">
        <f>IF([1]'2. OPTIONAL highlighted stories'!F10="","",[1]'2. OPTIONAL highlighted stories'!F10)</f>
        <v/>
      </c>
      <c r="I6" s="8" t="inlineStr"/>
      <c r="J6" s="8" t="inlineStr"/>
      <c r="K6" s="8" t="inlineStr"/>
      <c r="L6" s="8" t="inlineStr"/>
      <c r="M6" s="8" t="inlineStr"/>
      <c r="N6" s="8" t="inlineStr"/>
    </row>
    <row r="7" ht="60" customHeight="1">
      <c r="B7" s="7" t="inlineStr"/>
      <c r="C7" s="50" t="n">
        <v>2</v>
      </c>
      <c r="D7" s="10">
        <f>IF([1]'2. OPTIONAL highlighted stories'!B11="","",[1]'2. OPTIONAL highlighted stories'!B11)</f>
        <v/>
      </c>
      <c r="E7" s="10">
        <f>IF([1]'2. OPTIONAL highlighted stories'!C11="","",[1]'2. OPTIONAL highlighted stories'!C11)</f>
        <v/>
      </c>
      <c r="F7" s="10">
        <f>IF([1]'2. OPTIONAL highlighted stories'!D11="","",[1]'2. OPTIONAL highlighted stories'!D11)</f>
        <v/>
      </c>
      <c r="G7" s="10">
        <f>IF([1]'2. OPTIONAL highlighted stories'!E11="","",[1]'2. OPTIONAL highlighted stories'!E11)</f>
        <v/>
      </c>
      <c r="H7" s="10">
        <f>IF([1]'2. OPTIONAL highlighted stories'!F11="","",[1]'2. OPTIONAL highlighted stories'!F11)</f>
        <v/>
      </c>
      <c r="I7" s="8" t="inlineStr"/>
      <c r="J7" s="8" t="inlineStr"/>
      <c r="K7" s="8" t="inlineStr"/>
      <c r="L7" s="8" t="inlineStr"/>
      <c r="M7" s="8" t="inlineStr"/>
      <c r="N7" s="8" t="inlineStr"/>
    </row>
    <row r="8" ht="60" customHeight="1">
      <c r="B8" s="7" t="inlineStr"/>
      <c r="C8" s="50" t="n">
        <v>3</v>
      </c>
      <c r="D8" s="10">
        <f>IF([1]'2. OPTIONAL highlighted stories'!B12="","",[1]'2. OPTIONAL highlighted stories'!B12)</f>
        <v/>
      </c>
      <c r="E8" s="10">
        <f>IF([1]'2. OPTIONAL highlighted stories'!C12="","",[1]'2. OPTIONAL highlighted stories'!C12)</f>
        <v/>
      </c>
      <c r="F8" s="10">
        <f>IF([1]'2. OPTIONAL highlighted stories'!D12="","",[1]'2. OPTIONAL highlighted stories'!D12)</f>
        <v/>
      </c>
      <c r="G8" s="10">
        <f>IF([1]'2. OPTIONAL highlighted stories'!E12="","",[1]'2. OPTIONAL highlighted stories'!E12)</f>
        <v/>
      </c>
      <c r="H8" s="10">
        <f>IF([1]'2. OPTIONAL highlighted stories'!F12="","",[1]'2. OPTIONAL highlighted stories'!F12)</f>
        <v/>
      </c>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1:1 meeting</t>
        </is>
      </c>
      <c r="E4" t="inlineStr">
        <is>
          <t>TBC</t>
        </is>
      </c>
      <c r="G4" t="inlineStr">
        <is>
          <t>Not met</t>
        </is>
      </c>
      <c r="H4" t="n">
        <v>1</v>
      </c>
      <c r="I4" t="n">
        <v>1</v>
      </c>
      <c r="L4" t="inlineStr">
        <is>
          <t>Climate leadership</t>
        </is>
      </c>
    </row>
    <row r="5">
      <c r="B5" t="inlineStr">
        <is>
          <t>Not met</t>
        </is>
      </c>
      <c r="D5" t="inlineStr">
        <is>
          <t>Received</t>
        </is>
      </c>
      <c r="G5" t="inlineStr">
        <is>
          <t>Not yet started</t>
        </is>
      </c>
      <c r="H5" t="n">
        <v>0</v>
      </c>
      <c r="I5" t="n">
        <v>1</v>
      </c>
      <c r="L5" t="inlineStr">
        <is>
          <t>Nature and biodiversity</t>
        </is>
      </c>
    </row>
    <row r="6">
      <c r="B6" t="inlineStr">
        <is>
          <t>Not yet started</t>
        </is>
      </c>
      <c r="D6" t="inlineStr">
        <is>
          <t>First review</t>
        </is>
      </c>
      <c r="L6" t="inlineStr">
        <is>
          <t>Responsible AI</t>
        </is>
      </c>
    </row>
    <row r="7">
      <c r="B7" t="inlineStr">
        <is>
          <t>Not applicable</t>
        </is>
      </c>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2026-10-07T01:57:06Z</dcterms:created>
  <dcterms:modified xmlns:dcterms="http://purl.org/dc/terms/" xmlns:xsi="http://www.w3.org/2001/XMLSchema-instance" xsi:type="dcterms:W3CDTF">2026-10-07T01:57:25Z</dcterms:modified>
</cp:coreProperties>
</file>