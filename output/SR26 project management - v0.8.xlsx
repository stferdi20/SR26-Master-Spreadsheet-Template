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" fontId="9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P0. Project overview</t>
        </is>
      </c>
    </row>
    <row r="4">
      <c r="B4" s="4" t="inlineStr">
        <is>
          <t>1. Purpose</t>
        </is>
      </c>
    </row>
    <row r="5" ht="30" customHeight="1">
      <c r="B5" s="5" t="inlineStr">
        <is>
          <t>This workbook</t>
        </is>
      </c>
      <c r="C5" s="6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0" customHeight="1">
      <c r="B6" s="5" t="inlineStr">
        <is>
          <t>SR26 in one line</t>
        </is>
      </c>
      <c r="C6" s="6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8">
      <c r="B8" s="4" t="inlineStr">
        <is>
          <t>2. Lessons from SR25 and actions for SR26</t>
        </is>
      </c>
    </row>
    <row r="9" ht="30" customHeight="1">
      <c r="B9" s="5" t="inlineStr">
        <is>
          <t>Keep tailored data requests</t>
        </is>
      </c>
      <c r="C9" s="6" t="inlineStr">
        <is>
          <t>SR25 streamlined requests achieved a 100% response rate → keep targeted, faculty-specific requests (see Request wording log); avoid complex requests.</t>
        </is>
      </c>
    </row>
    <row r="10" ht="20" customHeight="1">
      <c r="B10" s="5" t="inlineStr">
        <is>
          <t>Keep independent senior review</t>
        </is>
      </c>
      <c r="C10" s="6" t="inlineStr">
        <is>
          <t>Retain Target Status Review Group as the Sustainability Reporting Review Group (~15 Feb 2027).</t>
        </is>
      </c>
    </row>
    <row r="11" ht="30" customHeight="1">
      <c r="B11" s="5" t="inlineStr">
        <is>
          <t>Strengthen data controls</t>
        </is>
      </c>
      <c r="C11" s="6" t="inlineStr">
        <is>
          <t>Central Evidence register, data owner confirmation (columns Q–R on every request), data source records, Databook alignment.</t>
        </is>
      </c>
    </row>
    <row r="12" ht="20" customHeight="1">
      <c r="B12" s="5" t="inlineStr">
        <is>
          <t>Integrate with Annual Report</t>
        </is>
      </c>
      <c r="C12" s="6" t="inlineStr">
        <is>
          <t>Engage Annual Report team in October; shared dependency map; late operational data (Feb–Mar) on a later pathway.</t>
        </is>
      </c>
    </row>
    <row r="13" ht="20" customHeight="1">
      <c r="B13" s="5" t="inlineStr">
        <is>
          <t>Agree comms roles early</t>
        </is>
      </c>
      <c r="C13" s="6" t="inlineStr">
        <is>
          <t>RASCI with Strategic Communications, comms, digital and design at project start (P2).</t>
        </is>
      </c>
    </row>
    <row r="14" ht="20" customHeight="1">
      <c r="B14" s="5" t="inlineStr">
        <is>
          <t>Plan web and close from the outset</t>
        </is>
      </c>
      <c r="C14" s="6" t="inlineStr">
        <is>
          <t>Year-specific report URL, central landing page, analytics measures agreed before launch, formal retrospective (P3, P2).</t>
        </is>
      </c>
    </row>
    <row r="15" ht="30" customHeight="1">
      <c r="B15" s="5" t="inlineStr">
        <is>
          <t>Simpler project management</t>
        </is>
      </c>
      <c r="C15" s="6" t="inlineStr">
        <is>
          <t>This simplified tracker; induction walkthrough; direct messages for assigned tasks, group channel for shared updates; blocker escalation as a standing meeting item.</t>
        </is>
      </c>
    </row>
    <row r="16" ht="30" customHeight="1">
      <c r="B16" s="5" t="inlineStr">
        <is>
          <t>Follow up non-approval</t>
        </is>
      </c>
      <c r="C16" s="6" t="inlineStr">
        <is>
          <t>SR25: FBE filled in the template but did not approve; Science disagreed with metrics → track 'Owner confirmed' in the Request tracker and chase; offer January support meetings.</t>
        </is>
      </c>
    </row>
    <row r="18">
      <c r="B18" s="4" t="inlineStr">
        <is>
          <t>3. How to use this workbook</t>
        </is>
      </c>
    </row>
    <row r="19" ht="30" customHeight="1">
      <c r="B19" s="5" t="inlineStr">
        <is>
          <t>Records management</t>
        </is>
      </c>
      <c r="C19" s="6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0" customHeight="1">
      <c r="B20" s="5" t="inlineStr">
        <is>
          <t>Responses</t>
        </is>
      </c>
      <c r="C20" s="6" t="inlineStr">
        <is>
          <t>Paste returned responses into the Faculties / central-unit tabs without inserting rows inside a block (A1/0.5/T2 formulas look up by Ref).</t>
        </is>
      </c>
    </row>
    <row r="21" ht="20" customHeight="1">
      <c r="B21" s="5" t="inlineStr">
        <is>
          <t>Regenerating</t>
        </is>
      </c>
      <c r="C21" s="6" t="inlineStr">
        <is>
          <t>Templates are generated by build.py – update settings there to add faculties/units, then re-run.</t>
        </is>
      </c>
    </row>
    <row r="23">
      <c r="B23" s="4" t="inlineStr">
        <is>
          <t>4. Key reference documents</t>
        </is>
      </c>
    </row>
    <row r="24" ht="20" customHeight="1">
      <c r="B24" s="5" t="inlineStr">
        <is>
          <t>SR26 approach</t>
        </is>
      </c>
      <c r="C24" s="6" t="inlineStr">
        <is>
          <t>2026 Sustainability reporting approach &amp; target status assessment framework – DRAFT Sep 2026</t>
        </is>
      </c>
    </row>
    <row r="25" ht="45" customHeight="1">
      <c r="B25" s="5" t="inlineStr">
        <is>
          <t>SR25 documents</t>
        </is>
      </c>
      <c r="C25" s="6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0" customHeight="1">
      <c r="B26" s="5" t="inlineStr">
        <is>
          <t>Targets</t>
        </is>
      </c>
      <c r="C26" s="6" t="inlineStr">
        <is>
          <t>Sustainability 2030 Updated Targets (Not for distribution) – Qual and Quan worksheets</t>
        </is>
      </c>
    </row>
    <row r="28">
      <c r="B28" s="4" t="inlineStr">
        <is>
          <t>5. Team processes</t>
        </is>
      </c>
    </row>
    <row r="29" ht="20" customHeight="1">
      <c r="B29" s="5" t="inlineStr">
        <is>
          <t>Meetings</t>
        </is>
      </c>
      <c r="C29" s="6" t="inlineStr">
        <is>
          <t>Weekly production meeting (SST + comms/design); standing items: progress, blockers/escalation, decisions.</t>
        </is>
      </c>
    </row>
    <row r="30" ht="20" customHeight="1">
      <c r="B30" s="5" t="inlineStr">
        <is>
          <t>Communication</t>
        </is>
      </c>
      <c r="C30" s="6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P1. SR26 Project plan on a page</t>
        </is>
      </c>
    </row>
    <row r="4">
      <c r="B4" s="4" t="inlineStr">
        <is>
          <t>Project plan on a page</t>
        </is>
      </c>
    </row>
    <row r="5" ht="20" customHeight="1">
      <c r="B5" s="5" t="inlineStr">
        <is>
          <t>Version control</t>
        </is>
      </c>
      <c r="C5" s="6" t="inlineStr">
        <is>
          <t>DRAFT v0.8 – based on SR26 approach (Sep 2026)</t>
        </is>
      </c>
    </row>
    <row r="6" ht="30" customHeight="1">
      <c r="B6" s="5" t="inlineStr">
        <is>
          <t>Context</t>
        </is>
      </c>
      <c r="C6" s="6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60" customHeight="1">
      <c r="B7" s="5" t="inlineStr">
        <is>
          <t>Objectives / principles</t>
        </is>
      </c>
      <c r="C7" s="6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30" customHeight="1">
      <c r="B8" s="5" t="inlineStr">
        <is>
          <t>Reporting model</t>
        </is>
      </c>
      <c r="C8" s="6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0" customHeight="1">
      <c r="B9" s="5" t="inlineStr">
        <is>
          <t>Workstreams</t>
        </is>
      </c>
      <c r="C9" s="6" t="inlineStr">
        <is>
          <t>Governance • Data collection &amp; analysis (this workbook) • Content development • Communications &amp; web build</t>
        </is>
      </c>
    </row>
    <row r="10" ht="60" customHeight="1">
      <c r="B10" s="5" t="inlineStr">
        <is>
          <t>Key stakeholders</t>
        </is>
      </c>
      <c r="C10" s="6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0" customHeight="1">
      <c r="B11" s="5" t="inlineStr">
        <is>
          <t>Phases</t>
        </is>
      </c>
      <c r="C11" s="6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0" customHeight="1">
      <c r="B12" s="5" t="inlineStr">
        <is>
          <t>Outputs</t>
        </is>
      </c>
      <c r="C12" s="6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0" customHeight="1">
      <c r="B13" s="5" t="inlineStr">
        <is>
          <t>Success measures</t>
        </is>
      </c>
      <c r="C13" s="6" t="inlineStr">
        <is>
          <t>Response rate • Reporting burden • Project effort • Data-quality issues • Web sessions, users and views • Stakeholder feedback</t>
        </is>
      </c>
    </row>
    <row r="15">
      <c r="B15" s="4" t="inlineStr">
        <is>
          <t>Key risks and controls</t>
        </is>
      </c>
    </row>
    <row r="16" ht="20" customHeight="1">
      <c r="B16" s="5" t="inlineStr">
        <is>
          <t>Full-year implication</t>
        </is>
      </c>
      <c r="C16" s="6" t="inlineStr">
        <is>
          <t>Report implies a full year of progress against targets launched 20 Oct → explicit transition-year framing.</t>
        </is>
      </c>
    </row>
    <row r="17" ht="30" customHeight="1">
      <c r="B17" s="5" t="inlineStr">
        <is>
          <t>Onerous requests</t>
        </is>
      </c>
      <c r="C17" s="6" t="inlineStr">
        <is>
          <t>Requests onerous or non-comparable → necessity and usability test; pilot templates; don't ask for data areas can't hold.</t>
        </is>
      </c>
    </row>
    <row r="18" ht="30" customHeight="1">
      <c r="B18" s="5" t="inlineStr">
        <is>
          <t>Databook overlap</t>
        </is>
      </c>
      <c r="C18" s="6" t="inlineStr">
        <is>
          <t>Databook and narrative requests overlap/conflict → one requirements matrix and evidence register; one source of truth per indicator.</t>
        </is>
      </c>
    </row>
    <row r="19" ht="20" customHeight="1">
      <c r="B19" s="5" t="inlineStr">
        <is>
          <t>New working groups</t>
        </is>
      </c>
      <c r="C19" s="6" t="inlineStr">
        <is>
          <t>Asked to evidence delivery before established → maturity-based 2026 request.</t>
        </is>
      </c>
    </row>
    <row r="20" ht="20" customHeight="1">
      <c r="B20" s="5" t="inlineStr">
        <is>
          <t>Case studies dominate</t>
        </is>
      </c>
      <c r="C20" s="6" t="inlineStr">
        <is>
          <t>→ selection criteria: relevance, evidence, outcome, transferability, balance, permission.</t>
        </is>
      </c>
    </row>
    <row r="21" ht="20" customHeight="1">
      <c r="B21" s="5" t="inlineStr">
        <is>
          <t>Late responses</t>
        </is>
      </c>
      <c r="C21" s="6" t="inlineStr">
        <is>
          <t>→ issue requirements early, support meetings, senior sponsorship, escalate gaps.</t>
        </is>
      </c>
    </row>
    <row r="22" ht="20" customHeight="1">
      <c r="B22" s="5" t="inlineStr">
        <is>
          <t>Review group role</t>
        </is>
      </c>
      <c r="C22" s="6" t="inlineStr">
        <is>
          <t>Unclear without traffic lights → approve review criteria and decision rights in advance.</t>
        </is>
      </c>
    </row>
    <row r="23" ht="20" customHeight="1">
      <c r="B23" s="5" t="inlineStr">
        <is>
          <t>Annual Report divergence</t>
        </is>
      </c>
      <c r="C23" s="6" t="inlineStr">
        <is>
          <t>→ engage in October; shared dependency/data map; reconcile shared figures.</t>
        </is>
      </c>
    </row>
    <row r="25">
      <c r="B25" s="4" t="inlineStr">
        <is>
          <t>Decisions required (from SR26 approach)</t>
        </is>
      </c>
    </row>
    <row r="26" ht="20" customHeight="1">
      <c r="B26" s="5" t="inlineStr">
        <is>
          <t>1. Transition-year model</t>
        </is>
      </c>
      <c r="C26" s="6" t="inlineStr">
        <is>
          <t>Director, Sustainability – Approved (internal traffic lights: sub-decision)</t>
        </is>
      </c>
    </row>
    <row r="27" ht="20" customHeight="1">
      <c r="B27" s="5" t="inlineStr">
        <is>
          <t>2. Evidence &amp; engagement model</t>
        </is>
      </c>
      <c r="C27" s="6" t="inlineStr">
        <is>
          <t>Director, Sustainability – Pending (awaiting Stefanus' WIP)</t>
        </is>
      </c>
    </row>
    <row r="28" ht="20" customHeight="1">
      <c r="B28" s="5" t="inlineStr">
        <is>
          <t>3. Assurance &amp; governance pathway</t>
        </is>
      </c>
      <c r="C28" s="6" t="inlineStr">
        <is>
          <t>Director, Sustainability – Closed</t>
        </is>
      </c>
    </row>
    <row r="29" ht="20" customHeight="1">
      <c r="B29" s="5" t="inlineStr">
        <is>
          <t>4. Modern slavery timeline alignment</t>
        </is>
      </c>
      <c r="C29" s="6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P2. Timeline, RASCI &amp; task register</t>
        </is>
      </c>
    </row>
    <row r="3">
      <c r="B3" s="7" t="inlineStr">
        <is>
          <t>Indicative dates from the SR26 approach – confirm governance dates with governance offices. Gantt bars fill automatically from Start/End.</t>
        </is>
      </c>
    </row>
    <row r="8">
      <c r="L8" s="8" t="inlineStr">
        <is>
          <t>Sep</t>
        </is>
      </c>
      <c r="M8" s="8" t="inlineStr"/>
      <c r="N8" s="8" t="inlineStr"/>
      <c r="O8" s="8" t="inlineStr"/>
      <c r="P8" s="8" t="inlineStr">
        <is>
          <t>Oct</t>
        </is>
      </c>
      <c r="Q8" s="8" t="inlineStr"/>
      <c r="R8" s="8" t="inlineStr"/>
      <c r="S8" s="8" t="inlineStr"/>
      <c r="T8" s="8" t="inlineStr">
        <is>
          <t>Nov</t>
        </is>
      </c>
      <c r="U8" s="8" t="inlineStr"/>
      <c r="V8" s="8" t="inlineStr"/>
      <c r="W8" s="8" t="inlineStr"/>
      <c r="X8" s="8" t="inlineStr"/>
      <c r="Y8" s="8" t="inlineStr">
        <is>
          <t>Dec</t>
        </is>
      </c>
      <c r="Z8" s="8" t="inlineStr"/>
      <c r="AA8" s="8" t="inlineStr"/>
      <c r="AB8" s="8" t="inlineStr"/>
      <c r="AC8" s="8" t="inlineStr">
        <is>
          <t>Jan</t>
        </is>
      </c>
      <c r="AD8" s="8" t="inlineStr"/>
      <c r="AE8" s="8" t="inlineStr"/>
      <c r="AF8" s="8" t="inlineStr"/>
      <c r="AG8" s="8" t="inlineStr">
        <is>
          <t>Feb</t>
        </is>
      </c>
      <c r="AH8" s="8" t="inlineStr"/>
      <c r="AI8" s="8" t="inlineStr"/>
      <c r="AJ8" s="8" t="inlineStr"/>
      <c r="AK8" s="8" t="inlineStr">
        <is>
          <t>Mar</t>
        </is>
      </c>
      <c r="AL8" s="8" t="inlineStr"/>
      <c r="AM8" s="8" t="inlineStr"/>
      <c r="AN8" s="8" t="inlineStr"/>
      <c r="AO8" s="8" t="inlineStr"/>
      <c r="AP8" s="8" t="inlineStr">
        <is>
          <t>Apr</t>
        </is>
      </c>
      <c r="AQ8" s="8" t="inlineStr"/>
      <c r="AR8" s="8" t="inlineStr"/>
      <c r="AS8" s="8" t="inlineStr"/>
      <c r="AT8" s="8" t="inlineStr">
        <is>
          <t>May</t>
        </is>
      </c>
      <c r="AU8" s="8" t="inlineStr"/>
      <c r="AV8" s="8" t="inlineStr"/>
      <c r="AW8" s="8" t="inlineStr"/>
      <c r="AX8" s="8" t="inlineStr"/>
      <c r="AY8" s="8" t="inlineStr">
        <is>
          <t>Jun</t>
        </is>
      </c>
      <c r="AZ8" s="8" t="inlineStr"/>
      <c r="BA8" s="8" t="inlineStr"/>
      <c r="BB8" s="8" t="inlineStr"/>
      <c r="BC8" s="8" t="inlineStr">
        <is>
          <t>Jul</t>
        </is>
      </c>
      <c r="BD8" s="8" t="inlineStr"/>
      <c r="BE8" s="8" t="inlineStr"/>
      <c r="BF8" s="8" t="inlineStr"/>
      <c r="BG8" s="8" t="inlineStr">
        <is>
          <t>Aug</t>
        </is>
      </c>
    </row>
    <row r="9">
      <c r="B9" s="9" t="inlineStr">
        <is>
          <t>Phase / key activity</t>
        </is>
      </c>
      <c r="C9" s="9" t="inlineStr">
        <is>
          <t>Key milestone</t>
        </is>
      </c>
      <c r="D9" s="9" t="inlineStr">
        <is>
          <t>Start</t>
        </is>
      </c>
      <c r="E9" s="9" t="inlineStr">
        <is>
          <t>End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S</t>
        </is>
      </c>
      <c r="I9" s="9" t="inlineStr">
        <is>
          <t>C/I</t>
        </is>
      </c>
      <c r="J9" s="9" t="inlineStr">
        <is>
          <t>Priority</t>
        </is>
      </c>
      <c r="K9" s="9" t="inlineStr">
        <is>
          <t>Status</t>
        </is>
      </c>
      <c r="L9" s="10" t="n">
        <v>46272</v>
      </c>
      <c r="M9" s="10" t="n">
        <v>46279</v>
      </c>
      <c r="N9" s="10" t="n">
        <v>46286</v>
      </c>
      <c r="O9" s="10" t="n">
        <v>46293</v>
      </c>
      <c r="P9" s="10" t="n">
        <v>46300</v>
      </c>
      <c r="Q9" s="10" t="n">
        <v>46307</v>
      </c>
      <c r="R9" s="10" t="n">
        <v>46314</v>
      </c>
      <c r="S9" s="10" t="n">
        <v>46321</v>
      </c>
      <c r="T9" s="10" t="n">
        <v>46328</v>
      </c>
      <c r="U9" s="10" t="n">
        <v>46335</v>
      </c>
      <c r="V9" s="10" t="n">
        <v>46342</v>
      </c>
      <c r="W9" s="10" t="n">
        <v>46349</v>
      </c>
      <c r="X9" s="10" t="n">
        <v>46356</v>
      </c>
      <c r="Y9" s="10" t="n">
        <v>46363</v>
      </c>
      <c r="Z9" s="10" t="n">
        <v>46370</v>
      </c>
      <c r="AA9" s="10" t="n">
        <v>46377</v>
      </c>
      <c r="AB9" s="10" t="n">
        <v>46384</v>
      </c>
      <c r="AC9" s="10" t="n">
        <v>46391</v>
      </c>
      <c r="AD9" s="10" t="n">
        <v>46398</v>
      </c>
      <c r="AE9" s="10" t="n">
        <v>46405</v>
      </c>
      <c r="AF9" s="10" t="n">
        <v>46412</v>
      </c>
      <c r="AG9" s="10" t="n">
        <v>46419</v>
      </c>
      <c r="AH9" s="10" t="n">
        <v>46426</v>
      </c>
      <c r="AI9" s="10" t="n">
        <v>46433</v>
      </c>
      <c r="AJ9" s="10" t="n">
        <v>46440</v>
      </c>
      <c r="AK9" s="10" t="n">
        <v>46447</v>
      </c>
      <c r="AL9" s="10" t="n">
        <v>46454</v>
      </c>
      <c r="AM9" s="10" t="n">
        <v>46461</v>
      </c>
      <c r="AN9" s="10" t="n">
        <v>46468</v>
      </c>
      <c r="AO9" s="10" t="n">
        <v>46475</v>
      </c>
      <c r="AP9" s="10" t="n">
        <v>46482</v>
      </c>
      <c r="AQ9" s="10" t="n">
        <v>46489</v>
      </c>
      <c r="AR9" s="10" t="n">
        <v>46496</v>
      </c>
      <c r="AS9" s="10" t="n">
        <v>46503</v>
      </c>
      <c r="AT9" s="10" t="n">
        <v>46510</v>
      </c>
      <c r="AU9" s="10" t="n">
        <v>46517</v>
      </c>
      <c r="AV9" s="10" t="n">
        <v>46524</v>
      </c>
      <c r="AW9" s="10" t="n">
        <v>46531</v>
      </c>
      <c r="AX9" s="10" t="n">
        <v>46538</v>
      </c>
      <c r="AY9" s="10" t="n">
        <v>46545</v>
      </c>
      <c r="AZ9" s="10" t="n">
        <v>46552</v>
      </c>
      <c r="BA9" s="10" t="n">
        <v>46559</v>
      </c>
      <c r="BB9" s="10" t="n">
        <v>46566</v>
      </c>
      <c r="BC9" s="10" t="n">
        <v>46573</v>
      </c>
      <c r="BD9" s="10" t="n">
        <v>46580</v>
      </c>
      <c r="BE9" s="10" t="n">
        <v>46587</v>
      </c>
      <c r="BF9" s="10" t="n">
        <v>46594</v>
      </c>
      <c r="BG9" s="10" t="n">
        <v>46601</v>
      </c>
    </row>
    <row r="10">
      <c r="B10" s="11" t="inlineStr">
        <is>
          <t>Project set-up (Sep–Oct 2026)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</row>
    <row r="11">
      <c r="B11" s="13" t="inlineStr">
        <is>
          <t>Confirm scope, reporting model, governance pathway and decisions</t>
        </is>
      </c>
      <c r="C11" s="13" t="inlineStr">
        <is>
          <t>Decision log</t>
        </is>
      </c>
      <c r="D11" s="14" t="n">
        <v>46279</v>
      </c>
      <c r="E11" s="14" t="n">
        <v>46311</v>
      </c>
      <c r="F11" s="13" t="inlineStr">
        <is>
          <t>SST</t>
        </is>
      </c>
      <c r="G11" s="13" t="inlineStr">
        <is>
          <t>Director, Sustainability</t>
        </is>
      </c>
      <c r="H11" s="13" t="inlineStr"/>
      <c r="I11" s="13" t="inlineStr">
        <is>
          <t>VCAG (I)</t>
        </is>
      </c>
      <c r="J11" s="13" t="inlineStr">
        <is>
          <t>High</t>
        </is>
      </c>
      <c r="K11" s="13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>
      <c r="B12" s="13" t="inlineStr">
        <is>
          <t>Project charter, schedule, RASCI, decision log, issues register</t>
        </is>
      </c>
      <c r="C12" s="13" t="inlineStr">
        <is>
          <t>Approved by Oct</t>
        </is>
      </c>
      <c r="D12" s="14" t="n">
        <v>46293</v>
      </c>
      <c r="E12" s="14" t="n">
        <v>46318</v>
      </c>
      <c r="F12" s="13" t="inlineStr">
        <is>
          <t>SST</t>
        </is>
      </c>
      <c r="G12" s="13" t="inlineStr">
        <is>
          <t>Director, Sustainability</t>
        </is>
      </c>
      <c r="H12" s="13" t="inlineStr"/>
      <c r="I12" s="13" t="inlineStr">
        <is>
          <t>Comms, design</t>
        </is>
      </c>
      <c r="J12" s="13" t="inlineStr">
        <is>
          <t>High</t>
        </is>
      </c>
      <c r="K12" s="13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>
      <c r="B13" s="13" t="inlineStr">
        <is>
          <t>Map refreshed targets/indicators to Databook, systems, owners</t>
        </is>
      </c>
      <c r="C13" s="13" t="inlineStr">
        <is>
          <t>Requirements matrix</t>
        </is>
      </c>
      <c r="D13" s="14" t="n">
        <v>46286</v>
      </c>
      <c r="E13" s="14" t="n">
        <v>46311</v>
      </c>
      <c r="F13" s="13" t="inlineStr">
        <is>
          <t>Stefanus</t>
        </is>
      </c>
      <c r="G13" s="13" t="inlineStr">
        <is>
          <t>Gerard Healey</t>
        </is>
      </c>
      <c r="H13" s="13" t="inlineStr">
        <is>
          <t>Rose</t>
        </is>
      </c>
      <c r="I13" s="13" t="inlineStr">
        <is>
          <t>Data owners</t>
        </is>
      </c>
      <c r="J13" s="13" t="inlineStr">
        <is>
          <t>High</t>
        </is>
      </c>
      <c r="K13" s="13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>
      <c r="B14" s="13" t="inlineStr">
        <is>
          <t>Confirm stakeholder structure (CGOP/CDEP/CDSS) and owners (Gerard: resilience, estate)</t>
        </is>
      </c>
      <c r="C14" s="13" t="inlineStr">
        <is>
          <t>Stakeholder map</t>
        </is>
      </c>
      <c r="D14" s="14" t="n">
        <v>46300</v>
      </c>
      <c r="E14" s="14" t="n">
        <v>46311</v>
      </c>
      <c r="F14" s="13" t="inlineStr">
        <is>
          <t>Stefanus</t>
        </is>
      </c>
      <c r="G14" s="13" t="inlineStr">
        <is>
          <t>Gerard Healey</t>
        </is>
      </c>
      <c r="H14" s="13" t="inlineStr"/>
      <c r="I14" s="13" t="inlineStr"/>
      <c r="J14" s="13" t="inlineStr">
        <is>
          <t>High</t>
        </is>
      </c>
      <c r="K14" s="13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>
      <c r="B15" s="13" t="inlineStr">
        <is>
          <t>Pilot request templates with 4 faculties (ABP, Arts, FBE, Science)</t>
        </is>
      </c>
      <c r="C15" s="13" t="inlineStr">
        <is>
          <t>Pilot feedback</t>
        </is>
      </c>
      <c r="D15" s="14" t="n">
        <v>46307</v>
      </c>
      <c r="E15" s="14" t="n">
        <v>46325</v>
      </c>
      <c r="F15" s="13" t="inlineStr">
        <is>
          <t>Stefanus</t>
        </is>
      </c>
      <c r="G15" s="13" t="inlineStr">
        <is>
          <t>Gerard Healey</t>
        </is>
      </c>
      <c r="H15" s="13" t="inlineStr"/>
      <c r="I15" s="13" t="inlineStr">
        <is>
          <t>ADs Sustainability</t>
        </is>
      </c>
      <c r="J15" s="13" t="inlineStr">
        <is>
          <t>High</t>
        </is>
      </c>
      <c r="K15" s="13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>
      <c r="B16" s="13" t="inlineStr">
        <is>
          <t>Approve Review Group criteria, decision rights, escalation pathway</t>
        </is>
      </c>
      <c r="C16" s="13" t="inlineStr">
        <is>
          <t>Before collection</t>
        </is>
      </c>
      <c r="D16" s="14" t="n">
        <v>46300</v>
      </c>
      <c r="E16" s="14" t="n">
        <v>46325</v>
      </c>
      <c r="F16" s="13" t="inlineStr">
        <is>
          <t>SST</t>
        </is>
      </c>
      <c r="G16" s="13" t="inlineStr">
        <is>
          <t>Director, Sustainability</t>
        </is>
      </c>
      <c r="H16" s="13" t="inlineStr"/>
      <c r="I16" s="13" t="inlineStr">
        <is>
          <t>Review Group</t>
        </is>
      </c>
      <c r="J16" s="13" t="inlineStr">
        <is>
          <t>Medium</t>
        </is>
      </c>
      <c r="K16" s="13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>
      <c r="B17" s="11" t="inlineStr">
        <is>
          <t>Process design &amp; launch (Oct 2026)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</row>
    <row r="18">
      <c r="B18" s="13" t="inlineStr">
        <is>
          <t>Finalise templates and evidence register</t>
        </is>
      </c>
      <c r="C18" s="13" t="inlineStr">
        <is>
          <t>Templates final</t>
        </is>
      </c>
      <c r="D18" s="14" t="n">
        <v>46314</v>
      </c>
      <c r="E18" s="14" t="n">
        <v>46325</v>
      </c>
      <c r="F18" s="13" t="inlineStr">
        <is>
          <t>Stefanus</t>
        </is>
      </c>
      <c r="G18" s="13" t="inlineStr">
        <is>
          <t>Gerard Healey</t>
        </is>
      </c>
      <c r="H18" s="13" t="inlineStr"/>
      <c r="I18" s="13" t="inlineStr"/>
      <c r="J18" s="13" t="inlineStr">
        <is>
          <t>High</t>
        </is>
      </c>
      <c r="K18" s="13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>
      <c r="B19" s="13" t="inlineStr">
        <is>
          <t>Coordinate with University Annual Report team (dependency map)</t>
        </is>
      </c>
      <c r="C19" s="13" t="inlineStr">
        <is>
          <t>Shared data map</t>
        </is>
      </c>
      <c r="D19" s="14" t="n">
        <v>46300</v>
      </c>
      <c r="E19" s="14" t="n">
        <v>46325</v>
      </c>
      <c r="F19" s="13" t="inlineStr">
        <is>
          <t>SST</t>
        </is>
      </c>
      <c r="G19" s="13" t="inlineStr">
        <is>
          <t>Director, Sustainability</t>
        </is>
      </c>
      <c r="H19" s="13" t="inlineStr"/>
      <c r="I19" s="13" t="inlineStr">
        <is>
          <t>Annual Report team</t>
        </is>
      </c>
      <c r="J19" s="13" t="inlineStr">
        <is>
          <t>High</t>
        </is>
      </c>
      <c r="K19" s="13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>
      <c r="B20" s="13" t="inlineStr">
        <is>
          <t>Convene Strategic Comms, digital &amp; design; agree comms RASCI</t>
        </is>
      </c>
      <c r="C20" s="13" t="inlineStr">
        <is>
          <t>Kick-off</t>
        </is>
      </c>
      <c r="D20" s="14" t="n">
        <v>46300</v>
      </c>
      <c r="E20" s="14" t="n">
        <v>46318</v>
      </c>
      <c r="F20" s="13" t="inlineStr">
        <is>
          <t>SST</t>
        </is>
      </c>
      <c r="G20" s="13" t="inlineStr">
        <is>
          <t>Director, Sustainability</t>
        </is>
      </c>
      <c r="H20" s="13" t="inlineStr">
        <is>
          <t>Strategic Comms</t>
        </is>
      </c>
      <c r="I20" s="13" t="inlineStr">
        <is>
          <t>Design, digital</t>
        </is>
      </c>
      <c r="J20" s="13" t="inlineStr">
        <is>
          <t>High</t>
        </is>
      </c>
      <c r="K20" s="13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>
      <c r="B21" s="13" t="inlineStr">
        <is>
          <t>Sustainability 2030 launch</t>
        </is>
      </c>
      <c r="C21" s="13" t="inlineStr">
        <is>
          <t>~20 Oct (TBC)</t>
        </is>
      </c>
      <c r="D21" s="14" t="n">
        <v>46315</v>
      </c>
      <c r="E21" s="14" t="n">
        <v>46315</v>
      </c>
      <c r="F21" s="13" t="inlineStr"/>
      <c r="G21" s="13" t="inlineStr"/>
      <c r="H21" s="13" t="inlineStr"/>
      <c r="I21" s="13" t="inlineStr"/>
      <c r="J21" s="13" t="inlineStr">
        <is>
          <t>Milestone</t>
        </is>
      </c>
      <c r="K21" s="13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>
      <c r="B22" s="13" t="inlineStr">
        <is>
          <t>Brief contributor groups / working groups (after launch)</t>
        </is>
      </c>
      <c r="C22" s="13" t="inlineStr"/>
      <c r="D22" s="14" t="n">
        <v>46315</v>
      </c>
      <c r="E22" s="14" t="n">
        <v>46332</v>
      </c>
      <c r="F22" s="13" t="inlineStr">
        <is>
          <t>SST</t>
        </is>
      </c>
      <c r="G22" s="13" t="inlineStr"/>
      <c r="H22" s="13" t="inlineStr"/>
      <c r="I22" s="13" t="inlineStr">
        <is>
          <t>Working groups</t>
        </is>
      </c>
      <c r="J22" s="13" t="inlineStr">
        <is>
          <t>Medium</t>
        </is>
      </c>
      <c r="K22" s="13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>
      <c r="B23" s="13" t="inlineStr">
        <is>
          <t>Joint ADs Sustainability &amp; ADs T&amp;L session</t>
        </is>
      </c>
      <c r="C23" s="13" t="inlineStr">
        <is>
          <t>Structured prompt in advance</t>
        </is>
      </c>
      <c r="D23" s="14" t="n">
        <v>46314</v>
      </c>
      <c r="E23" s="14" t="n">
        <v>46325</v>
      </c>
      <c r="F23" s="13" t="inlineStr">
        <is>
          <t>SST</t>
        </is>
      </c>
      <c r="G23" s="13" t="inlineStr"/>
      <c r="H23" s="13" t="inlineStr"/>
      <c r="I23" s="13" t="inlineStr">
        <is>
          <t>ADs</t>
        </is>
      </c>
      <c r="J23" s="13" t="inlineStr">
        <is>
          <t>Medium</t>
        </is>
      </c>
      <c r="K23" s="13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>
      <c r="B24" s="13" t="inlineStr">
        <is>
          <t>Open case-study calls (University-wide + faculty networks)</t>
        </is>
      </c>
      <c r="C24" s="13" t="inlineStr">
        <is>
          <t>Close early Dec</t>
        </is>
      </c>
      <c r="D24" s="14" t="n">
        <v>46315</v>
      </c>
      <c r="E24" s="14" t="n">
        <v>46360</v>
      </c>
      <c r="F24" s="13" t="inlineStr">
        <is>
          <t>SST</t>
        </is>
      </c>
      <c r="G24" s="13" t="inlineStr"/>
      <c r="H24" s="13" t="inlineStr">
        <is>
          <t>Comms</t>
        </is>
      </c>
      <c r="I24" s="13" t="inlineStr">
        <is>
          <t>All staff</t>
        </is>
      </c>
      <c r="J24" s="13" t="inlineStr">
        <is>
          <t>Medium</t>
        </is>
      </c>
      <c r="K24" s="13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>
      <c r="B25" s="11" t="inlineStr">
        <is>
          <t>Evidence collection (Nov–Dec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</row>
    <row r="26">
      <c r="B26" s="13" t="inlineStr">
        <is>
          <t>Issue tailored requests (faculties, central units)</t>
        </is>
      </c>
      <c r="C26" s="13" t="inlineStr">
        <is>
          <t>Request tracker</t>
        </is>
      </c>
      <c r="D26" s="14" t="n">
        <v>46328</v>
      </c>
      <c r="E26" s="14" t="n">
        <v>46346</v>
      </c>
      <c r="F26" s="13" t="inlineStr">
        <is>
          <t>SST</t>
        </is>
      </c>
      <c r="G26" s="13" t="inlineStr">
        <is>
          <t>Director, Sustainability</t>
        </is>
      </c>
      <c r="H26" s="13" t="inlineStr">
        <is>
          <t>COO (sponsor)</t>
        </is>
      </c>
      <c r="I26" s="13" t="inlineStr"/>
      <c r="J26" s="13" t="inlineStr">
        <is>
          <t>High</t>
        </is>
      </c>
      <c r="K26" s="13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>
      <c r="B27" s="13" t="inlineStr">
        <is>
          <t>Highlighted stories due</t>
        </is>
      </c>
      <c r="C27" s="13" t="inlineStr">
        <is>
          <t>4 Dec (TBC)</t>
        </is>
      </c>
      <c r="D27" s="14" t="n">
        <v>46360</v>
      </c>
      <c r="E27" s="14" t="n">
        <v>46360</v>
      </c>
      <c r="F27" s="13" t="inlineStr"/>
      <c r="G27" s="13" t="inlineStr"/>
      <c r="H27" s="13" t="inlineStr"/>
      <c r="I27" s="13" t="inlineStr"/>
      <c r="J27" s="13" t="inlineStr">
        <is>
          <t>Milestone</t>
        </is>
      </c>
      <c r="K27" s="13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>
      <c r="B28" s="13" t="inlineStr">
        <is>
          <t>Collect narrative, evidence, case studies; maintain evidence register</t>
        </is>
      </c>
      <c r="C28" s="13" t="inlineStr"/>
      <c r="D28" s="14" t="n">
        <v>46328</v>
      </c>
      <c r="E28" s="14" t="n">
        <v>46416</v>
      </c>
      <c r="F28" s="13" t="inlineStr">
        <is>
          <t>SST</t>
        </is>
      </c>
      <c r="G28" s="13" t="inlineStr"/>
      <c r="H28" s="13" t="inlineStr"/>
      <c r="I28" s="13" t="inlineStr"/>
      <c r="J28" s="13" t="inlineStr">
        <is>
          <t>High</t>
        </is>
      </c>
      <c r="K28" s="13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>
      <c r="B29" s="13" t="inlineStr">
        <is>
          <t>Reminders / chasing</t>
        </is>
      </c>
      <c r="C29" s="13" t="inlineStr"/>
      <c r="D29" s="14" t="n">
        <v>46349</v>
      </c>
      <c r="E29" s="14" t="n">
        <v>46409</v>
      </c>
      <c r="F29" s="13" t="inlineStr">
        <is>
          <t>SST</t>
        </is>
      </c>
      <c r="G29" s="13" t="inlineStr"/>
      <c r="H29" s="13" t="inlineStr"/>
      <c r="I29" s="13" t="inlineStr"/>
      <c r="J29" s="13" t="inlineStr">
        <is>
          <t>Medium</t>
        </is>
      </c>
      <c r="K29" s="13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>
      <c r="B30" s="13" t="inlineStr">
        <is>
          <t>Commence drafting</t>
        </is>
      </c>
      <c r="C30" s="13" t="inlineStr"/>
      <c r="D30" s="14" t="n">
        <v>46357</v>
      </c>
      <c r="E30" s="14" t="n">
        <v>46416</v>
      </c>
      <c r="F30" s="13" t="inlineStr">
        <is>
          <t>SST</t>
        </is>
      </c>
      <c r="G30" s="13" t="inlineStr"/>
      <c r="H30" s="13" t="inlineStr"/>
      <c r="I30" s="13" t="inlineStr"/>
      <c r="J30" s="13" t="inlineStr">
        <is>
          <t>Medium</t>
        </is>
      </c>
      <c r="K30" s="13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>
      <c r="B31" s="11" t="inlineStr">
        <is>
          <t>Drafting &amp; data validation (Jan 2027)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</row>
    <row r="32">
      <c r="B32" s="13" t="inlineStr">
        <is>
          <t>Reporting requests due</t>
        </is>
      </c>
      <c r="C32" s="13" t="inlineStr">
        <is>
          <t>15 Jan (TBC)</t>
        </is>
      </c>
      <c r="D32" s="14" t="n">
        <v>46402</v>
      </c>
      <c r="E32" s="14" t="n">
        <v>46402</v>
      </c>
      <c r="F32" s="13" t="inlineStr"/>
      <c r="G32" s="13" t="inlineStr"/>
      <c r="H32" s="13" t="inlineStr"/>
      <c r="I32" s="13" t="inlineStr"/>
      <c r="J32" s="13" t="inlineStr">
        <is>
          <t>Milestone</t>
        </is>
      </c>
      <c r="K32" s="13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>
      <c r="B33" s="13" t="inlineStr">
        <is>
          <t>Targeted support meetings (new owners, complex indicators, late respondents)</t>
        </is>
      </c>
      <c r="C33" s="13" t="inlineStr"/>
      <c r="D33" s="14" t="n">
        <v>46391</v>
      </c>
      <c r="E33" s="14" t="n">
        <v>46409</v>
      </c>
      <c r="F33" s="13" t="inlineStr">
        <is>
          <t>SST</t>
        </is>
      </c>
      <c r="G33" s="13" t="inlineStr"/>
      <c r="H33" s="13" t="inlineStr"/>
      <c r="I33" s="13" t="inlineStr">
        <is>
          <t>Data owners</t>
        </is>
      </c>
      <c r="J33" s="13" t="inlineStr">
        <is>
          <t>Medium</t>
        </is>
      </c>
      <c r="K33" s="13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>
      <c r="B34" s="13" t="inlineStr">
        <is>
          <t>Confirm provisional quantitative data (Databook)</t>
        </is>
      </c>
      <c r="C34" s="13" t="inlineStr"/>
      <c r="D34" s="14" t="n">
        <v>46391</v>
      </c>
      <c r="E34" s="14" t="n">
        <v>46416</v>
      </c>
      <c r="F34" s="13" t="inlineStr">
        <is>
          <t>SST</t>
        </is>
      </c>
      <c r="G34" s="13" t="inlineStr"/>
      <c r="H34" s="13" t="inlineStr">
        <is>
          <t>Data owners</t>
        </is>
      </c>
      <c r="I34" s="13" t="inlineStr"/>
      <c r="J34" s="13" t="inlineStr">
        <is>
          <t>High</t>
        </is>
      </c>
      <c r="K34" s="13" t="inlineStr">
        <is>
          <t>Not yet started</t>
        </is>
      </c>
      <c r="L34">
        <f>IF(AND(L$9+6&gt;=$D34,L$9&lt;=$E34),1,"")</f>
        <v/>
      </c>
      <c r="M34">
        <f>IF(AND(M$9+6&gt;=$D34,M$9&lt;=$E34),1,"")</f>
        <v/>
      </c>
      <c r="N34">
        <f>IF(AND(N$9+6&gt;=$D34,N$9&lt;=$E34),1,"")</f>
        <v/>
      </c>
      <c r="O34">
        <f>IF(AND(O$9+6&gt;=$D34,O$9&lt;=$E34),1,"")</f>
        <v/>
      </c>
      <c r="P34">
        <f>IF(AND(P$9+6&gt;=$D34,P$9&lt;=$E34),1,"")</f>
        <v/>
      </c>
      <c r="Q34">
        <f>IF(AND(Q$9+6&gt;=$D34,Q$9&lt;=$E34),1,"")</f>
        <v/>
      </c>
      <c r="R34">
        <f>IF(AND(R$9+6&gt;=$D34,R$9&lt;=$E34),1,"")</f>
        <v/>
      </c>
      <c r="S34">
        <f>IF(AND(S$9+6&gt;=$D34,S$9&lt;=$E34),1,"")</f>
        <v/>
      </c>
      <c r="T34">
        <f>IF(AND(T$9+6&gt;=$D34,T$9&lt;=$E34),1,"")</f>
        <v/>
      </c>
      <c r="U34">
        <f>IF(AND(U$9+6&gt;=$D34,U$9&lt;=$E34),1,"")</f>
        <v/>
      </c>
      <c r="V34">
        <f>IF(AND(V$9+6&gt;=$D34,V$9&lt;=$E34),1,"")</f>
        <v/>
      </c>
      <c r="W34">
        <f>IF(AND(W$9+6&gt;=$D34,W$9&lt;=$E34),1,"")</f>
        <v/>
      </c>
      <c r="X34">
        <f>IF(AND(X$9+6&gt;=$D34,X$9&lt;=$E34),1,"")</f>
        <v/>
      </c>
      <c r="Y34">
        <f>IF(AND(Y$9+6&gt;=$D34,Y$9&lt;=$E34),1,"")</f>
        <v/>
      </c>
      <c r="Z34">
        <f>IF(AND(Z$9+6&gt;=$D34,Z$9&lt;=$E34),1,"")</f>
        <v/>
      </c>
      <c r="AA34">
        <f>IF(AND(AA$9+6&gt;=$D34,AA$9&lt;=$E34),1,"")</f>
        <v/>
      </c>
      <c r="AB34">
        <f>IF(AND(AB$9+6&gt;=$D34,AB$9&lt;=$E34),1,"")</f>
        <v/>
      </c>
      <c r="AC34">
        <f>IF(AND(AC$9+6&gt;=$D34,AC$9&lt;=$E34),1,"")</f>
        <v/>
      </c>
      <c r="AD34">
        <f>IF(AND(AD$9+6&gt;=$D34,AD$9&lt;=$E34),1,"")</f>
        <v/>
      </c>
      <c r="AE34">
        <f>IF(AND(AE$9+6&gt;=$D34,AE$9&lt;=$E34),1,"")</f>
        <v/>
      </c>
      <c r="AF34">
        <f>IF(AND(AF$9+6&gt;=$D34,AF$9&lt;=$E34),1,"")</f>
        <v/>
      </c>
      <c r="AG34">
        <f>IF(AND(AG$9+6&gt;=$D34,AG$9&lt;=$E34),1,"")</f>
        <v/>
      </c>
      <c r="AH34">
        <f>IF(AND(AH$9+6&gt;=$D34,AH$9&lt;=$E34),1,"")</f>
        <v/>
      </c>
      <c r="AI34">
        <f>IF(AND(AI$9+6&gt;=$D34,AI$9&lt;=$E34),1,"")</f>
        <v/>
      </c>
      <c r="AJ34">
        <f>IF(AND(AJ$9+6&gt;=$D34,AJ$9&lt;=$E34),1,"")</f>
        <v/>
      </c>
      <c r="AK34">
        <f>IF(AND(AK$9+6&gt;=$D34,AK$9&lt;=$E34),1,"")</f>
        <v/>
      </c>
      <c r="AL34">
        <f>IF(AND(AL$9+6&gt;=$D34,AL$9&lt;=$E34),1,"")</f>
        <v/>
      </c>
      <c r="AM34">
        <f>IF(AND(AM$9+6&gt;=$D34,AM$9&lt;=$E34),1,"")</f>
        <v/>
      </c>
      <c r="AN34">
        <f>IF(AND(AN$9+6&gt;=$D34,AN$9&lt;=$E34),1,"")</f>
        <v/>
      </c>
      <c r="AO34">
        <f>IF(AND(AO$9+6&gt;=$D34,AO$9&lt;=$E34),1,"")</f>
        <v/>
      </c>
      <c r="AP34">
        <f>IF(AND(AP$9+6&gt;=$D34,AP$9&lt;=$E34),1,"")</f>
        <v/>
      </c>
      <c r="AQ34">
        <f>IF(AND(AQ$9+6&gt;=$D34,AQ$9&lt;=$E34),1,"")</f>
        <v/>
      </c>
      <c r="AR34">
        <f>IF(AND(AR$9+6&gt;=$D34,AR$9&lt;=$E34),1,"")</f>
        <v/>
      </c>
      <c r="AS34">
        <f>IF(AND(AS$9+6&gt;=$D34,AS$9&lt;=$E34),1,"")</f>
        <v/>
      </c>
      <c r="AT34">
        <f>IF(AND(AT$9+6&gt;=$D34,AT$9&lt;=$E34),1,"")</f>
        <v/>
      </c>
      <c r="AU34">
        <f>IF(AND(AU$9+6&gt;=$D34,AU$9&lt;=$E34),1,"")</f>
        <v/>
      </c>
      <c r="AV34">
        <f>IF(AND(AV$9+6&gt;=$D34,AV$9&lt;=$E34),1,"")</f>
        <v/>
      </c>
      <c r="AW34">
        <f>IF(AND(AW$9+6&gt;=$D34,AW$9&lt;=$E34),1,"")</f>
        <v/>
      </c>
      <c r="AX34">
        <f>IF(AND(AX$9+6&gt;=$D34,AX$9&lt;=$E34),1,"")</f>
        <v/>
      </c>
      <c r="AY34">
        <f>IF(AND(AY$9+6&gt;=$D34,AY$9&lt;=$E34),1,"")</f>
        <v/>
      </c>
      <c r="AZ34">
        <f>IF(AND(AZ$9+6&gt;=$D34,AZ$9&lt;=$E34),1,"")</f>
        <v/>
      </c>
      <c r="BA34">
        <f>IF(AND(BA$9+6&gt;=$D34,BA$9&lt;=$E34),1,"")</f>
        <v/>
      </c>
      <c r="BB34">
        <f>IF(AND(BB$9+6&gt;=$D34,BB$9&lt;=$E34),1,"")</f>
        <v/>
      </c>
      <c r="BC34">
        <f>IF(AND(BC$9+6&gt;=$D34,BC$9&lt;=$E34),1,"")</f>
        <v/>
      </c>
      <c r="BD34">
        <f>IF(AND(BD$9+6&gt;=$D34,BD$9&lt;=$E34),1,"")</f>
        <v/>
      </c>
      <c r="BE34">
        <f>IF(AND(BE$9+6&gt;=$D34,BE$9&lt;=$E34),1,"")</f>
        <v/>
      </c>
      <c r="BF34">
        <f>IF(AND(BF$9+6&gt;=$D34,BF$9&lt;=$E34),1,"")</f>
        <v/>
      </c>
      <c r="BG34">
        <f>IF(AND(BG$9+6&gt;=$D34,BG$9&lt;=$E34),1,"")</f>
        <v/>
      </c>
    </row>
    <row r="35">
      <c r="B35" s="13" t="inlineStr">
        <is>
          <t>Preliminary target status assessment (internal) – A1/T2 tabs</t>
        </is>
      </c>
      <c r="C35" s="13" t="inlineStr"/>
      <c r="D35" s="14" t="n">
        <v>46405</v>
      </c>
      <c r="E35" s="14" t="n">
        <v>46423</v>
      </c>
      <c r="F35" s="13" t="inlineStr">
        <is>
          <t>Rose (TBC)</t>
        </is>
      </c>
      <c r="G35" s="13" t="inlineStr">
        <is>
          <t>Director, Sustainability</t>
        </is>
      </c>
      <c r="H35" s="13" t="inlineStr">
        <is>
          <t>SST</t>
        </is>
      </c>
      <c r="I35" s="13" t="inlineStr"/>
      <c r="J35" s="13" t="inlineStr">
        <is>
          <t>High</t>
        </is>
      </c>
      <c r="K35" s="13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>
      <c r="B36" s="13" t="inlineStr">
        <is>
          <t>Full draft + issues paper; close evidence gaps</t>
        </is>
      </c>
      <c r="C36" s="13" t="inlineStr"/>
      <c r="D36" s="14" t="n">
        <v>46398</v>
      </c>
      <c r="E36" s="14" t="n">
        <v>46423</v>
      </c>
      <c r="F36" s="13" t="inlineStr">
        <is>
          <t>SST</t>
        </is>
      </c>
      <c r="G36" s="13" t="inlineStr">
        <is>
          <t>Director, Sustainability</t>
        </is>
      </c>
      <c r="H36" s="13" t="inlineStr"/>
      <c r="I36" s="13" t="inlineStr"/>
      <c r="J36" s="13" t="inlineStr">
        <is>
          <t>High</t>
        </is>
      </c>
      <c r="K36" s="13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>
      <c r="B37" s="11" t="inlineStr">
        <is>
          <t>Review &amp; governance (Feb–May 2027)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</row>
    <row r="38">
      <c r="B38" s="13" t="inlineStr">
        <is>
          <t>VCAG papers due (Review Group findings)</t>
        </is>
      </c>
      <c r="C38" s="13" t="inlineStr">
        <is>
          <t>10 Feb</t>
        </is>
      </c>
      <c r="D38" s="14" t="n">
        <v>46428</v>
      </c>
      <c r="E38" s="14" t="n">
        <v>46428</v>
      </c>
      <c r="F38" s="13" t="inlineStr">
        <is>
          <t>SST</t>
        </is>
      </c>
      <c r="G38" s="13" t="inlineStr">
        <is>
          <t>Director, Sustainability</t>
        </is>
      </c>
      <c r="H38" s="13" t="inlineStr"/>
      <c r="I38" s="13" t="inlineStr"/>
      <c r="J38" s="13" t="inlineStr">
        <is>
          <t>Milestone</t>
        </is>
      </c>
      <c r="K38" s="13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>
      <c r="B39" s="13" t="inlineStr">
        <is>
          <t>Sustainability Reporting Review Group</t>
        </is>
      </c>
      <c r="C39" s="13" t="inlineStr">
        <is>
          <t>~15 Feb (8–10 Feb TBC)</t>
        </is>
      </c>
      <c r="D39" s="14" t="n">
        <v>46426</v>
      </c>
      <c r="E39" s="14" t="n">
        <v>46433</v>
      </c>
      <c r="F39" s="13" t="inlineStr">
        <is>
          <t>Rose (convenor, TBC)</t>
        </is>
      </c>
      <c r="G39" s="13" t="inlineStr"/>
      <c r="H39" s="13" t="inlineStr"/>
      <c r="I39" s="13" t="inlineStr"/>
      <c r="J39" s="13" t="inlineStr">
        <is>
          <t>Milestone</t>
        </is>
      </c>
      <c r="K39" s="13" t="inlineStr">
        <is>
          <t>Not yet started</t>
        </is>
      </c>
      <c r="L39">
        <f>IF(AND(L$9+6&gt;=$D39,L$9&lt;=$E39),1,"")</f>
        <v/>
      </c>
      <c r="M39">
        <f>IF(AND(M$9+6&gt;=$D39,M$9&lt;=$E39),1,"")</f>
        <v/>
      </c>
      <c r="N39">
        <f>IF(AND(N$9+6&gt;=$D39,N$9&lt;=$E39),1,"")</f>
        <v/>
      </c>
      <c r="O39">
        <f>IF(AND(O$9+6&gt;=$D39,O$9&lt;=$E39),1,"")</f>
        <v/>
      </c>
      <c r="P39">
        <f>IF(AND(P$9+6&gt;=$D39,P$9&lt;=$E39),1,"")</f>
        <v/>
      </c>
      <c r="Q39">
        <f>IF(AND(Q$9+6&gt;=$D39,Q$9&lt;=$E39),1,"")</f>
        <v/>
      </c>
      <c r="R39">
        <f>IF(AND(R$9+6&gt;=$D39,R$9&lt;=$E39),1,"")</f>
        <v/>
      </c>
      <c r="S39">
        <f>IF(AND(S$9+6&gt;=$D39,S$9&lt;=$E39),1,"")</f>
        <v/>
      </c>
      <c r="T39">
        <f>IF(AND(T$9+6&gt;=$D39,T$9&lt;=$E39),1,"")</f>
        <v/>
      </c>
      <c r="U39">
        <f>IF(AND(U$9+6&gt;=$D39,U$9&lt;=$E39),1,"")</f>
        <v/>
      </c>
      <c r="V39">
        <f>IF(AND(V$9+6&gt;=$D39,V$9&lt;=$E39),1,"")</f>
        <v/>
      </c>
      <c r="W39">
        <f>IF(AND(W$9+6&gt;=$D39,W$9&lt;=$E39),1,"")</f>
        <v/>
      </c>
      <c r="X39">
        <f>IF(AND(X$9+6&gt;=$D39,X$9&lt;=$E39),1,"")</f>
        <v/>
      </c>
      <c r="Y39">
        <f>IF(AND(Y$9+6&gt;=$D39,Y$9&lt;=$E39),1,"")</f>
        <v/>
      </c>
      <c r="Z39">
        <f>IF(AND(Z$9+6&gt;=$D39,Z$9&lt;=$E39),1,"")</f>
        <v/>
      </c>
      <c r="AA39">
        <f>IF(AND(AA$9+6&gt;=$D39,AA$9&lt;=$E39),1,"")</f>
        <v/>
      </c>
      <c r="AB39">
        <f>IF(AND(AB$9+6&gt;=$D39,AB$9&lt;=$E39),1,"")</f>
        <v/>
      </c>
      <c r="AC39">
        <f>IF(AND(AC$9+6&gt;=$D39,AC$9&lt;=$E39),1,"")</f>
        <v/>
      </c>
      <c r="AD39">
        <f>IF(AND(AD$9+6&gt;=$D39,AD$9&lt;=$E39),1,"")</f>
        <v/>
      </c>
      <c r="AE39">
        <f>IF(AND(AE$9+6&gt;=$D39,AE$9&lt;=$E39),1,"")</f>
        <v/>
      </c>
      <c r="AF39">
        <f>IF(AND(AF$9+6&gt;=$D39,AF$9&lt;=$E39),1,"")</f>
        <v/>
      </c>
      <c r="AG39">
        <f>IF(AND(AG$9+6&gt;=$D39,AG$9&lt;=$E39),1,"")</f>
        <v/>
      </c>
      <c r="AH39">
        <f>IF(AND(AH$9+6&gt;=$D39,AH$9&lt;=$E39),1,"")</f>
        <v/>
      </c>
      <c r="AI39">
        <f>IF(AND(AI$9+6&gt;=$D39,AI$9&lt;=$E39),1,"")</f>
        <v/>
      </c>
      <c r="AJ39">
        <f>IF(AND(AJ$9+6&gt;=$D39,AJ$9&lt;=$E39),1,"")</f>
        <v/>
      </c>
      <c r="AK39">
        <f>IF(AND(AK$9+6&gt;=$D39,AK$9&lt;=$E39),1,"")</f>
        <v/>
      </c>
      <c r="AL39">
        <f>IF(AND(AL$9+6&gt;=$D39,AL$9&lt;=$E39),1,"")</f>
        <v/>
      </c>
      <c r="AM39">
        <f>IF(AND(AM$9+6&gt;=$D39,AM$9&lt;=$E39),1,"")</f>
        <v/>
      </c>
      <c r="AN39">
        <f>IF(AND(AN$9+6&gt;=$D39,AN$9&lt;=$E39),1,"")</f>
        <v/>
      </c>
      <c r="AO39">
        <f>IF(AND(AO$9+6&gt;=$D39,AO$9&lt;=$E39),1,"")</f>
        <v/>
      </c>
      <c r="AP39">
        <f>IF(AND(AP$9+6&gt;=$D39,AP$9&lt;=$E39),1,"")</f>
        <v/>
      </c>
      <c r="AQ39">
        <f>IF(AND(AQ$9+6&gt;=$D39,AQ$9&lt;=$E39),1,"")</f>
        <v/>
      </c>
      <c r="AR39">
        <f>IF(AND(AR$9+6&gt;=$D39,AR$9&lt;=$E39),1,"")</f>
        <v/>
      </c>
      <c r="AS39">
        <f>IF(AND(AS$9+6&gt;=$D39,AS$9&lt;=$E39),1,"")</f>
        <v/>
      </c>
      <c r="AT39">
        <f>IF(AND(AT$9+6&gt;=$D39,AT$9&lt;=$E39),1,"")</f>
        <v/>
      </c>
      <c r="AU39">
        <f>IF(AND(AU$9+6&gt;=$D39,AU$9&lt;=$E39),1,"")</f>
        <v/>
      </c>
      <c r="AV39">
        <f>IF(AND(AV$9+6&gt;=$D39,AV$9&lt;=$E39),1,"")</f>
        <v/>
      </c>
      <c r="AW39">
        <f>IF(AND(AW$9+6&gt;=$D39,AW$9&lt;=$E39),1,"")</f>
        <v/>
      </c>
      <c r="AX39">
        <f>IF(AND(AX$9+6&gt;=$D39,AX$9&lt;=$E39),1,"")</f>
        <v/>
      </c>
      <c r="AY39">
        <f>IF(AND(AY$9+6&gt;=$D39,AY$9&lt;=$E39),1,"")</f>
        <v/>
      </c>
      <c r="AZ39">
        <f>IF(AND(AZ$9+6&gt;=$D39,AZ$9&lt;=$E39),1,"")</f>
        <v/>
      </c>
      <c r="BA39">
        <f>IF(AND(BA$9+6&gt;=$D39,BA$9&lt;=$E39),1,"")</f>
        <v/>
      </c>
      <c r="BB39">
        <f>IF(AND(BB$9+6&gt;=$D39,BB$9&lt;=$E39),1,"")</f>
        <v/>
      </c>
      <c r="BC39">
        <f>IF(AND(BC$9+6&gt;=$D39,BC$9&lt;=$E39),1,"")</f>
        <v/>
      </c>
      <c r="BD39">
        <f>IF(AND(BD$9+6&gt;=$D39,BD$9&lt;=$E39),1,"")</f>
        <v/>
      </c>
      <c r="BE39">
        <f>IF(AND(BE$9+6&gt;=$D39,BE$9&lt;=$E39),1,"")</f>
        <v/>
      </c>
      <c r="BF39">
        <f>IF(AND(BF$9+6&gt;=$D39,BF$9&lt;=$E39),1,"")</f>
        <v/>
      </c>
      <c r="BG39">
        <f>IF(AND(BG$9+6&gt;=$D39,BG$9&lt;=$E39),1,"")</f>
        <v/>
      </c>
    </row>
    <row r="40">
      <c r="B40" s="13" t="inlineStr">
        <is>
          <t>VCAG – notes Review Group findings</t>
        </is>
      </c>
      <c r="C40" s="13" t="inlineStr">
        <is>
          <t>16 Feb</t>
        </is>
      </c>
      <c r="D40" s="14" t="n">
        <v>46434</v>
      </c>
      <c r="E40" s="14" t="n">
        <v>46434</v>
      </c>
      <c r="F40" s="13" t="inlineStr"/>
      <c r="G40" s="13" t="inlineStr"/>
      <c r="H40" s="13" t="inlineStr"/>
      <c r="I40" s="13" t="inlineStr"/>
      <c r="J40" s="13" t="inlineStr">
        <is>
          <t>Milestone</t>
        </is>
      </c>
      <c r="K40" s="13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>
      <c r="B41" s="13" t="inlineStr">
        <is>
          <t>Investment Management Committee – Responsible Investments section</t>
        </is>
      </c>
      <c r="C41" s="13" t="inlineStr">
        <is>
          <t>~25 Feb (papers ~18 Feb)</t>
        </is>
      </c>
      <c r="D41" s="14" t="n">
        <v>46436</v>
      </c>
      <c r="E41" s="14" t="n">
        <v>46443</v>
      </c>
      <c r="F41" s="13" t="inlineStr">
        <is>
          <t>SST</t>
        </is>
      </c>
      <c r="G41" s="13" t="inlineStr"/>
      <c r="H41" s="13" t="inlineStr"/>
      <c r="I41" s="13" t="inlineStr"/>
      <c r="J41" s="13" t="inlineStr">
        <is>
          <t>Milestone</t>
        </is>
      </c>
      <c r="K41" s="13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>
      <c r="B42" s="13" t="inlineStr">
        <is>
          <t>Full-report finalisation; Strategic Comms review; reconcile Annual Report data</t>
        </is>
      </c>
      <c r="C42" s="13" t="inlineStr"/>
      <c r="D42" s="14" t="n">
        <v>46434</v>
      </c>
      <c r="E42" s="14" t="n">
        <v>46444</v>
      </c>
      <c r="F42" s="13" t="inlineStr">
        <is>
          <t>SST</t>
        </is>
      </c>
      <c r="G42" s="13" t="inlineStr"/>
      <c r="H42" s="13" t="inlineStr">
        <is>
          <t>Strategic Comms</t>
        </is>
      </c>
      <c r="I42" s="13" t="inlineStr"/>
      <c r="J42" s="13" t="inlineStr">
        <is>
          <t>High</t>
        </is>
      </c>
      <c r="K42" s="13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>
      <c r="B43" s="13" t="inlineStr">
        <is>
          <t>VCAG – notes full report</t>
        </is>
      </c>
      <c r="C43" s="13" t="inlineStr">
        <is>
          <t>~2 Mar (papers ~25 Feb)</t>
        </is>
      </c>
      <c r="D43" s="14" t="n">
        <v>46448</v>
      </c>
      <c r="E43" s="14" t="n">
        <v>46448</v>
      </c>
      <c r="F43" s="13" t="inlineStr"/>
      <c r="G43" s="13" t="inlineStr"/>
      <c r="H43" s="13" t="inlineStr"/>
      <c r="I43" s="13" t="inlineStr"/>
      <c r="J43" s="13" t="inlineStr">
        <is>
          <t>Milestone</t>
        </is>
      </c>
      <c r="K43" s="13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>
      <c r="B44" s="13" t="inlineStr">
        <is>
          <t>University Executive – notes report</t>
        </is>
      </c>
      <c r="C44" s="13" t="inlineStr">
        <is>
          <t>~25 Mar (papers ~12 Mar)</t>
        </is>
      </c>
      <c r="D44" s="14" t="n">
        <v>46471</v>
      </c>
      <c r="E44" s="14" t="n">
        <v>46471</v>
      </c>
      <c r="F44" s="13" t="inlineStr"/>
      <c r="G44" s="13" t="inlineStr"/>
      <c r="H44" s="13" t="inlineStr"/>
      <c r="I44" s="13" t="inlineStr"/>
      <c r="J44" s="13" t="inlineStr">
        <is>
          <t>Milestone</t>
        </is>
      </c>
      <c r="K44" s="13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>
      <c r="B45" s="13" t="inlineStr">
        <is>
          <t>University Council – approves report</t>
        </is>
      </c>
      <c r="C45" s="13" t="inlineStr">
        <is>
          <t>~6 May (papers ~10 Apr)</t>
        </is>
      </c>
      <c r="D45" s="14" t="n">
        <v>46513</v>
      </c>
      <c r="E45" s="14" t="n">
        <v>46513</v>
      </c>
      <c r="F45" s="13" t="inlineStr"/>
      <c r="G45" s="13" t="inlineStr"/>
      <c r="H45" s="13" t="inlineStr"/>
      <c r="I45" s="13" t="inlineStr"/>
      <c r="J45" s="13" t="inlineStr">
        <is>
          <t>Milestone</t>
        </is>
      </c>
      <c r="K45" s="13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>
      <c r="B46" s="11" t="inlineStr">
        <is>
          <t>Publication &amp; close-out (May–Jun 2027)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</row>
    <row r="47">
      <c r="B47" s="13" t="inlineStr">
        <is>
          <t>Web build; QA, accessibility and web checks; agree analytics measures</t>
        </is>
      </c>
      <c r="C47" s="13" t="inlineStr">
        <is>
          <t>Before launch</t>
        </is>
      </c>
      <c r="D47" s="14" t="n">
        <v>46447</v>
      </c>
      <c r="E47" s="14" t="n">
        <v>46535</v>
      </c>
      <c r="F47" s="13" t="inlineStr">
        <is>
          <t>Comms/digital</t>
        </is>
      </c>
      <c r="G47" s="13" t="inlineStr"/>
      <c r="H47" s="13" t="inlineStr">
        <is>
          <t>SST</t>
        </is>
      </c>
      <c r="I47" s="13" t="inlineStr"/>
      <c r="J47" s="13" t="inlineStr">
        <is>
          <t>High</t>
        </is>
      </c>
      <c r="K47" s="13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>
      <c r="B48" s="13" t="inlineStr">
        <is>
          <t>Publish report (year-specific URL + landing page)</t>
        </is>
      </c>
      <c r="C48" s="13" t="inlineStr">
        <is>
          <t>June</t>
        </is>
      </c>
      <c r="D48" s="14" t="n">
        <v>46539</v>
      </c>
      <c r="E48" s="14" t="n">
        <v>46568</v>
      </c>
      <c r="F48" s="13" t="inlineStr">
        <is>
          <t>Comms/digital</t>
        </is>
      </c>
      <c r="G48" s="13" t="inlineStr">
        <is>
          <t>Director, Sustainability</t>
        </is>
      </c>
      <c r="H48" s="13" t="inlineStr"/>
      <c r="I48" s="13" t="inlineStr"/>
      <c r="J48" s="13" t="inlineStr">
        <is>
          <t>Milestone</t>
        </is>
      </c>
      <c r="K48" s="13" t="inlineStr">
        <is>
          <t>Not yet started</t>
        </is>
      </c>
      <c r="L48">
        <f>IF(AND(L$9+6&gt;=$D48,L$9&lt;=$E48),1,"")</f>
        <v/>
      </c>
      <c r="M48">
        <f>IF(AND(M$9+6&gt;=$D48,M$9&lt;=$E48),1,"")</f>
        <v/>
      </c>
      <c r="N48">
        <f>IF(AND(N$9+6&gt;=$D48,N$9&lt;=$E48),1,"")</f>
        <v/>
      </c>
      <c r="O48">
        <f>IF(AND(O$9+6&gt;=$D48,O$9&lt;=$E48),1,"")</f>
        <v/>
      </c>
      <c r="P48">
        <f>IF(AND(P$9+6&gt;=$D48,P$9&lt;=$E48),1,"")</f>
        <v/>
      </c>
      <c r="Q48">
        <f>IF(AND(Q$9+6&gt;=$D48,Q$9&lt;=$E48),1,"")</f>
        <v/>
      </c>
      <c r="R48">
        <f>IF(AND(R$9+6&gt;=$D48,R$9&lt;=$E48),1,"")</f>
        <v/>
      </c>
      <c r="S48">
        <f>IF(AND(S$9+6&gt;=$D48,S$9&lt;=$E48),1,"")</f>
        <v/>
      </c>
      <c r="T48">
        <f>IF(AND(T$9+6&gt;=$D48,T$9&lt;=$E48),1,"")</f>
        <v/>
      </c>
      <c r="U48">
        <f>IF(AND(U$9+6&gt;=$D48,U$9&lt;=$E48),1,"")</f>
        <v/>
      </c>
      <c r="V48">
        <f>IF(AND(V$9+6&gt;=$D48,V$9&lt;=$E48),1,"")</f>
        <v/>
      </c>
      <c r="W48">
        <f>IF(AND(W$9+6&gt;=$D48,W$9&lt;=$E48),1,"")</f>
        <v/>
      </c>
      <c r="X48">
        <f>IF(AND(X$9+6&gt;=$D48,X$9&lt;=$E48),1,"")</f>
        <v/>
      </c>
      <c r="Y48">
        <f>IF(AND(Y$9+6&gt;=$D48,Y$9&lt;=$E48),1,"")</f>
        <v/>
      </c>
      <c r="Z48">
        <f>IF(AND(Z$9+6&gt;=$D48,Z$9&lt;=$E48),1,"")</f>
        <v/>
      </c>
      <c r="AA48">
        <f>IF(AND(AA$9+6&gt;=$D48,AA$9&lt;=$E48),1,"")</f>
        <v/>
      </c>
      <c r="AB48">
        <f>IF(AND(AB$9+6&gt;=$D48,AB$9&lt;=$E48),1,"")</f>
        <v/>
      </c>
      <c r="AC48">
        <f>IF(AND(AC$9+6&gt;=$D48,AC$9&lt;=$E48),1,"")</f>
        <v/>
      </c>
      <c r="AD48">
        <f>IF(AND(AD$9+6&gt;=$D48,AD$9&lt;=$E48),1,"")</f>
        <v/>
      </c>
      <c r="AE48">
        <f>IF(AND(AE$9+6&gt;=$D48,AE$9&lt;=$E48),1,"")</f>
        <v/>
      </c>
      <c r="AF48">
        <f>IF(AND(AF$9+6&gt;=$D48,AF$9&lt;=$E48),1,"")</f>
        <v/>
      </c>
      <c r="AG48">
        <f>IF(AND(AG$9+6&gt;=$D48,AG$9&lt;=$E48),1,"")</f>
        <v/>
      </c>
      <c r="AH48">
        <f>IF(AND(AH$9+6&gt;=$D48,AH$9&lt;=$E48),1,"")</f>
        <v/>
      </c>
      <c r="AI48">
        <f>IF(AND(AI$9+6&gt;=$D48,AI$9&lt;=$E48),1,"")</f>
        <v/>
      </c>
      <c r="AJ48">
        <f>IF(AND(AJ$9+6&gt;=$D48,AJ$9&lt;=$E48),1,"")</f>
        <v/>
      </c>
      <c r="AK48">
        <f>IF(AND(AK$9+6&gt;=$D48,AK$9&lt;=$E48),1,"")</f>
        <v/>
      </c>
      <c r="AL48">
        <f>IF(AND(AL$9+6&gt;=$D48,AL$9&lt;=$E48),1,"")</f>
        <v/>
      </c>
      <c r="AM48">
        <f>IF(AND(AM$9+6&gt;=$D48,AM$9&lt;=$E48),1,"")</f>
        <v/>
      </c>
      <c r="AN48">
        <f>IF(AND(AN$9+6&gt;=$D48,AN$9&lt;=$E48),1,"")</f>
        <v/>
      </c>
      <c r="AO48">
        <f>IF(AND(AO$9+6&gt;=$D48,AO$9&lt;=$E48),1,"")</f>
        <v/>
      </c>
      <c r="AP48">
        <f>IF(AND(AP$9+6&gt;=$D48,AP$9&lt;=$E48),1,"")</f>
        <v/>
      </c>
      <c r="AQ48">
        <f>IF(AND(AQ$9+6&gt;=$D48,AQ$9&lt;=$E48),1,"")</f>
        <v/>
      </c>
      <c r="AR48">
        <f>IF(AND(AR$9+6&gt;=$D48,AR$9&lt;=$E48),1,"")</f>
        <v/>
      </c>
      <c r="AS48">
        <f>IF(AND(AS$9+6&gt;=$D48,AS$9&lt;=$E48),1,"")</f>
        <v/>
      </c>
      <c r="AT48">
        <f>IF(AND(AT$9+6&gt;=$D48,AT$9&lt;=$E48),1,"")</f>
        <v/>
      </c>
      <c r="AU48">
        <f>IF(AND(AU$9+6&gt;=$D48,AU$9&lt;=$E48),1,"")</f>
        <v/>
      </c>
      <c r="AV48">
        <f>IF(AND(AV$9+6&gt;=$D48,AV$9&lt;=$E48),1,"")</f>
        <v/>
      </c>
      <c r="AW48">
        <f>IF(AND(AW$9+6&gt;=$D48,AW$9&lt;=$E48),1,"")</f>
        <v/>
      </c>
      <c r="AX48">
        <f>IF(AND(AX$9+6&gt;=$D48,AX$9&lt;=$E48),1,"")</f>
        <v/>
      </c>
      <c r="AY48">
        <f>IF(AND(AY$9+6&gt;=$D48,AY$9&lt;=$E48),1,"")</f>
        <v/>
      </c>
      <c r="AZ48">
        <f>IF(AND(AZ$9+6&gt;=$D48,AZ$9&lt;=$E48),1,"")</f>
        <v/>
      </c>
      <c r="BA48">
        <f>IF(AND(BA$9+6&gt;=$D48,BA$9&lt;=$E48),1,"")</f>
        <v/>
      </c>
      <c r="BB48">
        <f>IF(AND(BB$9+6&gt;=$D48,BB$9&lt;=$E48),1,"")</f>
        <v/>
      </c>
      <c r="BC48">
        <f>IF(AND(BC$9+6&gt;=$D48,BC$9&lt;=$E48),1,"")</f>
        <v/>
      </c>
      <c r="BD48">
        <f>IF(AND(BD$9+6&gt;=$D48,BD$9&lt;=$E48),1,"")</f>
        <v/>
      </c>
      <c r="BE48">
        <f>IF(AND(BE$9+6&gt;=$D48,BE$9&lt;=$E48),1,"")</f>
        <v/>
      </c>
      <c r="BF48">
        <f>IF(AND(BF$9+6&gt;=$D48,BF$9&lt;=$E48),1,"")</f>
        <v/>
      </c>
      <c r="BG48">
        <f>IF(AND(BG$9+6&gt;=$D48,BG$9&lt;=$E48),1,"")</f>
        <v/>
      </c>
    </row>
    <row r="49">
      <c r="B49" s="13" t="inlineStr">
        <is>
          <t>Monitor engagement; project retrospective; improvements for 2027 cycle</t>
        </is>
      </c>
      <c r="C49" s="13" t="inlineStr"/>
      <c r="D49" s="14" t="n">
        <v>46539</v>
      </c>
      <c r="E49" s="14" t="n">
        <v>46598</v>
      </c>
      <c r="F49" s="13" t="inlineStr">
        <is>
          <t>SST</t>
        </is>
      </c>
      <c r="G49" s="13" t="inlineStr"/>
      <c r="H49" s="13" t="inlineStr">
        <is>
          <t>Comms, design</t>
        </is>
      </c>
      <c r="I49" s="13" t="inlineStr"/>
      <c r="J49" s="13" t="inlineStr">
        <is>
          <t>Medium</t>
        </is>
      </c>
      <c r="K49" s="13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</sheetData>
  <conditionalFormatting sqref="L10:BG49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49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P3. Comms + web build to-do list</t>
        </is>
      </c>
    </row>
    <row r="4">
      <c r="B4" t="inlineStr">
        <is>
          <t>Track comms, web build and design tasks. Priority: Low / Medium / High / Urgent.</t>
        </is>
      </c>
    </row>
    <row r="6">
      <c r="B6" s="9" t="inlineStr">
        <is>
          <t>Report component or page</t>
        </is>
      </c>
      <c r="C6" s="9" t="inlineStr">
        <is>
          <t>Case study/content name</t>
        </is>
      </c>
      <c r="D6" s="9" t="inlineStr">
        <is>
          <t>Lead</t>
        </is>
      </c>
      <c r="E6" s="9" t="inlineStr">
        <is>
          <t>Priority level</t>
        </is>
      </c>
      <c r="F6" s="9" t="inlineStr">
        <is>
          <t>Agreed deadline</t>
        </is>
      </c>
      <c r="G6" s="9" t="inlineStr">
        <is>
          <t>Action needed</t>
        </is>
      </c>
      <c r="H6" s="9" t="inlineStr">
        <is>
          <t>Details</t>
        </is>
      </c>
      <c r="I6" s="9" t="inlineStr">
        <is>
          <t>Complete? (Y/N)</t>
        </is>
      </c>
      <c r="J6" s="9" t="inlineStr">
        <is>
          <t>Updates/blockers/FYI</t>
        </is>
      </c>
    </row>
    <row r="7">
      <c r="B7" s="13" t="inlineStr">
        <is>
          <t>Web – whole report</t>
        </is>
      </c>
      <c r="C7" s="13" t="inlineStr">
        <is>
          <t>Year-specific report URL</t>
        </is>
      </c>
      <c r="D7" s="13" t="inlineStr">
        <is>
          <t>Comms/digital</t>
        </is>
      </c>
      <c r="E7" s="13" t="inlineStr">
        <is>
          <t>High</t>
        </is>
      </c>
      <c r="F7" s="13" t="inlineStr"/>
      <c r="G7" s="13" t="inlineStr">
        <is>
          <t>Set up</t>
        </is>
      </c>
      <c r="H7" s="13" t="inlineStr">
        <is>
          <t>Use a year-specific URL (e.g. /sustainabilityreport/2026) and retain the central reports landing page (SR25 lesson).</t>
        </is>
      </c>
      <c r="I7" s="13" t="inlineStr"/>
      <c r="J7" s="13" t="inlineStr"/>
    </row>
    <row r="8">
      <c r="B8" s="13" t="inlineStr">
        <is>
          <t>Web – whole report</t>
        </is>
      </c>
      <c r="C8" s="13" t="inlineStr">
        <is>
          <t>Analytics measures</t>
        </is>
      </c>
      <c r="D8" s="13" t="inlineStr">
        <is>
          <t>Comms/digital</t>
        </is>
      </c>
      <c r="E8" s="13" t="inlineStr">
        <is>
          <t>High</t>
        </is>
      </c>
      <c r="F8" s="13" t="inlineStr"/>
      <c r="G8" s="13" t="inlineStr">
        <is>
          <t>Agree before launch</t>
        </is>
      </c>
      <c r="H8" s="13" t="inlineStr">
        <is>
          <t>Agree web sessions, users and views measures before launch so project close can report them.</t>
        </is>
      </c>
      <c r="I8" s="13" t="inlineStr"/>
      <c r="J8" s="13" t="inlineStr"/>
    </row>
    <row r="9">
      <c r="B9" s="13" t="inlineStr">
        <is>
          <t>Web – whole report</t>
        </is>
      </c>
      <c r="C9" s="13" t="inlineStr">
        <is>
          <t>Accessibility &amp; reviewer workflow testing</t>
        </is>
      </c>
      <c r="D9" s="13" t="inlineStr">
        <is>
          <t>Comms/digital</t>
        </is>
      </c>
      <c r="E9" s="13" t="inlineStr">
        <is>
          <t>High</t>
        </is>
      </c>
      <c r="F9" s="13" t="inlineStr"/>
      <c r="G9" s="13" t="inlineStr">
        <is>
          <t>Test</t>
        </is>
      </c>
      <c r="H9" s="13" t="inlineStr">
        <is>
          <t>Navigation, links, mobile usability, accessibility, reviewer workflows – before governance approval.</t>
        </is>
      </c>
      <c r="I9" s="13" t="inlineStr"/>
      <c r="J9" s="13" t="inlineStr"/>
    </row>
    <row r="10">
      <c r="B10" s="13" t="inlineStr">
        <is>
          <t>Report introduction</t>
        </is>
      </c>
      <c r="C10" s="13" t="inlineStr">
        <is>
          <t>Transition-year framing</t>
        </is>
      </c>
      <c r="D10" s="13" t="inlineStr">
        <is>
          <t>SST</t>
        </is>
      </c>
      <c r="E10" s="13" t="inlineStr">
        <is>
          <t>High</t>
        </is>
      </c>
      <c r="F10" s="13" t="inlineStr"/>
      <c r="G10" s="13" t="inlineStr">
        <is>
          <t>Draft</t>
        </is>
      </c>
      <c r="H10" s="13" t="inlineStr">
        <is>
          <t>Explain former SP2030 vs Sustainability 2030 (launched ~20 Oct 2026).</t>
        </is>
      </c>
      <c r="I10" s="13" t="inlineStr"/>
      <c r="J10" s="13" t="inlineStr"/>
    </row>
    <row r="11">
      <c r="B11" s="13" t="inlineStr">
        <is>
          <t>Whole report</t>
        </is>
      </c>
      <c r="C11" s="13" t="inlineStr">
        <is>
          <t>Whole-report review</t>
        </is>
      </c>
      <c r="D11" s="13" t="inlineStr">
        <is>
          <t>Strategic Comms</t>
        </is>
      </c>
      <c r="E11" s="13" t="inlineStr">
        <is>
          <t>High</t>
        </is>
      </c>
      <c r="F11" s="13" t="inlineStr"/>
      <c r="G11" s="13" t="inlineStr">
        <is>
          <t>Schedule</t>
        </is>
      </c>
      <c r="H11" s="13" t="inlineStr">
        <is>
          <t>Schedule early enough for material changes.</t>
        </is>
      </c>
      <c r="I11" s="13" t="inlineStr"/>
      <c r="J11" s="13" t="inlineStr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P4. Content contributor checklist</t>
        </is>
      </c>
    </row>
    <row r="4">
      <c r="B4" t="inlineStr">
        <is>
          <t>Stakeholder management for report content: review by contributors, images, credits and captions, post-launch follow-up.</t>
        </is>
      </c>
    </row>
    <row r="6">
      <c r="B6" s="9" t="inlineStr">
        <is>
          <t>Report section</t>
        </is>
      </c>
      <c r="C6" s="9" t="inlineStr">
        <is>
          <t>Case study</t>
        </is>
      </c>
      <c r="D6" s="9" t="inlineStr">
        <is>
          <t>Activity areas</t>
        </is>
      </c>
      <c r="E6" s="9" t="inlineStr">
        <is>
          <t>Review required? (Y/N)</t>
        </is>
      </c>
      <c r="F6" s="9" t="inlineStr">
        <is>
          <t>Content contributors</t>
        </is>
      </c>
      <c r="G6" s="9" t="inlineStr">
        <is>
          <t>Project team liaison</t>
        </is>
      </c>
      <c r="H6" s="9" t="inlineStr">
        <is>
          <t>Sent for review (date)</t>
        </is>
      </c>
      <c r="I6" s="9" t="inlineStr">
        <is>
          <t>Changes required? (Y/N)</t>
        </is>
      </c>
      <c r="J6" s="9" t="inlineStr">
        <is>
          <t>SR26 draft updated? (Y/N)</t>
        </is>
      </c>
      <c r="K6" s="9" t="inlineStr">
        <is>
          <t>SR26 website updated? (Y/N)</t>
        </is>
      </c>
      <c r="L6" s="9" t="inlineStr">
        <is>
          <t>Images shared? (Y/N)</t>
        </is>
      </c>
      <c r="M6" s="9" t="inlineStr">
        <is>
          <t>Image URL</t>
        </is>
      </c>
      <c r="N6" s="9" t="inlineStr">
        <is>
          <t>Known image gap</t>
        </is>
      </c>
      <c r="O6" s="9" t="inlineStr">
        <is>
          <t>Credit noted?</t>
        </is>
      </c>
      <c r="P6" s="9" t="inlineStr">
        <is>
          <t>Caption text</t>
        </is>
      </c>
      <c r="Q6" s="9" t="inlineStr">
        <is>
          <t>Permission to publish confirmed?</t>
        </is>
      </c>
      <c r="R6" s="9" t="inlineStr">
        <is>
          <t>Post-launch: send to</t>
        </is>
      </c>
      <c r="S6" s="9" t="inlineStr">
        <is>
          <t>CC</t>
        </is>
      </c>
      <c r="T6" s="9" t="inlineStr">
        <is>
          <t>Sent (date)</t>
        </is>
      </c>
      <c r="U6" s="9" t="inlineStr">
        <is>
          <t>Complete? (Y/N)</t>
        </is>
      </c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P5. SR26 page index (URLs)</t>
        </is>
      </c>
    </row>
    <row r="5">
      <c r="B5" s="9" t="inlineStr">
        <is>
          <t>Ref</t>
        </is>
      </c>
      <c r="C5" s="9" t="inlineStr">
        <is>
          <t>Sustainability 2030 component</t>
        </is>
      </c>
      <c r="D5" s="9" t="inlineStr">
        <is>
          <t>Page name</t>
        </is>
      </c>
      <c r="E5" s="9" t="inlineStr">
        <is>
          <t>Story / case study</t>
        </is>
      </c>
      <c r="F5" s="9" t="inlineStr">
        <is>
          <t>SR26 link</t>
        </is>
      </c>
      <c r="G5" s="9" t="inlineStr">
        <is>
          <t>Page description</t>
        </is>
      </c>
      <c r="H5" s="9" t="inlineStr">
        <is>
          <t>Character count</t>
        </is>
      </c>
      <c r="I5" s="9" t="inlineStr">
        <is>
          <t>SR25 equivalent page</t>
        </is>
      </c>
    </row>
    <row r="6">
      <c r="B6" s="15" t="inlineStr">
        <is>
          <t>FM01</t>
        </is>
      </c>
      <c r="C6" s="13" t="inlineStr">
        <is>
          <t>N/A</t>
        </is>
      </c>
      <c r="D6" s="13" t="inlineStr">
        <is>
          <t>Landing page</t>
        </is>
      </c>
      <c r="E6" s="13" t="inlineStr"/>
      <c r="F6" s="13" t="inlineStr"/>
      <c r="G6" s="13" t="inlineStr"/>
      <c r="H6" s="13">
        <f>LEN(G6)</f>
        <v/>
      </c>
      <c r="I6" s="13" t="inlineStr"/>
    </row>
    <row r="7">
      <c r="B7" s="15" t="inlineStr">
        <is>
          <t>FM02</t>
        </is>
      </c>
      <c r="C7" s="13" t="inlineStr">
        <is>
          <t>N/A</t>
        </is>
      </c>
      <c r="D7" s="13" t="inlineStr">
        <is>
          <t>Overview (transition year)</t>
        </is>
      </c>
      <c r="E7" s="13" t="inlineStr"/>
      <c r="F7" s="13" t="inlineStr"/>
      <c r="G7" s="13" t="inlineStr"/>
      <c r="H7" s="13">
        <f>LEN(G7)</f>
        <v/>
      </c>
      <c r="I7" s="13" t="inlineStr"/>
    </row>
    <row r="8">
      <c r="B8" s="15" t="inlineStr">
        <is>
          <t>FM03</t>
        </is>
      </c>
      <c r="C8" s="13" t="inlineStr">
        <is>
          <t>N/A</t>
        </is>
      </c>
      <c r="D8" s="13" t="inlineStr">
        <is>
          <t>Our impact</t>
        </is>
      </c>
      <c r="E8" s="13" t="inlineStr"/>
      <c r="F8" s="13" t="inlineStr"/>
      <c r="G8" s="13" t="inlineStr"/>
      <c r="H8" s="13">
        <f>LEN(G8)</f>
        <v/>
      </c>
      <c r="I8" s="13" t="inlineStr"/>
    </row>
    <row r="9">
      <c r="B9" s="15" t="inlineStr">
        <is>
          <t>PA01</t>
        </is>
      </c>
      <c r="C9" s="13" t="inlineStr">
        <is>
          <t>Education and research</t>
        </is>
      </c>
      <c r="D9" s="13" t="inlineStr">
        <is>
          <t>Exceptional education</t>
        </is>
      </c>
      <c r="E9" s="13" t="inlineStr"/>
      <c r="F9" s="13" t="inlineStr"/>
      <c r="G9" s="13" t="inlineStr"/>
      <c r="H9" s="13">
        <f>LEN(G9)</f>
        <v/>
      </c>
      <c r="I9" s="13" t="inlineStr"/>
    </row>
    <row r="10">
      <c r="B10" s="15" t="inlineStr">
        <is>
          <t>PA02</t>
        </is>
      </c>
      <c r="C10" s="13" t="inlineStr">
        <is>
          <t>Education and research</t>
        </is>
      </c>
      <c r="D10" s="13" t="inlineStr">
        <is>
          <t>Transformational research</t>
        </is>
      </c>
      <c r="E10" s="13" t="inlineStr"/>
      <c r="F10" s="13" t="inlineStr"/>
      <c r="G10" s="13" t="inlineStr"/>
      <c r="H10" s="13">
        <f>LEN(G10)</f>
        <v/>
      </c>
      <c r="I10" s="13" t="inlineStr"/>
    </row>
    <row r="11">
      <c r="B11" s="15" t="inlineStr">
        <is>
          <t>PA03</t>
        </is>
      </c>
      <c r="C11" s="13" t="inlineStr">
        <is>
          <t>Sustainability leadership</t>
        </is>
      </c>
      <c r="D11" s="13" t="inlineStr">
        <is>
          <t>Climate leadership</t>
        </is>
      </c>
      <c r="E11" s="13" t="inlineStr"/>
      <c r="F11" s="13" t="inlineStr"/>
      <c r="G11" s="13" t="inlineStr"/>
      <c r="H11" s="13">
        <f>LEN(G11)</f>
        <v/>
      </c>
      <c r="I11" s="13" t="inlineStr"/>
    </row>
    <row r="12">
      <c r="B12" s="15" t="inlineStr">
        <is>
          <t>PA04</t>
        </is>
      </c>
      <c r="C12" s="13" t="inlineStr">
        <is>
          <t>Sustainability leadership</t>
        </is>
      </c>
      <c r="D12" s="13" t="inlineStr">
        <is>
          <t>Nature and biodiversity</t>
        </is>
      </c>
      <c r="E12" s="13" t="inlineStr"/>
      <c r="F12" s="13" t="inlineStr"/>
      <c r="G12" s="13" t="inlineStr"/>
      <c r="H12" s="13">
        <f>LEN(G12)</f>
        <v/>
      </c>
      <c r="I12" s="13" t="inlineStr"/>
    </row>
    <row r="13">
      <c r="B13" s="15" t="inlineStr">
        <is>
          <t>PA05</t>
        </is>
      </c>
      <c r="C13" s="13" t="inlineStr">
        <is>
          <t>Sustainability leadership</t>
        </is>
      </c>
      <c r="D13" s="13" t="inlineStr">
        <is>
          <t>Responsible AI</t>
        </is>
      </c>
      <c r="E13" s="13" t="inlineStr"/>
      <c r="F13" s="13" t="inlineStr"/>
      <c r="G13" s="13" t="inlineStr"/>
      <c r="H13" s="13">
        <f>LEN(G13)</f>
        <v/>
      </c>
      <c r="I13" s="13" t="inlineStr"/>
    </row>
    <row r="14">
      <c r="B14" s="15" t="inlineStr">
        <is>
          <t>PA06</t>
        </is>
      </c>
      <c r="C14" s="13" t="inlineStr">
        <is>
          <t>Resilient University</t>
        </is>
      </c>
      <c r="D14" s="13" t="inlineStr">
        <is>
          <t>Estate and infrastructure</t>
        </is>
      </c>
      <c r="E14" s="13" t="inlineStr"/>
      <c r="F14" s="13" t="inlineStr"/>
      <c r="G14" s="13" t="inlineStr"/>
      <c r="H14" s="13">
        <f>LEN(G14)</f>
        <v/>
      </c>
      <c r="I14" s="13" t="inlineStr"/>
    </row>
    <row r="15">
      <c r="B15" s="15" t="inlineStr">
        <is>
          <t>PA07</t>
        </is>
      </c>
      <c r="C15" s="13" t="inlineStr">
        <is>
          <t>Resilient University</t>
        </is>
      </c>
      <c r="D15" s="13" t="inlineStr">
        <is>
          <t>Circular economy</t>
        </is>
      </c>
      <c r="E15" s="13" t="inlineStr"/>
      <c r="F15" s="13" t="inlineStr"/>
      <c r="G15" s="13" t="inlineStr"/>
      <c r="H15" s="13">
        <f>LEN(G15)</f>
        <v/>
      </c>
      <c r="I15" s="13" t="inlineStr"/>
    </row>
    <row r="16">
      <c r="B16" s="15" t="inlineStr">
        <is>
          <t>PA08</t>
        </is>
      </c>
      <c r="C16" s="13" t="inlineStr">
        <is>
          <t>Resilient University</t>
        </is>
      </c>
      <c r="D16" s="13" t="inlineStr">
        <is>
          <t>Responsible procurement</t>
        </is>
      </c>
      <c r="E16" s="13" t="inlineStr"/>
      <c r="F16" s="13" t="inlineStr"/>
      <c r="G16" s="13" t="inlineStr"/>
      <c r="H16" s="13">
        <f>LEN(G16)</f>
        <v/>
      </c>
      <c r="I16" s="13" t="inlineStr"/>
    </row>
    <row r="17">
      <c r="B17" s="15" t="inlineStr">
        <is>
          <t>PA09</t>
        </is>
      </c>
      <c r="C17" s="13" t="inlineStr">
        <is>
          <t>Resilient University</t>
        </is>
      </c>
      <c r="D17" s="13" t="inlineStr">
        <is>
          <t>Modern slavery and human rights</t>
        </is>
      </c>
      <c r="E17" s="13" t="inlineStr"/>
      <c r="F17" s="13" t="inlineStr"/>
      <c r="G17" s="13" t="inlineStr"/>
      <c r="H17" s="13">
        <f>LEN(G17)</f>
        <v/>
      </c>
      <c r="I17" s="13" t="inlineStr"/>
    </row>
    <row r="18">
      <c r="B18" s="15" t="inlineStr">
        <is>
          <t>PA10</t>
        </is>
      </c>
      <c r="C18" s="13" t="inlineStr">
        <is>
          <t>Resilient University</t>
        </is>
      </c>
      <c r="D18" s="13" t="inlineStr">
        <is>
          <t>Responsible investments</t>
        </is>
      </c>
      <c r="E18" s="13" t="inlineStr"/>
      <c r="F18" s="13" t="inlineStr"/>
      <c r="G18" s="13" t="inlineStr"/>
      <c r="H18" s="13">
        <f>LEN(G18)</f>
        <v/>
      </c>
      <c r="I18" s="13" t="inlineStr"/>
    </row>
    <row r="19">
      <c r="B19" s="15" t="inlineStr">
        <is>
          <t>PA11</t>
        </is>
      </c>
      <c r="C19" s="13" t="inlineStr">
        <is>
          <t>Enablers</t>
        </is>
      </c>
      <c r="D19" s="13" t="inlineStr">
        <is>
          <t>Enablers</t>
        </is>
      </c>
      <c r="E19" s="13" t="inlineStr"/>
      <c r="F19" s="13" t="inlineStr"/>
      <c r="G19" s="13" t="inlineStr"/>
      <c r="H19" s="13">
        <f>LEN(G19)</f>
        <v/>
      </c>
      <c r="I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  <c r="K1" t="inlineStr">
        <is>
          <t>Report section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  <c r="K2" t="inlineStr">
        <is>
          <t>Report introduction</t>
        </is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  <c r="K3" t="inlineStr">
        <is>
          <t>Our impact</t>
        </is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  <c r="K4" t="inlineStr">
        <is>
          <t>Exceptional education</t>
        </is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  <c r="K5" t="inlineStr">
        <is>
          <t>Transformational research</t>
        </is>
      </c>
    </row>
    <row r="6">
      <c r="B6" t="inlineStr">
        <is>
          <t>Not yet started</t>
        </is>
      </c>
      <c r="D6" t="inlineStr">
        <is>
          <t>Received</t>
        </is>
      </c>
      <c r="K6" t="inlineStr">
        <is>
          <t>Climate leadership</t>
        </is>
      </c>
    </row>
    <row r="7">
      <c r="B7" t="inlineStr">
        <is>
          <t>Not applicable</t>
        </is>
      </c>
      <c r="D7" t="inlineStr">
        <is>
          <t>Under review</t>
        </is>
      </c>
      <c r="K7" t="inlineStr">
        <is>
          <t>Nature and biodiversity</t>
        </is>
      </c>
    </row>
    <row r="8">
      <c r="D8" t="inlineStr">
        <is>
          <t>Complete</t>
        </is>
      </c>
      <c r="K8" t="inlineStr">
        <is>
          <t>Responsible AI</t>
        </is>
      </c>
    </row>
    <row r="9">
      <c r="D9" t="inlineStr">
        <is>
          <t>Not required</t>
        </is>
      </c>
      <c r="K9" t="inlineStr">
        <is>
          <t>Estate and infrastructure</t>
        </is>
      </c>
    </row>
    <row r="10">
      <c r="K10" t="inlineStr">
        <is>
          <t>Circular economy</t>
        </is>
      </c>
    </row>
    <row r="11">
      <c r="K11" t="inlineStr">
        <is>
          <t>Responsible procurement</t>
        </is>
      </c>
    </row>
    <row r="12">
      <c r="K12" t="inlineStr">
        <is>
          <t>Modern slavery and human rights</t>
        </is>
      </c>
    </row>
    <row r="13">
      <c r="K13" t="inlineStr">
        <is>
          <t>Responsible investments</t>
        </is>
      </c>
    </row>
    <row r="14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2026-10-06T04:41:49Z</dcterms:created>
  <dcterms:modified xmlns:dcterms="http://purl.org/dc/terms/" xmlns:xsi="http://www.w3.org/2001/XMLSchema-instance" xsi:type="dcterms:W3CDTF">2026-10-06T04:41:49Z</dcterms:modified>
</cp:coreProperties>
</file>