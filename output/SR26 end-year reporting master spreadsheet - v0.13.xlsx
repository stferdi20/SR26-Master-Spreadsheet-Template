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Override PartName="/xl/externalLinks/externalLink1.xml" ContentType="application/vnd.openxmlformats-officedocument.spreadsheetml.externalLink+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4. Request tracker" sheetId="7" state="visible" r:id="rId7"/>
    <sheet xmlns:r="http://schemas.openxmlformats.org/officeDocument/2006/relationships" name="Faculties" sheetId="8" state="visible" r:id="rId8"/>
    <sheet xmlns:r="http://schemas.openxmlformats.org/officeDocument/2006/relationships" name="CI&amp;S" sheetId="9" state="visible" r:id="rId9"/>
    <sheet xmlns:r="http://schemas.openxmlformats.org/officeDocument/2006/relationships" name="CFOG" sheetId="10" state="visible" r:id="rId10"/>
    <sheet xmlns:r="http://schemas.openxmlformats.org/officeDocument/2006/relationships" name="ESG" sheetId="11" state="visible" r:id="rId11"/>
    <sheet xmlns:r="http://schemas.openxmlformats.org/officeDocument/2006/relationships" name="CIOG" sheetId="12" state="visible" r:id="rId12"/>
    <sheet xmlns:r="http://schemas.openxmlformats.org/officeDocument/2006/relationships" name="MRE" sheetId="13" state="visible" r:id="rId13"/>
    <sheet xmlns:r="http://schemas.openxmlformats.org/officeDocument/2006/relationships" name="AC&amp;M" sheetId="14" state="visible" r:id="rId14"/>
    <sheet xmlns:r="http://schemas.openxmlformats.org/officeDocument/2006/relationships" name="GCE" sheetId="15" state="visible" r:id="rId15"/>
    <sheet xmlns:r="http://schemas.openxmlformats.org/officeDocument/2006/relationships" name="Education" sheetId="16" state="visible" r:id="rId16"/>
    <sheet xmlns:r="http://schemas.openxmlformats.org/officeDocument/2006/relationships" name="SaSS" sheetId="17" state="visible" r:id="rId17"/>
    <sheet xmlns:r="http://schemas.openxmlformats.org/officeDocument/2006/relationships" name="Indigenous" sheetId="18" state="visible" r:id="rId18"/>
    <sheet xmlns:r="http://schemas.openxmlformats.org/officeDocument/2006/relationships" name="L&amp;R" sheetId="19" state="visible" r:id="rId19"/>
    <sheet xmlns:r="http://schemas.openxmlformats.org/officeDocument/2006/relationships" name="A1. Data scoring" sheetId="20" state="visible" r:id="rId20"/>
    <sheet xmlns:r="http://schemas.openxmlformats.org/officeDocument/2006/relationships" name="T1. Manual target review" sheetId="21" state="visible" r:id="rId21"/>
    <sheet xmlns:r="http://schemas.openxmlformats.org/officeDocument/2006/relationships" name="T2. Single target review" sheetId="22" state="visible" r:id="rId22"/>
    <sheet xmlns:r="http://schemas.openxmlformats.org/officeDocument/2006/relationships" name="Request wording log" sheetId="23" state="visible" r:id="rId23"/>
    <sheet xmlns:r="http://schemas.openxmlformats.org/officeDocument/2006/relationships" name="Highlighted stories" sheetId="24" state="visible" r:id="rId24"/>
    <sheet xmlns:r="http://schemas.openxmlformats.org/officeDocument/2006/relationships" name="Evidence register" sheetId="25" state="visible" r:id="rId25"/>
    <sheet xmlns:r="http://schemas.openxmlformats.org/officeDocument/2006/relationships" name="Issues log" sheetId="26" state="visible" r:id="rId26"/>
    <sheet xmlns:r="http://schemas.openxmlformats.org/officeDocument/2006/relationships" name="Lists" sheetId="27" state="hidden" r:id="rId27"/>
  </sheets>
  <externalReferences>
    <externalReference r:id="rIdExt1"/>
  </externalReference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matrix'!$A$6:$Y$87</definedName>
    <definedName name="_xlnm._FilterDatabase" localSheetId="19" hidden="1">'A1. Data scoring'!$B$10:$AK$238</definedName>
    <definedName name="_xlnm._FilterDatabase" localSheetId="20" hidden="1">'T1. Manual target review'!$B$7:$R$312</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8">
    <font>
      <name val="Calibri"/>
      <family val="2"/>
      <color theme="1"/>
      <sz val="11"/>
      <scheme val="minor"/>
    </font>
    <font>
      <name val="Aptos"/>
      <color rgb="00002060"/>
    </font>
    <font>
      <name val="Arial"/>
      <sz val="11"/>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7">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FFC000"/>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6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vertical="top" wrapText="1"/>
    </xf>
    <xf numFmtId="0" fontId="8" fillId="0" borderId="1" applyAlignment="1" pivotButton="0" quotePrefix="0" xfId="0">
      <alignment vertical="top" wrapText="1"/>
    </xf>
    <xf numFmtId="0" fontId="0" fillId="0" borderId="0"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7" fillId="0" borderId="1" applyAlignment="1" pivotButton="0" quotePrefix="0" xfId="0">
      <alignment vertical="top" wrapText="1"/>
    </xf>
    <xf numFmtId="164" fontId="8" fillId="0" borderId="1" applyAlignment="1" pivotButton="0" quotePrefix="0" xfId="0">
      <alignment vertical="top" wrapText="1"/>
    </xf>
    <xf numFmtId="164" fontId="8" fillId="5" borderId="1" applyAlignment="1" pivotButton="0" quotePrefix="0" xfId="0">
      <alignment vertical="top" wrapText="1"/>
    </xf>
    <xf numFmtId="0" fontId="7" fillId="7" borderId="1" applyAlignment="1" pivotButton="0" quotePrefix="0" xfId="0">
      <alignment vertical="top" wrapText="1"/>
    </xf>
    <xf numFmtId="164" fontId="7" fillId="7"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9" fillId="0" borderId="0" pivotButton="0" quotePrefix="0" xfId="0"/>
    <xf numFmtId="0" fontId="10" fillId="0" borderId="0" pivotButton="0" quotePrefix="0" xfId="0"/>
    <xf numFmtId="0" fontId="11" fillId="0"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3" fillId="10" borderId="0" pivotButton="0" quotePrefix="0" xfId="0"/>
    <xf numFmtId="0" fontId="13" fillId="7" borderId="0" pivotButton="0" quotePrefix="0" xfId="0"/>
    <xf numFmtId="0" fontId="14" fillId="0" borderId="0" applyAlignment="1" pivotButton="0" quotePrefix="0" xfId="0">
      <alignment vertical="top" wrapText="1"/>
    </xf>
    <xf numFmtId="0" fontId="15" fillId="0" borderId="1" applyAlignment="1" pivotButton="0" quotePrefix="0" xfId="0">
      <alignment vertical="top" wrapText="1"/>
    </xf>
    <xf numFmtId="0" fontId="15" fillId="0" borderId="1" applyAlignment="1" pivotButton="0" quotePrefix="0" xfId="0">
      <alignment horizontal="center" vertical="center" wrapText="1"/>
    </xf>
    <xf numFmtId="0" fontId="16" fillId="0" borderId="0" pivotButton="0" quotePrefix="0" xfId="0"/>
    <xf numFmtId="0" fontId="13" fillId="0" borderId="0" pivotButton="0" quotePrefix="0" xfId="0"/>
    <xf numFmtId="0" fontId="17"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9" fontId="0" fillId="0" borderId="0" pivotButton="0" quotePrefix="0" xfId="0"/>
    <xf numFmtId="166" fontId="8" fillId="0" borderId="1" applyAlignment="1" pivotButton="0" quotePrefix="0" xfId="0">
      <alignment vertical="top" wrapText="1"/>
    </xf>
    <xf numFmtId="0" fontId="18" fillId="7" borderId="0" pivotButton="0" quotePrefix="0" xfId="0"/>
    <xf numFmtId="0" fontId="19" fillId="2" borderId="0" applyAlignment="1" pivotButton="0" quotePrefix="0" xfId="0">
      <alignment horizontal="center" vertical="center" wrapText="1"/>
    </xf>
    <xf numFmtId="0" fontId="20" fillId="16" borderId="0" applyAlignment="1" pivotButton="0" quotePrefix="0" xfId="0">
      <alignment horizontal="center" vertical="center" wrapText="1"/>
    </xf>
    <xf numFmtId="0" fontId="22" fillId="16" borderId="1" applyAlignment="1" pivotButton="0" quotePrefix="0" xfId="0">
      <alignment horizontal="center" vertical="center" wrapText="1"/>
    </xf>
    <xf numFmtId="0" fontId="21" fillId="7" borderId="1" applyAlignment="1" pivotButton="0" quotePrefix="0" xfId="0">
      <alignment horizontal="center" vertical="center" wrapText="1"/>
    </xf>
    <xf numFmtId="0" fontId="8" fillId="3" borderId="1" applyAlignment="1" pivotButton="0" quotePrefix="0" xfId="0">
      <alignment vertical="top" wrapText="1"/>
    </xf>
    <xf numFmtId="0" fontId="23" fillId="0" borderId="0" pivotButton="0" quotePrefix="0" xfId="0"/>
    <xf numFmtId="0" fontId="8" fillId="7" borderId="1" applyAlignment="1" pivotButton="0" quotePrefix="0" xfId="0">
      <alignment vertical="top"/>
    </xf>
    <xf numFmtId="2" fontId="8" fillId="4" borderId="1" applyAlignment="1" pivotButton="0" quotePrefix="0" xfId="0">
      <alignment vertical="top" wrapText="1"/>
    </xf>
    <xf numFmtId="9" fontId="8" fillId="4" borderId="1" applyAlignment="1" pivotButton="0" quotePrefix="0" xfId="0">
      <alignment vertical="top" wrapText="1"/>
    </xf>
    <xf numFmtId="0" fontId="7" fillId="10" borderId="1" applyAlignment="1" pivotButton="0" quotePrefix="0" xfId="0">
      <alignment vertical="top" wrapText="1"/>
    </xf>
    <xf numFmtId="0" fontId="7" fillId="4" borderId="1" applyAlignment="1" pivotButton="0" quotePrefix="0" xfId="0">
      <alignment vertical="top" wrapText="1"/>
    </xf>
    <xf numFmtId="0" fontId="24" fillId="0" borderId="1" applyAlignment="1" pivotButton="0" quotePrefix="0" xfId="0">
      <alignment vertical="top" wrapText="1"/>
    </xf>
    <xf numFmtId="0" fontId="8" fillId="7" borderId="1" applyAlignment="1" pivotButton="0" quotePrefix="0" xfId="0">
      <alignment vertical="top" wrapText="1"/>
    </xf>
    <xf numFmtId="0" fontId="0" fillId="0" borderId="3" pivotButton="0" quotePrefix="0" xfId="0"/>
    <xf numFmtId="0" fontId="0" fillId="0" borderId="4" pivotButton="0" quotePrefix="0" xfId="0"/>
    <xf numFmtId="0" fontId="25" fillId="16" borderId="5" pivotButton="0" quotePrefix="0" xfId="0"/>
    <xf numFmtId="0" fontId="26" fillId="0" borderId="0" pivotButton="0" quotePrefix="0" xfId="0"/>
    <xf numFmtId="0" fontId="4" fillId="2" borderId="1" pivotButton="0" quotePrefix="0" xfId="0"/>
    <xf numFmtId="0" fontId="0" fillId="0" borderId="1" applyAlignment="1" pivotButton="0" quotePrefix="0" xfId="0">
      <alignment vertical="top" wrapText="1"/>
    </xf>
    <xf numFmtId="0" fontId="13" fillId="0" borderId="0" applyAlignment="1" pivotButton="0" quotePrefix="0" xfId="0">
      <alignment vertical="top" wrapText="1"/>
    </xf>
    <xf numFmtId="0" fontId="27" fillId="0" borderId="0" pivotButton="0" quotePrefix="0" xfId="0"/>
    <xf numFmtId="9" fontId="27" fillId="0" borderId="0" pivotButton="0" quotePrefix="0" xfId="0"/>
    <xf numFmtId="0" fontId="8"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Ext1"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P%20-%20SR26%20sustainability%20reporting%20reque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c r="A1" s="1" t="inlineStr">
        <is>
          <t>↑</t>
        </is>
      </c>
      <c r="B1" s="2" t="inlineStr">
        <is>
          <t>SR26 data collection master spreadsheet</t>
        </is>
      </c>
    </row>
    <row r="2">
      <c r="B2" s="3" t="inlineStr">
        <is>
          <t>2026 Sustainability Report – data collection master</t>
        </is>
      </c>
    </row>
    <row r="4" ht="45" customHeight="1">
      <c r="B4" s="4" t="inlineStr">
        <is>
          <t>Purpose</t>
        </is>
      </c>
      <c r="C4" s="5" t="inlineStr">
        <is>
          <t>Central record of SR26 data requirements, owners, reporting requests, responses and evidence. Adapted from the 2025 end-year reporting master spreadsheet (V0.2) and the Sustainability 2030 updated targets (Qual and Quan worksheets).</t>
        </is>
      </c>
    </row>
    <row r="5" ht="30" customHeight="1">
      <c r="B5" s="4" t="inlineStr">
        <is>
          <t>Status</t>
        </is>
      </c>
      <c r="C5" s="5" t="inlineStr">
        <is>
          <t>DRAFT v0.13 – pilot with 4 faculties (ABP, ARTS, FBE, SCI) and 11 central units (CI&amp;S, CFOG, ESG, CIOG, MRE, AC&amp;M, GCE, Education, SaSS, Indigenous, L&amp;R).</t>
        </is>
      </c>
    </row>
    <row r="6" ht="60" customHeight="1">
      <c r="B6" s="4" t="inlineStr">
        <is>
          <t>Reporting approach</t>
        </is>
      </c>
      <c r="C6" s="5" t="inlineStr">
        <is>
          <t>Transition year: cover all of CY2026, distinguishing former Sustainability Plan 2030 activity from foundations and early actions after the Sustainability 2030 launch (~20 Oct 2026). Databook is the authoritative quantitative source. Target status (Met/Partially met/Not met) retained for now for internal management reporting – rating framework under review.</t>
        </is>
      </c>
    </row>
    <row r="7" ht="60" customHeight="1">
      <c r="B7" s="4" t="inlineStr">
        <is>
          <t>Key dates (TBC)</t>
        </is>
      </c>
      <c r="C7" s="5" t="inlineStr">
        <is>
          <t>Early engagement (existing meetings): w/c 26 Oct 2026 | Requests issued: W1 Nov (from 2 Nov) | Collection period incl. optional 1:1 meetings: 2 Nov – 15 Dec (6 weeks) | Responses and highlighted stories due: Tuesday 15 December 2026 | First review: W3 Dec | Targeted follow-up: W3–W4 Dec | Consolidated master: W4 Dec | Sustainability Reporting Review Group: ~15 Feb 2027 | VCAG: 16 Feb &amp; ~2 Mar 2027</t>
        </is>
      </c>
    </row>
    <row r="8" ht="405" customHeight="1">
      <c r="B8" s="4" t="inlineStr">
        <is>
          <t>Tabs</t>
        </is>
      </c>
      <c r="C8" s="5"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4. Request tracker – sent/chased/received/confirmed status and response rate
Faculties / CI&amp;S / CFOG / ESG / CIOG / MRE / L&amp;R – consolidated responses (copy in from returned request workbooks; same layout)
Highlighted stories – consolidated optional stories and case-study shortlist
A1. Data scoring – auto-pulls every unit's responses per indicator and scores target status (SR25 method)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0" customHeight="1">
      <c r="B9" s="4" t="inlineStr">
        <is>
          <t>Refs</t>
        </is>
      </c>
      <c r="C9" s="5" t="inlineStr">
        <is>
          <t>Refs are new SR26 codes: priority-area code + target number + indicator letter (e.g. EE1(a) = Exceptional education, target 1, indicator a). 'Related SR25 ref' links to the closest SP2030 (2025) target where one exists.</t>
        </is>
      </c>
    </row>
    <row r="10" ht="30" customHeight="1">
      <c r="B10" s="4" t="inlineStr">
        <is>
          <t>Regenerating</t>
        </is>
      </c>
      <c r="C10" s="5" t="inlineStr">
        <is>
          <t>Workbooks are generated by build.py in the repository. Edit the settings at the top (due dates, pilot faculties, unit mapping) and re-run to produce request workbooks for additional faculties/units.</t>
        </is>
      </c>
    </row>
    <row r="11" ht="525" customHeight="1">
      <c r="B11" s="4" t="inlineStr">
        <is>
          <t>Version history</t>
        </is>
      </c>
      <c r="C11" s="5"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
v0.10: RASCI: the four pilot faculties merged into one 'Faculties' column (identical requests; SR25 contacts kept in the contact row).
v0.11: Removed '3c. RASCI triangulation' (agreed and applied) and '0.5 Target Check' (T2 now reads 'Requested?' from A1).
v0.12: Teams linking (pilot: ABP): request files get stable names and protected layouts; master Faculties ABP rows and ABP story slots linked to the ABP file in the same folder; tracker counts answered and owner-confirmed rows automatically.
v0.13: Formatting fixes in request files: no frozen panes (titles were clipped), 'SR25 response' header no longer merged across hidden columns, wider column H.</t>
        </is>
      </c>
    </row>
    <row r="12" ht="30" customHeight="1">
      <c r="B12" s="4" t="inlineStr">
        <is>
          <t>Request wording</t>
        </is>
      </c>
      <c r="C12" s="5" t="inlineStr">
        <is>
          <t>Faculty requests are rewritten in the SR25 style and point to each faculty's end-2025 response (see Request wording log). Central-unit requests use the S2030 'Qual' worksheet wording as-is.</t>
        </is>
      </c>
    </row>
    <row r="13" ht="30" customHeight="1">
      <c r="B13" s="4" t="inlineStr">
        <is>
          <t>Formulas</t>
        </is>
      </c>
      <c r="C13" s="5"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c r="A1" s="1" t="inlineStr">
        <is>
          <t>↑</t>
        </is>
      </c>
      <c r="B1" s="2" t="inlineStr">
        <is>
          <t>End-2026 target status assessment and reporting</t>
        </is>
      </c>
    </row>
    <row r="2">
      <c r="B2" s="3" t="inlineStr">
        <is>
          <t>1. Requirements matrix (qualitative)</t>
        </is>
      </c>
    </row>
    <row r="5">
      <c r="B5" s="6" t="inlineStr">
        <is>
          <t>Ref</t>
        </is>
      </c>
      <c r="C5" s="6" t="inlineStr">
        <is>
          <t>Domain</t>
        </is>
      </c>
      <c r="D5" s="6" t="inlineStr">
        <is>
          <t>Priority area</t>
        </is>
      </c>
      <c r="E5" s="6" t="inlineStr">
        <is>
          <t>Target</t>
        </is>
      </c>
      <c r="F5" s="6" t="inlineStr">
        <is>
          <t>Indicator</t>
        </is>
      </c>
      <c r="G5" s="6" t="inlineStr">
        <is>
          <t>Reporting requirement (S2030 Qual sheet)</t>
        </is>
      </c>
      <c r="H5" s="6" t="inlineStr">
        <is>
          <t>Key stakeholders (S2030 sheet)</t>
        </is>
      </c>
      <c r="I5" s="6" t="inlineStr">
        <is>
          <t>SR26 request issued to</t>
        </is>
      </c>
      <c r="J5" s="6" t="inlineStr">
        <is>
          <t>Specific projects we are aware of (area &amp; person)</t>
        </is>
      </c>
      <c r="K5" s="6" t="inlineStr">
        <is>
          <t>Internal vs External</t>
        </is>
      </c>
      <c r="L5" s="6" t="inlineStr">
        <is>
          <t>Flag for continuous improvement</t>
        </is>
      </c>
      <c r="M5" s="6" t="inlineStr">
        <is>
          <t>Notes</t>
        </is>
      </c>
      <c r="N5" s="6" t="inlineStr">
        <is>
          <t>Related SR25 ref</t>
        </is>
      </c>
      <c r="O5" s="6" t="inlineStr">
        <is>
          <t>Channel</t>
        </is>
      </c>
      <c r="P5" s="6" t="inlineStr">
        <is>
          <t>Quantitative component</t>
        </is>
      </c>
      <c r="Q5" s="6" t="inlineStr">
        <is>
          <t>Owner confirmed?</t>
        </is>
      </c>
    </row>
    <row r="6" ht="90" customHeight="1">
      <c r="B6" s="7" t="inlineStr">
        <is>
          <t>EE1(a)</t>
        </is>
      </c>
      <c r="C6" s="8" t="inlineStr">
        <is>
          <t>Education and research</t>
        </is>
      </c>
      <c r="D6" s="8" t="inlineStr">
        <is>
          <t>Exceptional education</t>
        </is>
      </c>
      <c r="E6" s="8" t="inlineStr">
        <is>
          <t>Provide our students with learning experiences that help them build the knowledge, skills and relationships to lead change for sustainable societies.</t>
        </is>
      </c>
      <c r="F6" s="8" t="inlineStr">
        <is>
          <t>Evidence of innovative approaches to sustainability teaching and learning</t>
        </is>
      </c>
      <c r="G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8" t="inlineStr">
        <is>
          <t>Faculties, CI&amp;S</t>
        </is>
      </c>
      <c r="I6" s="8" t="inlineStr">
        <is>
          <t>Faculties (pilot), CI&amp;S, Education</t>
        </is>
      </c>
      <c r="J6" s="8" t="inlineStr"/>
      <c r="K6" s="8" t="inlineStr">
        <is>
          <t>Both</t>
        </is>
      </c>
      <c r="L6" s="8" t="inlineStr">
        <is>
          <t>No</t>
        </is>
      </c>
      <c r="M6" s="8" t="inlineStr"/>
      <c r="N6" s="8" t="inlineStr">
        <is>
          <t>4a(ii)</t>
        </is>
      </c>
      <c r="O6" s="8" t="inlineStr">
        <is>
          <t>Tailored request</t>
        </is>
      </c>
      <c r="P6" s="8" t="inlineStr"/>
      <c r="Q6" s="8" t="inlineStr"/>
    </row>
    <row r="7" ht="90" customHeight="1">
      <c r="B7" s="7" t="inlineStr">
        <is>
          <t>EE1(b)</t>
        </is>
      </c>
      <c r="C7" s="8" t="inlineStr">
        <is>
          <t>Education and research</t>
        </is>
      </c>
      <c r="D7" s="8" t="inlineStr">
        <is>
          <t>Exceptional education</t>
        </is>
      </c>
      <c r="E7" s="8" t="inlineStr">
        <is>
          <t>Provide our students with learning experiences that help them build the knowledge, skills and relationships to lead change for sustainable societies.</t>
        </is>
      </c>
      <c r="F7" s="8" t="inlineStr">
        <is>
          <t>Pilots of possible approaches for understanding and developing students’ sustainability self-efficacy</t>
        </is>
      </c>
      <c r="G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8" t="inlineStr">
        <is>
          <t>Faculties, CI&amp;S</t>
        </is>
      </c>
      <c r="I7" s="8" t="inlineStr">
        <is>
          <t>Faculties (pilot), CI&amp;S, Education</t>
        </is>
      </c>
      <c r="J7" s="8" t="inlineStr">
        <is>
          <t>* Living Lab project (case study): Personalising Sustainability Pathways for students - Sustainability Strengths Compass. Project lead: Dianne Vella Brodrick. Funded partly by the Campus Living Lab Accelerator Program (CLLAP) (SST)</t>
        </is>
      </c>
      <c r="K7" s="8" t="inlineStr">
        <is>
          <t>Both</t>
        </is>
      </c>
      <c r="L7" s="8" t="inlineStr">
        <is>
          <t>No</t>
        </is>
      </c>
      <c r="M7" s="8" t="inlineStr"/>
      <c r="N7" s="8" t="inlineStr"/>
      <c r="O7" s="8" t="inlineStr">
        <is>
          <t>Tailored request</t>
        </is>
      </c>
      <c r="P7" s="8" t="inlineStr"/>
      <c r="Q7" s="8" t="inlineStr"/>
    </row>
    <row r="8" ht="90" customHeight="1">
      <c r="B8" s="7" t="inlineStr">
        <is>
          <t>EE1(c)</t>
        </is>
      </c>
      <c r="C8" s="8" t="inlineStr">
        <is>
          <t>Education and research</t>
        </is>
      </c>
      <c r="D8" s="8" t="inlineStr">
        <is>
          <t>Exceptional education</t>
        </is>
      </c>
      <c r="E8" s="8" t="inlineStr">
        <is>
          <t>Provide our students with learning experiences that help them build the knowledge, skills and relationships to lead change for sustainable societies.</t>
        </is>
      </c>
      <c r="F8" s="8" t="inlineStr">
        <is>
          <t>Evidence of sustainability focused experiential and co curricular learning (eg Wattle Fellowship; Melbourne Plus)</t>
        </is>
      </c>
      <c r="G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8" t="inlineStr">
        <is>
          <t>Faculties, CI&amp;S</t>
        </is>
      </c>
      <c r="I8" s="8" t="inlineStr">
        <is>
          <t>CI&amp;S, SaSS</t>
        </is>
      </c>
      <c r="J8" s="8"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8" t="inlineStr">
        <is>
          <t>Both</t>
        </is>
      </c>
      <c r="L8" s="8" t="inlineStr">
        <is>
          <t>No</t>
        </is>
      </c>
      <c r="M8" s="8" t="inlineStr"/>
      <c r="N8" s="8" t="inlineStr"/>
      <c r="O8" s="8" t="inlineStr">
        <is>
          <t>Tailored request</t>
        </is>
      </c>
      <c r="P8" s="8" t="inlineStr">
        <is>
          <t>Yes – Yes – data held (2023–2025); see 2. Quant coverage</t>
        </is>
      </c>
      <c r="Q8" s="8" t="inlineStr"/>
    </row>
    <row r="9" ht="90" customHeight="1">
      <c r="B9" s="7" t="inlineStr">
        <is>
          <t>EE1(d)</t>
        </is>
      </c>
      <c r="C9" s="8" t="inlineStr">
        <is>
          <t>Education and research</t>
        </is>
      </c>
      <c r="D9" s="8" t="inlineStr">
        <is>
          <t>Exceptional education</t>
        </is>
      </c>
      <c r="E9" s="8" t="inlineStr">
        <is>
          <t>Provide our students with learning experiences that help them build the knowledge, skills and relationships to lead change for sustainable societies.</t>
        </is>
      </c>
      <c r="F9" s="8" t="inlineStr">
        <is>
          <t>Alumni profiles demonstrating how graduates contribute to sustainability through their careers or communities.</t>
        </is>
      </c>
      <c r="G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8" t="inlineStr">
        <is>
          <t>Faculties, CI&amp;S</t>
        </is>
      </c>
      <c r="I9" s="8" t="inlineStr">
        <is>
          <t>SaSS</t>
        </is>
      </c>
      <c r="J9" s="8" t="inlineStr"/>
      <c r="K9" s="8" t="inlineStr">
        <is>
          <t>Both</t>
        </is>
      </c>
      <c r="L9" s="8" t="inlineStr">
        <is>
          <t>No</t>
        </is>
      </c>
      <c r="M9" s="8" t="inlineStr"/>
      <c r="N9" s="8" t="inlineStr">
        <is>
          <t>4b(i)</t>
        </is>
      </c>
      <c r="O9" s="8" t="inlineStr">
        <is>
          <t>Tailored request</t>
        </is>
      </c>
      <c r="P9" s="8" t="inlineStr">
        <is>
          <t>Yes – Yes – metrics defined, no data yet; see 2. Quant coverage</t>
        </is>
      </c>
      <c r="Q9" s="8" t="inlineStr"/>
    </row>
    <row r="10" ht="90" customHeight="1">
      <c r="B10" s="7" t="inlineStr">
        <is>
          <t>TR1(a)</t>
        </is>
      </c>
      <c r="C10" s="8" t="inlineStr">
        <is>
          <t>Education and research</t>
        </is>
      </c>
      <c r="D10" s="8" t="inlineStr">
        <is>
          <t>Transformational research</t>
        </is>
      </c>
      <c r="E10" s="8" t="inlineStr">
        <is>
          <t>Utilise the expertise of the University’s researchers through mutually beneficial partnerships to help address the University’s operational sustainability challenges.</t>
        </is>
      </c>
      <c r="F10" s="8" t="inlineStr">
        <is>
          <t>Expert-reviewed evidence of researchers contributing to operational sustainability priorities through partnerships, advisory input, living labs, applied projects or decision-support</t>
        </is>
      </c>
      <c r="G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8" t="inlineStr">
        <is>
          <t>Faculties, CI&amp;S</t>
        </is>
      </c>
      <c r="I10" s="8" t="inlineStr">
        <is>
          <t>Faculties (pilot), CI&amp;S</t>
        </is>
      </c>
      <c r="J10" s="8" t="inlineStr">
        <is>
          <t>MRE
Campus Living Lab Accelerator Program (CLLAP) case studies (CI&amp;S).
Also Enterprise Services Group - Campus Operations and Delivery (COD) might have collaborations we're not aware of (e.g. Rachael Miller)</t>
        </is>
      </c>
      <c r="K10" s="8" t="inlineStr">
        <is>
          <t>Both</t>
        </is>
      </c>
      <c r="L10" s="8" t="inlineStr">
        <is>
          <t>No</t>
        </is>
      </c>
      <c r="M10" s="8" t="inlineStr"/>
      <c r="N10" s="8" t="inlineStr">
        <is>
          <t>2a</t>
        </is>
      </c>
      <c r="O10" s="8" t="inlineStr">
        <is>
          <t>Tailored request</t>
        </is>
      </c>
      <c r="P10" s="8" t="inlineStr"/>
      <c r="Q10" s="8" t="inlineStr"/>
    </row>
    <row r="11" ht="90" customHeight="1">
      <c r="B11" s="7" t="inlineStr">
        <is>
          <t>TR1(b)</t>
        </is>
      </c>
      <c r="C11" s="8" t="inlineStr">
        <is>
          <t>Education and research</t>
        </is>
      </c>
      <c r="D11" s="8" t="inlineStr">
        <is>
          <t>Transformational research</t>
        </is>
      </c>
      <c r="E11" s="8" t="inlineStr">
        <is>
          <t>Utilise the expertise of the University’s researchers through mutually beneficial partnerships to help address the University’s operational sustainability challenges.</t>
        </is>
      </c>
      <c r="F11" s="8" t="inlineStr">
        <is>
          <t>Evidence of institutional pathways that enable ongoing collaboration between academic and professional staff</t>
        </is>
      </c>
      <c r="G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8" t="inlineStr">
        <is>
          <t>Faculties</t>
        </is>
      </c>
      <c r="I11" s="8" t="inlineStr">
        <is>
          <t>MRE</t>
        </is>
      </c>
      <c r="J11" s="8" t="inlineStr">
        <is>
          <t>MRE</t>
        </is>
      </c>
      <c r="K11" s="8" t="inlineStr">
        <is>
          <t>Both</t>
        </is>
      </c>
      <c r="L11" s="8" t="inlineStr">
        <is>
          <t>No</t>
        </is>
      </c>
      <c r="M11" s="8" t="inlineStr"/>
      <c r="N11" s="8" t="inlineStr"/>
      <c r="O11" s="8" t="inlineStr">
        <is>
          <t>Tailored request</t>
        </is>
      </c>
      <c r="P11" s="8" t="inlineStr"/>
      <c r="Q11" s="8" t="inlineStr"/>
    </row>
    <row r="12" ht="90" customHeight="1">
      <c r="B12" s="7" t="inlineStr">
        <is>
          <t>TR1(c)</t>
        </is>
      </c>
      <c r="C12" s="8" t="inlineStr">
        <is>
          <t>Education and research</t>
        </is>
      </c>
      <c r="D12" s="8" t="inlineStr">
        <is>
          <t>Transformational research</t>
        </is>
      </c>
      <c r="E12" s="8" t="inlineStr">
        <is>
          <t>Utilise the expertise of the University’s researchers through mutually beneficial partnerships to help address the University’s operational sustainability challenges.</t>
        </is>
      </c>
      <c r="F12" s="8" t="inlineStr">
        <is>
          <t>Expert assessment of the quality, relevance and continuity of these collaborations</t>
        </is>
      </c>
      <c r="G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8" t="inlineStr">
        <is>
          <t>Faculties</t>
        </is>
      </c>
      <c r="I12" s="8" t="inlineStr">
        <is>
          <t>MRE</t>
        </is>
      </c>
      <c r="J12" s="8" t="inlineStr">
        <is>
          <t>MRE</t>
        </is>
      </c>
      <c r="K12" s="8" t="inlineStr">
        <is>
          <t>Both</t>
        </is>
      </c>
      <c r="L12" s="8" t="inlineStr">
        <is>
          <t>No</t>
        </is>
      </c>
      <c r="M12" s="8" t="inlineStr"/>
      <c r="N12" s="8" t="inlineStr"/>
      <c r="O12" s="8" t="inlineStr">
        <is>
          <t>Tailored request</t>
        </is>
      </c>
      <c r="P12" s="8" t="inlineStr"/>
      <c r="Q12" s="8" t="inlineStr"/>
    </row>
    <row r="13" ht="90" customHeight="1">
      <c r="B13" s="7" t="inlineStr">
        <is>
          <t>TR1(d)</t>
        </is>
      </c>
      <c r="C13" s="8" t="inlineStr">
        <is>
          <t>Education and research</t>
        </is>
      </c>
      <c r="D13" s="8" t="inlineStr">
        <is>
          <t>Transformational research</t>
        </is>
      </c>
      <c r="E13" s="8" t="inlineStr">
        <is>
          <t>Utilise the expertise of the University’s researchers through mutually beneficial partnerships to help address the University’s operational sustainability challenges.</t>
        </is>
      </c>
      <c r="F13" s="8" t="inlineStr">
        <is>
          <t>Periodic feedback from participants on the effectiveness and mutual benefit of collaboration mechanisms.</t>
        </is>
      </c>
      <c r="G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8" t="inlineStr">
        <is>
          <t>Faculties</t>
        </is>
      </c>
      <c r="I13" s="8" t="inlineStr">
        <is>
          <t>MRE</t>
        </is>
      </c>
      <c r="J13" s="8" t="inlineStr">
        <is>
          <t>MRE</t>
        </is>
      </c>
      <c r="K13" s="8" t="inlineStr">
        <is>
          <t>Both</t>
        </is>
      </c>
      <c r="L13" s="8" t="inlineStr">
        <is>
          <t>No</t>
        </is>
      </c>
      <c r="M13" s="8" t="inlineStr"/>
      <c r="N13" s="8" t="inlineStr"/>
      <c r="O13" s="8" t="inlineStr">
        <is>
          <t>Tailored request</t>
        </is>
      </c>
      <c r="P13" s="8" t="inlineStr"/>
      <c r="Q13" s="8" t="inlineStr"/>
    </row>
    <row r="14" ht="90" customHeight="1">
      <c r="B14" s="7" t="inlineStr">
        <is>
          <t>TR2(a)</t>
        </is>
      </c>
      <c r="C14" s="8" t="inlineStr">
        <is>
          <t>Education and research</t>
        </is>
      </c>
      <c r="D14" s="8" t="inlineStr">
        <is>
          <t>Transformational research</t>
        </is>
      </c>
      <c r="E14" s="8" t="inlineStr">
        <is>
          <t>Deliver high-quality research and partnerships that contribute to sustainability outcomes and demonstrable societal benefit.</t>
        </is>
      </c>
      <c r="F14" s="8" t="inlineStr">
        <is>
          <t>Evidence of sustainability-related research impact across diverse pathways, could include policy, industry, community, practice, cultural and institutional outcomes</t>
        </is>
      </c>
      <c r="G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8" t="inlineStr">
        <is>
          <t>Faculties</t>
        </is>
      </c>
      <c r="I14" s="8" t="inlineStr">
        <is>
          <t>Faculties (pilot), AC&amp;M</t>
        </is>
      </c>
      <c r="J14" s="8"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8" t="inlineStr">
        <is>
          <t>Both</t>
        </is>
      </c>
      <c r="L14" s="8" t="inlineStr">
        <is>
          <t>No</t>
        </is>
      </c>
      <c r="M14" s="8" t="inlineStr"/>
      <c r="N14" s="8" t="inlineStr">
        <is>
          <t>5b(i)</t>
        </is>
      </c>
      <c r="O14" s="8" t="inlineStr">
        <is>
          <t>Tailored request</t>
        </is>
      </c>
      <c r="P14" s="8" t="inlineStr"/>
      <c r="Q14" s="8" t="inlineStr"/>
    </row>
    <row r="15" ht="90" customHeight="1">
      <c r="B15" s="7" t="inlineStr">
        <is>
          <t>TR2(c)</t>
        </is>
      </c>
      <c r="C15" s="8" t="inlineStr">
        <is>
          <t>Education and research</t>
        </is>
      </c>
      <c r="D15" s="8" t="inlineStr">
        <is>
          <t>Transformational research</t>
        </is>
      </c>
      <c r="E15" s="8" t="inlineStr">
        <is>
          <t>Deliver high-quality research and partnerships that contribute to sustainability outcomes and demonstrable societal benefit.</t>
        </is>
      </c>
      <c r="F15" s="8" t="inlineStr">
        <is>
          <t>Expert-reviewed summary of sustainability-related research outputs, outcomes and influence using available institutional evidence sources</t>
        </is>
      </c>
      <c r="G15" s="8" t="inlineStr">
        <is>
          <t>currently mapped to the SDGs using SciVal</t>
        </is>
      </c>
      <c r="H15" s="8" t="inlineStr">
        <is>
          <t>MRE</t>
        </is>
      </c>
      <c r="I15" s="8" t="inlineStr">
        <is>
          <t>MRE</t>
        </is>
      </c>
      <c r="J15" s="8" t="inlineStr"/>
      <c r="K15" s="8" t="inlineStr">
        <is>
          <t>Both</t>
        </is>
      </c>
      <c r="L15" s="8" t="inlineStr">
        <is>
          <t>No</t>
        </is>
      </c>
      <c r="M15" s="8" t="inlineStr"/>
      <c r="N15" s="8" t="inlineStr"/>
      <c r="O15" s="8" t="inlineStr">
        <is>
          <t>Tailored request</t>
        </is>
      </c>
      <c r="P15" s="8" t="inlineStr">
        <is>
          <t>Yes – Yes – data held (2025); see 2. Quant coverage</t>
        </is>
      </c>
      <c r="Q15" s="8" t="inlineStr"/>
    </row>
    <row r="16" ht="90" customHeight="1">
      <c r="B16" s="7" t="inlineStr">
        <is>
          <t>TR2(d)</t>
        </is>
      </c>
      <c r="C16" s="8" t="inlineStr">
        <is>
          <t>Education and research</t>
        </is>
      </c>
      <c r="D16" s="8" t="inlineStr">
        <is>
          <t>Transformational research</t>
        </is>
      </c>
      <c r="E16" s="8" t="inlineStr">
        <is>
          <t>Deliver high-quality research and partnerships that contribute to sustainability outcomes and demonstrable societal benefit.</t>
        </is>
      </c>
      <c r="F16" s="8" t="inlineStr">
        <is>
          <t>Case-based evidence demonstrating how research has contributed to meaningful sustainability outcomes.</t>
        </is>
      </c>
      <c r="G1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8" t="inlineStr">
        <is>
          <t>Faculties, CI&amp;S</t>
        </is>
      </c>
      <c r="I16" s="8" t="inlineStr">
        <is>
          <t>Faculties (pilot), CI&amp;S</t>
        </is>
      </c>
      <c r="J16" s="8"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8" t="inlineStr">
        <is>
          <t>Both</t>
        </is>
      </c>
      <c r="L16" s="8" t="inlineStr">
        <is>
          <t>No</t>
        </is>
      </c>
      <c r="M16" s="8" t="inlineStr"/>
      <c r="N16" s="8" t="inlineStr">
        <is>
          <t>5b(i)</t>
        </is>
      </c>
      <c r="O16" s="8" t="inlineStr">
        <is>
          <t>Tailored request</t>
        </is>
      </c>
      <c r="P16" s="8" t="inlineStr"/>
      <c r="Q16" s="8" t="inlineStr"/>
    </row>
    <row r="17" ht="90" customHeight="1">
      <c r="B17" s="7" t="inlineStr">
        <is>
          <t>TR3(a)</t>
        </is>
      </c>
      <c r="C17" s="8" t="inlineStr">
        <is>
          <t>Education and research</t>
        </is>
      </c>
      <c r="D17" s="8" t="inlineStr">
        <is>
          <t>Transformational research</t>
        </is>
      </c>
      <c r="E17" s="8" t="inlineStr">
        <is>
          <t>Embed sustainability within research systems, processes, capability and culture, so research is conducted responsibly, efficiently and with reduced environmental impact.</t>
        </is>
      </c>
      <c r="F17" s="8" t="inlineStr">
        <is>
          <t>Evidence that sustainability considerations are integrated into relevant research systems, planning processes, guidance, training, induction or support services</t>
        </is>
      </c>
      <c r="G17" s="8" t="inlineStr">
        <is>
          <t>Please describe how sustainability considerations are integrated into research systems, planning processes, guidance, training, induction or support services within your Faculty/Portfolio, could include examples of any new or improved processes.</t>
        </is>
      </c>
      <c r="H17" s="8" t="inlineStr">
        <is>
          <t>Faculties, CI&amp;S</t>
        </is>
      </c>
      <c r="I17" s="8" t="inlineStr">
        <is>
          <t>MRE</t>
        </is>
      </c>
      <c r="J17" s="8" t="inlineStr"/>
      <c r="K17" s="8" t="inlineStr">
        <is>
          <t>Both</t>
        </is>
      </c>
      <c r="L17" s="8" t="inlineStr">
        <is>
          <t>No</t>
        </is>
      </c>
      <c r="M17" s="8" t="inlineStr"/>
      <c r="N17" s="8" t="inlineStr">
        <is>
          <t>5c(ii)</t>
        </is>
      </c>
      <c r="O17" s="8" t="inlineStr">
        <is>
          <t>Tailored request</t>
        </is>
      </c>
      <c r="P17" s="8" t="inlineStr"/>
      <c r="Q17" s="8" t="inlineStr"/>
    </row>
    <row r="18" ht="90" customHeight="1">
      <c r="B18" s="7" t="inlineStr">
        <is>
          <t>TR3(b)</t>
        </is>
      </c>
      <c r="C18" s="8" t="inlineStr">
        <is>
          <t>Education and research</t>
        </is>
      </c>
      <c r="D18" s="8" t="inlineStr">
        <is>
          <t>Transformational research</t>
        </is>
      </c>
      <c r="E18" s="8" t="inlineStr">
        <is>
          <t>Embed sustainability within research systems, processes, capability and culture, so research is conducted responsibly, efficiently and with reduced environmental impact.</t>
        </is>
      </c>
      <c r="F18" s="8" t="inlineStr">
        <is>
          <t>Demonstrated examples of more sustainable research practices in laboratories, fieldwork, procurement, travel or infrastructure use</t>
        </is>
      </c>
      <c r="G18"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8" t="inlineStr">
        <is>
          <t>Faculties, CI&amp;S, CFOG</t>
        </is>
      </c>
      <c r="I18" s="8" t="inlineStr">
        <is>
          <t>Faculties (pilot), CI&amp;S, CFOG</t>
        </is>
      </c>
      <c r="J18" s="8" t="inlineStr"/>
      <c r="K18" s="8" t="inlineStr">
        <is>
          <t>Both</t>
        </is>
      </c>
      <c r="L18" s="8" t="inlineStr">
        <is>
          <t>No</t>
        </is>
      </c>
      <c r="M18" s="8" t="inlineStr"/>
      <c r="N18" s="8" t="inlineStr">
        <is>
          <t>5c(ii)</t>
        </is>
      </c>
      <c r="O18" s="8" t="inlineStr">
        <is>
          <t>Tailored request</t>
        </is>
      </c>
      <c r="P18" s="8" t="inlineStr">
        <is>
          <t>Yes – Yes – metrics defined, no data yet; see 2. Quant coverage</t>
        </is>
      </c>
      <c r="Q18" s="8" t="inlineStr"/>
    </row>
    <row r="19" ht="90" customHeight="1">
      <c r="B19" s="7" t="inlineStr">
        <is>
          <t>TR3(c)</t>
        </is>
      </c>
      <c r="C19" s="8" t="inlineStr">
        <is>
          <t>Education and research</t>
        </is>
      </c>
      <c r="D19" s="8" t="inlineStr">
        <is>
          <t>Transformational research</t>
        </is>
      </c>
      <c r="E19" s="8" t="inlineStr">
        <is>
          <t>Embed sustainability within research systems, processes, capability and culture, so research is conducted responsibly, efficiently and with reduced environmental impact.</t>
        </is>
      </c>
      <c r="F19" s="8" t="inlineStr">
        <is>
          <t>Evidence of progress in sustainability-related research culture, capability and awareness, informed by periodic staff and graduate researcher surveys</t>
        </is>
      </c>
      <c r="G19"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8" t="inlineStr">
        <is>
          <t>Faculties</t>
        </is>
      </c>
      <c r="I19" s="8" t="inlineStr">
        <is>
          <t>MRE</t>
        </is>
      </c>
      <c r="J19" s="8" t="inlineStr">
        <is>
          <t>Melbourne Research and Enterprise (Nishi Raja-Stranger; Ivan Marusic) - MRE will be a key reporter for all research targets.</t>
        </is>
      </c>
      <c r="K19" s="8" t="inlineStr">
        <is>
          <t>Both</t>
        </is>
      </c>
      <c r="L19" s="8" t="inlineStr">
        <is>
          <t>No</t>
        </is>
      </c>
      <c r="M19" s="8" t="inlineStr"/>
      <c r="N19" s="8" t="inlineStr"/>
      <c r="O19" s="8" t="inlineStr">
        <is>
          <t>Tailored request</t>
        </is>
      </c>
      <c r="P19" s="8" t="inlineStr"/>
      <c r="Q19" s="8" t="inlineStr"/>
    </row>
    <row r="20" ht="90" customHeight="1">
      <c r="B20" s="7" t="inlineStr">
        <is>
          <t>TR3(d)</t>
        </is>
      </c>
      <c r="C20" s="8" t="inlineStr">
        <is>
          <t>Education and research</t>
        </is>
      </c>
      <c r="D20" s="8" t="inlineStr">
        <is>
          <t>Transformational research</t>
        </is>
      </c>
      <c r="E20" s="8" t="inlineStr">
        <is>
          <t>Embed sustainability within research systems, processes, capability and culture, so research is conducted responsibly, efficiently and with reduced environmental impact.</t>
        </is>
      </c>
      <c r="F20" s="8" t="inlineStr">
        <is>
          <t>Expert assessment of progress in embedding sustainable research practices across the institution.</t>
        </is>
      </c>
      <c r="G20" s="8" t="inlineStr">
        <is>
          <t>Faculty/Portfolio’s assessment of progress in embedding sustainable research practices, highlighting areas of strong progress, remaining gaps and priority actions for further improvement.</t>
        </is>
      </c>
      <c r="H20" s="8" t="inlineStr">
        <is>
          <t>Faculties</t>
        </is>
      </c>
      <c r="I20" s="8" t="inlineStr">
        <is>
          <t>MRE</t>
        </is>
      </c>
      <c r="J20" s="8" t="inlineStr"/>
      <c r="K20" s="8" t="inlineStr">
        <is>
          <t>Both</t>
        </is>
      </c>
      <c r="L20" s="8" t="inlineStr">
        <is>
          <t>No</t>
        </is>
      </c>
      <c r="M20" s="8" t="inlineStr"/>
      <c r="N20" s="8" t="inlineStr"/>
      <c r="O20" s="8" t="inlineStr">
        <is>
          <t>Tailored request</t>
        </is>
      </c>
      <c r="P20" s="8" t="inlineStr"/>
      <c r="Q20" s="8" t="inlineStr"/>
    </row>
    <row r="21" ht="90" customHeight="1">
      <c r="B21" s="7" t="inlineStr">
        <is>
          <t>CL1(c)</t>
        </is>
      </c>
      <c r="C21" s="8" t="inlineStr">
        <is>
          <t>Sustainability leadership</t>
        </is>
      </c>
      <c r="D21" s="8" t="inlineStr">
        <is>
          <t>Climate leadership</t>
        </is>
      </c>
      <c r="E21" s="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8" t="inlineStr">
        <is>
          <t>Review of Climate Leadership targets by 2030.[2]</t>
        </is>
      </c>
      <c r="G21" s="8" t="inlineStr"/>
      <c r="H21" s="8" t="inlineStr">
        <is>
          <t>CI&amp;S</t>
        </is>
      </c>
      <c r="I21" s="8" t="inlineStr">
        <is>
          <t>CI&amp;S</t>
        </is>
      </c>
      <c r="J21" s="8" t="inlineStr"/>
      <c r="K21" s="8" t="inlineStr">
        <is>
          <t>Both</t>
        </is>
      </c>
      <c r="L21" s="8" t="inlineStr">
        <is>
          <t>Yes</t>
        </is>
      </c>
      <c r="M21" s="8" t="inlineStr">
        <is>
          <t>Need to review again on 2030. The climate target itself is still two months old</t>
        </is>
      </c>
      <c r="N21" s="8" t="inlineStr"/>
      <c r="O21" s="8" t="inlineStr">
        <is>
          <t>Tailored request</t>
        </is>
      </c>
      <c r="P21" s="8" t="inlineStr">
        <is>
          <t>Yes – No; see 2. Quant coverage</t>
        </is>
      </c>
      <c r="Q21" s="8" t="inlineStr"/>
    </row>
    <row r="22" ht="90" customHeight="1">
      <c r="B22" s="7" t="inlineStr">
        <is>
          <t>CL2(a)</t>
        </is>
      </c>
      <c r="C22" s="8" t="inlineStr">
        <is>
          <t>Sustainability leadership</t>
        </is>
      </c>
      <c r="D22" s="8" t="inlineStr">
        <is>
          <t>Climate leadership</t>
        </is>
      </c>
      <c r="E22" s="8" t="inlineStr">
        <is>
          <t>Develop understanding of our research and education programs that contribute to accelerating global decarbonisation and our own climate transition.</t>
        </is>
      </c>
      <c r="F22" s="8" t="inlineStr">
        <is>
          <t>By 2028, develop and document institutional mapping of research and education activities that are designed to contribute to global decarbonisation</t>
        </is>
      </c>
      <c r="G22"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8" t="inlineStr">
        <is>
          <t>Faculties, CI&amp;S</t>
        </is>
      </c>
      <c r="I22" s="8" t="inlineStr">
        <is>
          <t>AC&amp;M</t>
        </is>
      </c>
      <c r="J22" s="8" t="inlineStr"/>
      <c r="K22" s="8" t="inlineStr">
        <is>
          <t>Both</t>
        </is>
      </c>
      <c r="L22" s="8" t="inlineStr">
        <is>
          <t>No</t>
        </is>
      </c>
      <c r="M22" s="8" t="inlineStr"/>
      <c r="N22" s="8" t="inlineStr"/>
      <c r="O22" s="8" t="inlineStr">
        <is>
          <t>Tailored request</t>
        </is>
      </c>
      <c r="P22" s="8" t="inlineStr">
        <is>
          <t>Yes – Yes – metrics defined, no data yet; see 2. Quant coverage</t>
        </is>
      </c>
      <c r="Q22" s="8" t="inlineStr"/>
    </row>
    <row r="23" ht="90" customHeight="1">
      <c r="B23" s="7" t="inlineStr">
        <is>
          <t>CL2(c)</t>
        </is>
      </c>
      <c r="C23" s="8" t="inlineStr">
        <is>
          <t>Sustainability leadership</t>
        </is>
      </c>
      <c r="D23" s="8" t="inlineStr">
        <is>
          <t>Climate leadership</t>
        </is>
      </c>
      <c r="E23" s="8" t="inlineStr">
        <is>
          <t>Develop understanding of our research and education programs that contribute to accelerating global decarbonisation and our own climate transition.</t>
        </is>
      </c>
      <c r="F23" s="8" t="inlineStr">
        <is>
          <t>Ongoing communications that evidence the University’s climate action, research and learning to inform policy, sector and community decarbonisation efforts.</t>
        </is>
      </c>
      <c r="G23" s="8" t="inlineStr">
        <is>
          <t>List and describe communications from the faculty in terms of climate action, research and learning to inform policy, sector and community decarbonisation efforts</t>
        </is>
      </c>
      <c r="H23" s="8" t="inlineStr">
        <is>
          <t>Faculties,</t>
        </is>
      </c>
      <c r="I23" s="8" t="inlineStr">
        <is>
          <t>AC&amp;M</t>
        </is>
      </c>
      <c r="J23" s="8" t="inlineStr"/>
      <c r="K23" s="8" t="inlineStr">
        <is>
          <t>Both</t>
        </is>
      </c>
      <c r="L23" s="8" t="inlineStr">
        <is>
          <t>No</t>
        </is>
      </c>
      <c r="M23" s="8" t="inlineStr"/>
      <c r="N23" s="8" t="inlineStr"/>
      <c r="O23" s="8" t="inlineStr">
        <is>
          <t>Tailored request</t>
        </is>
      </c>
      <c r="P23" s="8" t="inlineStr">
        <is>
          <t>Yes – Yes – metrics defined, no data yet; see 2. Quant coverage</t>
        </is>
      </c>
      <c r="Q23" s="8" t="inlineStr"/>
    </row>
    <row r="24" ht="90" customHeight="1">
      <c r="B24" s="7" t="inlineStr">
        <is>
          <t>CL3(a)</t>
        </is>
      </c>
      <c r="C24" s="8" t="inlineStr">
        <is>
          <t>Sustainability leadership</t>
        </is>
      </c>
      <c r="D24" s="8" t="inlineStr">
        <is>
          <t>Climate leadership</t>
        </is>
      </c>
      <c r="E24" s="8" t="inlineStr">
        <is>
          <t>Reach and maintain high levels of climate-change resilience maturity</t>
        </is>
      </c>
      <c r="F24"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8" t="inlineStr">
        <is>
          <t>Provide update of University maturity assesment. Include maturity ratings, key gaps and priority improvement actions.when available</t>
        </is>
      </c>
      <c r="H24" s="8" t="inlineStr">
        <is>
          <t>CI&amp;S</t>
        </is>
      </c>
      <c r="I24" s="8" t="inlineStr">
        <is>
          <t>CI&amp;S, L&amp;R</t>
        </is>
      </c>
      <c r="J24" s="8" t="inlineStr"/>
      <c r="K24" s="8" t="inlineStr">
        <is>
          <t>Both</t>
        </is>
      </c>
      <c r="L24" s="8" t="inlineStr">
        <is>
          <t>No</t>
        </is>
      </c>
      <c r="M24" s="8" t="inlineStr">
        <is>
          <t>Could check with Gerard. Gerard is the one who manage this indicator</t>
        </is>
      </c>
      <c r="N24" s="8" t="inlineStr"/>
      <c r="O24" s="8" t="inlineStr">
        <is>
          <t>Tailored request</t>
        </is>
      </c>
      <c r="P24" s="8" t="inlineStr">
        <is>
          <t>Yes – Yes – metrics defined, no data yet; see 2. Quant coverage</t>
        </is>
      </c>
      <c r="Q24" s="8" t="inlineStr"/>
    </row>
    <row r="25" ht="90" customHeight="1">
      <c r="B25" s="7" t="inlineStr">
        <is>
          <t>NB1(b)</t>
        </is>
      </c>
      <c r="C25" s="8" t="inlineStr">
        <is>
          <t>Sustainability leadership</t>
        </is>
      </c>
      <c r="D25" s="8" t="inlineStr">
        <is>
          <t>Nature and biodiversity</t>
        </is>
      </c>
      <c r="E25" s="8" t="inlineStr">
        <is>
          <t>Achieve an increase of biodiversity relative to defined baseline years for each campus.</t>
        </is>
      </c>
      <c r="F25" s="8" t="inlineStr">
        <is>
          <t>Size, health and diversity of remnant vegetation at the Dookie and Creswick campuses</t>
        </is>
      </c>
      <c r="G25" s="8" t="inlineStr"/>
      <c r="H25" s="8" t="inlineStr">
        <is>
          <t>Rachel</t>
        </is>
      </c>
      <c r="I25" s="8" t="inlineStr">
        <is>
          <t>ESG</t>
        </is>
      </c>
      <c r="J25" s="8" t="inlineStr"/>
      <c r="K25" s="8" t="inlineStr">
        <is>
          <t>Internal</t>
        </is>
      </c>
      <c r="L25" s="8" t="inlineStr">
        <is>
          <t>No</t>
        </is>
      </c>
      <c r="M25" s="8" t="inlineStr">
        <is>
          <t>Havent been previously disclose publicly</t>
        </is>
      </c>
      <c r="N25" s="8" t="inlineStr"/>
      <c r="O25" s="8" t="inlineStr">
        <is>
          <t>Tailored request</t>
        </is>
      </c>
      <c r="P25" s="8" t="inlineStr">
        <is>
          <t>Yes – No; see 2. Quant coverage</t>
        </is>
      </c>
      <c r="Q25" s="8" t="inlineStr"/>
    </row>
    <row r="26" ht="90" customHeight="1">
      <c r="B26" s="7" t="inlineStr">
        <is>
          <t>NB1(c)</t>
        </is>
      </c>
      <c r="C26" s="8" t="inlineStr">
        <is>
          <t>Sustainability leadership</t>
        </is>
      </c>
      <c r="D26" s="8" t="inlineStr">
        <is>
          <t>Nature and biodiversity</t>
        </is>
      </c>
      <c r="E26" s="8" t="inlineStr">
        <is>
          <t>Achieve an increase of biodiversity relative to defined baseline years for each campus.</t>
        </is>
      </c>
      <c r="F26" s="8" t="inlineStr">
        <is>
          <t>Defined quality measurement framework</t>
        </is>
      </c>
      <c r="G26" s="8" t="inlineStr"/>
      <c r="H26" s="8" t="inlineStr">
        <is>
          <t>ESG</t>
        </is>
      </c>
      <c r="I26" s="8" t="inlineStr">
        <is>
          <t>ESG</t>
        </is>
      </c>
      <c r="J26" s="8" t="inlineStr"/>
      <c r="K26" s="8" t="inlineStr">
        <is>
          <t>Both</t>
        </is>
      </c>
      <c r="L26" s="8" t="inlineStr">
        <is>
          <t>No</t>
        </is>
      </c>
      <c r="M26" s="8" t="inlineStr">
        <is>
          <t>Follow up with Rachel</t>
        </is>
      </c>
      <c r="N26" s="8" t="inlineStr"/>
      <c r="O26" s="8" t="inlineStr">
        <is>
          <t>Tailored request</t>
        </is>
      </c>
      <c r="P26" s="8" t="inlineStr">
        <is>
          <t>Yes – No; see 2. Quant coverage</t>
        </is>
      </c>
      <c r="Q26" s="8" t="inlineStr"/>
    </row>
    <row r="27" ht="90" customHeight="1">
      <c r="B27" s="7" t="inlineStr">
        <is>
          <t>NB1(d)</t>
        </is>
      </c>
      <c r="C27" s="8" t="inlineStr">
        <is>
          <t>Sustainability leadership</t>
        </is>
      </c>
      <c r="D27" s="8" t="inlineStr">
        <is>
          <t>Nature and biodiversity</t>
        </is>
      </c>
      <c r="E27" s="8" t="inlineStr">
        <is>
          <t>Achieve an increase of biodiversity relative to defined baseline years for each campus.</t>
        </is>
      </c>
      <c r="F27" s="8" t="inlineStr">
        <is>
          <t>Defined and quantified campus connectivity</t>
        </is>
      </c>
      <c r="G27" s="8" t="inlineStr">
        <is>
          <t>Please provide the current definition and quantified assessment of campus ecological connectivity, could include the methodology used, campuses covered, baseline or benchmark values, and any material change over the reporting period.</t>
        </is>
      </c>
      <c r="H27" s="8" t="inlineStr">
        <is>
          <t>ESG</t>
        </is>
      </c>
      <c r="I27" s="8" t="inlineStr">
        <is>
          <t>ESG</t>
        </is>
      </c>
      <c r="J27" s="8" t="inlineStr"/>
      <c r="K27" s="8" t="inlineStr">
        <is>
          <t>Both</t>
        </is>
      </c>
      <c r="L27" s="8" t="inlineStr">
        <is>
          <t>No</t>
        </is>
      </c>
      <c r="M27" s="8" t="inlineStr"/>
      <c r="N27" s="8" t="inlineStr"/>
      <c r="O27" s="8" t="inlineStr">
        <is>
          <t>Tailored request</t>
        </is>
      </c>
      <c r="P27" s="8" t="inlineStr">
        <is>
          <t>Yes – No; see 2. Quant coverage</t>
        </is>
      </c>
      <c r="Q27" s="8" t="inlineStr"/>
    </row>
    <row r="28" ht="90" customHeight="1">
      <c r="B28" s="7" t="inlineStr">
        <is>
          <t>NB2(a)</t>
        </is>
      </c>
      <c r="C28" s="8" t="inlineStr">
        <is>
          <t>Sustainability leadership</t>
        </is>
      </c>
      <c r="D28" s="8" t="inlineStr">
        <is>
          <t>Nature and biodiversity</t>
        </is>
      </c>
      <c r="E28" s="8" t="inlineStr">
        <is>
          <t>Improve our understanding of our supply chain impacts on nature.</t>
        </is>
      </c>
      <c r="F28" s="8" t="inlineStr">
        <is>
          <t>Documented baseline nature footprint analysis</t>
        </is>
      </c>
      <c r="G28" s="8" t="inlineStr">
        <is>
          <t>Impact Encore Measurement</t>
        </is>
      </c>
      <c r="H28" s="8" t="inlineStr">
        <is>
          <t>MBI</t>
        </is>
      </c>
      <c r="I28" s="8" t="inlineStr">
        <is>
          <t>MRE</t>
        </is>
      </c>
      <c r="J28" s="8" t="inlineStr"/>
      <c r="K28" s="8" t="inlineStr">
        <is>
          <t>Both</t>
        </is>
      </c>
      <c r="L28" s="8" t="inlineStr">
        <is>
          <t>No</t>
        </is>
      </c>
      <c r="M28" s="8" t="inlineStr"/>
      <c r="N28" s="8" t="inlineStr"/>
      <c r="O28" s="8" t="inlineStr">
        <is>
          <t>Tailored request</t>
        </is>
      </c>
      <c r="P28" s="8" t="inlineStr">
        <is>
          <t>Yes – Yes – metrics defined, no data yet; see 2. Quant coverage</t>
        </is>
      </c>
      <c r="Q28" s="8" t="inlineStr"/>
    </row>
    <row r="29" ht="90" customHeight="1">
      <c r="B29" s="7" t="inlineStr">
        <is>
          <t>NB2(b)</t>
        </is>
      </c>
      <c r="C29" s="8" t="inlineStr">
        <is>
          <t>Sustainability leadership</t>
        </is>
      </c>
      <c r="D29" s="8" t="inlineStr">
        <is>
          <t>Nature and biodiversity</t>
        </is>
      </c>
      <c r="E29" s="8" t="inlineStr">
        <is>
          <t>Improve our understanding of our supply chain impacts on nature.</t>
        </is>
      </c>
      <c r="F29" s="8" t="inlineStr">
        <is>
          <t>Evidence of established framework to monitor and track supply-chain nature impacts over time</t>
        </is>
      </c>
      <c r="G29" s="8" t="inlineStr">
        <is>
          <t>Please describe the framework established to monitor and track supply-chain impacts on nature over time, could include metrics, data sources, governance/ownership, reporting frequency and current implementation status.</t>
        </is>
      </c>
      <c r="H29" s="8" t="inlineStr">
        <is>
          <t>ESG</t>
        </is>
      </c>
      <c r="I29" s="8" t="inlineStr">
        <is>
          <t>ESG</t>
        </is>
      </c>
      <c r="J29" s="8" t="inlineStr">
        <is>
          <t>Melbourne Biodiversity Institute (MBI) - Brendan Wintle and August Wylynko</t>
        </is>
      </c>
      <c r="K29" s="8" t="inlineStr">
        <is>
          <t>Both</t>
        </is>
      </c>
      <c r="L29" s="8" t="inlineStr">
        <is>
          <t>No</t>
        </is>
      </c>
      <c r="M29" s="8" t="inlineStr"/>
      <c r="N29" s="8" t="inlineStr"/>
      <c r="O29" s="8" t="inlineStr">
        <is>
          <t>Tailored request</t>
        </is>
      </c>
      <c r="P29" s="8" t="inlineStr"/>
      <c r="Q29" s="8" t="inlineStr"/>
    </row>
    <row r="30" ht="90" customHeight="1">
      <c r="B30" s="7" t="inlineStr">
        <is>
          <t>NB2(c)</t>
        </is>
      </c>
      <c r="C30" s="8" t="inlineStr">
        <is>
          <t>Sustainability leadership</t>
        </is>
      </c>
      <c r="D30" s="8" t="inlineStr">
        <is>
          <t>Nature and biodiversity</t>
        </is>
      </c>
      <c r="E30" s="8" t="inlineStr">
        <is>
          <t>Improve our understanding of our supply chain impacts on nature.</t>
        </is>
      </c>
      <c r="F30" s="8" t="inlineStr">
        <is>
          <t>Evidence of prioritised high risk procurement categories or suppliers for nature impact management</t>
        </is>
      </c>
      <c r="G30" s="8" t="inlineStr">
        <is>
          <t>Please provide the prioritised high-risk procurement categories and/or suppliers identified for nature-impact management, could include the basis for prioritisation and any risk-management, engagement or mitigation actions undertaken or planned.</t>
        </is>
      </c>
      <c r="H30" s="8" t="inlineStr">
        <is>
          <t>ESG, CFOG</t>
        </is>
      </c>
      <c r="I30" s="8" t="inlineStr">
        <is>
          <t>CFOG, ESG</t>
        </is>
      </c>
      <c r="J30" s="8" t="inlineStr">
        <is>
          <t>MBI</t>
        </is>
      </c>
      <c r="K30" s="8" t="inlineStr">
        <is>
          <t>Both</t>
        </is>
      </c>
      <c r="L30" s="8" t="inlineStr">
        <is>
          <t>No</t>
        </is>
      </c>
      <c r="M30" s="8" t="inlineStr"/>
      <c r="N30" s="8" t="inlineStr"/>
      <c r="O30" s="8" t="inlineStr">
        <is>
          <t>Tailored request</t>
        </is>
      </c>
      <c r="P30" s="8" t="inlineStr"/>
      <c r="Q30" s="8" t="inlineStr"/>
    </row>
    <row r="31" ht="90" customHeight="1">
      <c r="B31" s="7" t="inlineStr">
        <is>
          <t>AI1(a)</t>
        </is>
      </c>
      <c r="C31" s="8" t="inlineStr">
        <is>
          <t>Sustainability leadership</t>
        </is>
      </c>
      <c r="D31" s="8" t="inlineStr">
        <is>
          <t>Responsible AI</t>
        </is>
      </c>
      <c r="E31" s="8" t="inlineStr">
        <is>
          <t>Improve understanding of our sustainability-related risks and opportunities of AI technologies by 2028.</t>
        </is>
      </c>
      <c r="F31" s="8" t="inlineStr">
        <is>
          <t>Established measurement of estimated operational impacts and opportunities (eg operational impacts could include energy, water, emissions and intensity measures)</t>
        </is>
      </c>
      <c r="G31" s="8" t="inlineStr"/>
      <c r="H31" s="8" t="inlineStr">
        <is>
          <t>CI&amp;S, CIOG</t>
        </is>
      </c>
      <c r="I31" s="8" t="inlineStr">
        <is>
          <t>CI&amp;S, CIOG</t>
        </is>
      </c>
      <c r="J31" s="8" t="inlineStr"/>
      <c r="K31" s="8" t="inlineStr">
        <is>
          <t>Both</t>
        </is>
      </c>
      <c r="L31" s="8" t="inlineStr">
        <is>
          <t>Yes</t>
        </is>
      </c>
      <c r="M31" s="8" t="inlineStr">
        <is>
          <t>Rose &amp; Sally currently actively managing this target and indicator. High level overview on 2026, will work on the detailed measurement next year</t>
        </is>
      </c>
      <c r="N31" s="8" t="inlineStr"/>
      <c r="O31" s="8" t="inlineStr">
        <is>
          <t>Tailored request</t>
        </is>
      </c>
      <c r="P31" s="8" t="inlineStr">
        <is>
          <t>Yes – No; see 2. Quant coverage</t>
        </is>
      </c>
      <c r="Q31" s="8" t="inlineStr"/>
    </row>
    <row r="32" ht="90" customHeight="1">
      <c r="B32" s="7" t="inlineStr">
        <is>
          <t>AI1(b)</t>
        </is>
      </c>
      <c r="C32" s="8" t="inlineStr">
        <is>
          <t>Sustainability leadership</t>
        </is>
      </c>
      <c r="D32" s="8" t="inlineStr">
        <is>
          <t>Responsible AI</t>
        </is>
      </c>
      <c r="E32" s="8" t="inlineStr">
        <is>
          <t>Improve understanding of our sustainability-related risks and opportunities of AI technologies by 2028.</t>
        </is>
      </c>
      <c r="F32" s="8" t="inlineStr">
        <is>
          <t>Case studies of sustainability and AI-related education, research and collaboration activities.</t>
        </is>
      </c>
      <c r="G32" s="8" t="inlineStr">
        <is>
          <t>Please provide case studies from your Faculty/Portfolio of sustainability and AI-related education, research or collaboration activities, describing the activity, participants or partners, sustainability issue addressed and key outcomes or lessons.</t>
        </is>
      </c>
      <c r="H32" s="8" t="inlineStr">
        <is>
          <t>CI&amp;S, CIOG</t>
        </is>
      </c>
      <c r="I32" s="8" t="inlineStr">
        <is>
          <t>CI&amp;S, CIOG</t>
        </is>
      </c>
      <c r="J32" s="8" t="inlineStr">
        <is>
          <t>AI Steering Committee - developing AI roadmap, which includes responsible AI as a key pillar.</t>
        </is>
      </c>
      <c r="K32" s="8" t="inlineStr">
        <is>
          <t>Both</t>
        </is>
      </c>
      <c r="L32" s="8" t="inlineStr">
        <is>
          <t>No</t>
        </is>
      </c>
      <c r="M32" s="8" t="inlineStr"/>
      <c r="N32" s="8" t="inlineStr"/>
      <c r="O32" s="8" t="inlineStr">
        <is>
          <t>Tailored request</t>
        </is>
      </c>
      <c r="P32" s="8" t="inlineStr"/>
      <c r="Q32" s="8" t="inlineStr"/>
    </row>
    <row r="33" ht="90" customHeight="1">
      <c r="B33" s="7" t="inlineStr">
        <is>
          <t>EI1(a)</t>
        </is>
      </c>
      <c r="C33" s="8" t="inlineStr">
        <is>
          <t>Resilient University</t>
        </is>
      </c>
      <c r="D33" s="8" t="inlineStr">
        <is>
          <t>Estate and infrastructure</t>
        </is>
      </c>
      <c r="E33" s="8" t="inlineStr">
        <is>
          <t>Integrate environmental sustainability in the way that the University achieves strategic and operational objectives for our estate and infrastructure.</t>
        </is>
      </c>
      <c r="F33" s="8" t="inlineStr">
        <is>
          <t>Evidence of increased maturity of estate and infrastructure planning, development and operations to support the other priority areas in Sustainability 2030</t>
        </is>
      </c>
      <c r="G33" s="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8" t="inlineStr">
        <is>
          <t>CI&amp;S</t>
        </is>
      </c>
      <c r="I33" s="8" t="inlineStr">
        <is>
          <t>CI&amp;S</t>
        </is>
      </c>
      <c r="J33" s="8" t="inlineStr">
        <is>
          <t>CI&amp;S - Estate Planning and Development teams</t>
        </is>
      </c>
      <c r="K33" s="8" t="inlineStr">
        <is>
          <t>Both</t>
        </is>
      </c>
      <c r="L33" s="8" t="inlineStr">
        <is>
          <t>No</t>
        </is>
      </c>
      <c r="M33" s="8" t="inlineStr">
        <is>
          <t>Facilitated by Gerard</t>
        </is>
      </c>
      <c r="N33" s="8" t="inlineStr"/>
      <c r="O33" s="8" t="inlineStr">
        <is>
          <t>Tailored request</t>
        </is>
      </c>
      <c r="P33" s="8" t="inlineStr">
        <is>
          <t>Yes – No; see 2. Quant coverage</t>
        </is>
      </c>
      <c r="Q33" s="8" t="inlineStr"/>
    </row>
    <row r="34" ht="90" customHeight="1">
      <c r="B34" s="7" t="inlineStr">
        <is>
          <t>EI1(b)</t>
        </is>
      </c>
      <c r="C34" s="8" t="inlineStr">
        <is>
          <t>Resilient University</t>
        </is>
      </c>
      <c r="D34" s="8" t="inlineStr">
        <is>
          <t>Estate and infrastructure</t>
        </is>
      </c>
      <c r="E34" s="8" t="inlineStr">
        <is>
          <t>Integrate environmental sustainability in the way that the University achieves strategic and operational objectives for our estate and infrastructure.</t>
        </is>
      </c>
      <c r="F34" s="8" t="inlineStr">
        <is>
          <t>Estimated sustainability impacts of the University’s estate and infrastructure capital plan to inform progress towards emissions reduction targets and other priority areas (to the extent enabled by available information)</t>
        </is>
      </c>
      <c r="G34"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8" t="inlineStr">
        <is>
          <t>CI&amp;S</t>
        </is>
      </c>
      <c r="I34" s="8" t="inlineStr">
        <is>
          <t>CI&amp;S</t>
        </is>
      </c>
      <c r="J34" s="8" t="inlineStr">
        <is>
          <t>CI&amp;S - Estate Planning and Development teams</t>
        </is>
      </c>
      <c r="K34" s="8" t="inlineStr">
        <is>
          <t>Both</t>
        </is>
      </c>
      <c r="L34" s="8" t="inlineStr">
        <is>
          <t>No</t>
        </is>
      </c>
      <c r="M34" s="8" t="inlineStr"/>
      <c r="N34" s="8" t="inlineStr"/>
      <c r="O34" s="8" t="inlineStr">
        <is>
          <t>Tailored request</t>
        </is>
      </c>
      <c r="P34" s="8" t="inlineStr">
        <is>
          <t>Yes – No; see 2. Quant coverage</t>
        </is>
      </c>
      <c r="Q34" s="8" t="inlineStr"/>
    </row>
    <row r="35" ht="90" customHeight="1">
      <c r="B35" s="7" t="inlineStr">
        <is>
          <t>EI1(c)</t>
        </is>
      </c>
      <c r="C35" s="8" t="inlineStr">
        <is>
          <t>Resilient University</t>
        </is>
      </c>
      <c r="D35" s="8" t="inlineStr">
        <is>
          <t>Estate and infrastructure</t>
        </is>
      </c>
      <c r="E35" s="8" t="inlineStr">
        <is>
          <t>Integrate environmental sustainability in the way that the University achieves strategic and operational objectives for our estate and infrastructure.</t>
        </is>
      </c>
      <c r="F35" s="8" t="inlineStr">
        <is>
          <t>Reporting on relevant activities and impacts for the University’s major estate and infrastructure projects and programs aligned with the other priority areas in Sustainability 2030</t>
        </is>
      </c>
      <c r="G35"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8" t="inlineStr">
        <is>
          <t>CI&amp;S</t>
        </is>
      </c>
      <c r="I35" s="8" t="inlineStr">
        <is>
          <t>CI&amp;S</t>
        </is>
      </c>
      <c r="J35" s="8" t="inlineStr">
        <is>
          <t>CI&amp;S - Estate Planning and Development teams</t>
        </is>
      </c>
      <c r="K35" s="8" t="inlineStr">
        <is>
          <t>Both</t>
        </is>
      </c>
      <c r="L35" s="8" t="inlineStr">
        <is>
          <t>No</t>
        </is>
      </c>
      <c r="M35" s="8" t="inlineStr"/>
      <c r="N35" s="8" t="inlineStr"/>
      <c r="O35" s="8" t="inlineStr">
        <is>
          <t>Tailored request</t>
        </is>
      </c>
      <c r="P35" s="8" t="inlineStr">
        <is>
          <t>Yes – No; see 2. Quant coverage</t>
        </is>
      </c>
      <c r="Q35" s="8" t="inlineStr"/>
    </row>
    <row r="36" ht="90" customHeight="1">
      <c r="B36" s="7" t="inlineStr">
        <is>
          <t>EI1(d)</t>
        </is>
      </c>
      <c r="C36" s="8" t="inlineStr">
        <is>
          <t>Resilient University</t>
        </is>
      </c>
      <c r="D36" s="8" t="inlineStr">
        <is>
          <t>Estate and infrastructure</t>
        </is>
      </c>
      <c r="E36" s="8" t="inlineStr">
        <is>
          <t>Integrate environmental sustainability in the way that the University achieves strategic and operational objectives for our estate and infrastructure.</t>
        </is>
      </c>
      <c r="F36" s="8" t="inlineStr">
        <is>
          <t>Evidence of understanding and integration of Indigenous approaches to sustainability in estate planning and development programs and projects.</t>
        </is>
      </c>
      <c r="G36"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8" t="inlineStr">
        <is>
          <t>CI&amp;S</t>
        </is>
      </c>
      <c r="I36" s="8" t="inlineStr">
        <is>
          <t>CI&amp;S</t>
        </is>
      </c>
      <c r="J36" s="8" t="inlineStr">
        <is>
          <t>CI&amp;S - Estate Planning and Development teams</t>
        </is>
      </c>
      <c r="K36" s="8" t="inlineStr">
        <is>
          <t>Both</t>
        </is>
      </c>
      <c r="L36" s="8" t="inlineStr">
        <is>
          <t>No</t>
        </is>
      </c>
      <c r="M36" s="8" t="inlineStr"/>
      <c r="N36" s="8" t="inlineStr"/>
      <c r="O36" s="8" t="inlineStr">
        <is>
          <t>Tailored request</t>
        </is>
      </c>
      <c r="P36" s="8" t="inlineStr"/>
      <c r="Q36" s="8" t="inlineStr"/>
    </row>
    <row r="37" ht="90" customHeight="1">
      <c r="B37" s="7" t="inlineStr">
        <is>
          <t>RP1(a)</t>
        </is>
      </c>
      <c r="C37" s="8" t="inlineStr">
        <is>
          <t>Resilient University</t>
        </is>
      </c>
      <c r="D37" s="8" t="inlineStr">
        <is>
          <t>Responsible procurement</t>
        </is>
      </c>
      <c r="E37" s="8" t="inlineStr">
        <is>
          <t>Strengthen our ethical and sustainable procurement approach.</t>
        </is>
      </c>
      <c r="F37" s="8" t="inlineStr">
        <is>
          <t>Case studies of maturity improvement related to responsible procurement process and systems.</t>
        </is>
      </c>
      <c r="G37" s="8" t="inlineStr">
        <is>
          <t>Maturity score if framework established; % procurement staff trained</t>
        </is>
      </c>
      <c r="H37" s="8" t="inlineStr"/>
      <c r="I37" s="8" t="inlineStr">
        <is>
          <t>CFOG</t>
        </is>
      </c>
      <c r="J37" s="8" t="inlineStr"/>
      <c r="K37" s="8" t="inlineStr">
        <is>
          <t>Both</t>
        </is>
      </c>
      <c r="L37" s="8" t="inlineStr">
        <is>
          <t>No</t>
        </is>
      </c>
      <c r="M37" s="8" t="inlineStr">
        <is>
          <t>Quantitative metrics could support qualitative case studies to demonstrate system/process improvements</t>
        </is>
      </c>
      <c r="N37" s="8" t="inlineStr"/>
      <c r="O37" s="8" t="inlineStr">
        <is>
          <t>Tailored request</t>
        </is>
      </c>
      <c r="P37" s="8" t="inlineStr">
        <is>
          <t>Yes – No; see 2. Quant coverage</t>
        </is>
      </c>
      <c r="Q37" s="8" t="inlineStr"/>
    </row>
    <row r="38" ht="90" customHeight="1">
      <c r="B38" s="7" t="inlineStr">
        <is>
          <t>MS1(a)</t>
        </is>
      </c>
      <c r="C38" s="8" t="inlineStr">
        <is>
          <t>Resilient University</t>
        </is>
      </c>
      <c r="D38" s="8" t="inlineStr">
        <is>
          <t>Modern slavery and human rights</t>
        </is>
      </c>
      <c r="E38" s="8" t="inlineStr">
        <is>
          <t>Manage our approach to modern slavery and human rights-related risks and opportunities.</t>
        </is>
      </c>
      <c r="F38" s="8" t="inlineStr">
        <is>
          <t>Annual progress reporting via the Modern Slavery Statement</t>
        </is>
      </c>
      <c r="G38" s="8" t="inlineStr">
        <is>
          <t>Annual Modern Slavery Statement, with case studies</t>
        </is>
      </c>
      <c r="H38" s="8" t="inlineStr">
        <is>
          <t>CFOG, CI&amp;S</t>
        </is>
      </c>
      <c r="I38" s="8" t="inlineStr">
        <is>
          <t>CI&amp;S, CFOG</t>
        </is>
      </c>
      <c r="J38" s="8" t="inlineStr">
        <is>
          <t>CFOG - Procurement; Modern Slavery Working Group (existing).</t>
        </is>
      </c>
      <c r="K38" s="8" t="inlineStr">
        <is>
          <t>External</t>
        </is>
      </c>
      <c r="L38" s="8" t="inlineStr">
        <is>
          <t>No</t>
        </is>
      </c>
      <c r="M38" s="8" t="inlineStr"/>
      <c r="N38" s="8" t="inlineStr"/>
      <c r="O38" s="8" t="inlineStr">
        <is>
          <t>Tailored request</t>
        </is>
      </c>
      <c r="P38" s="8" t="inlineStr"/>
      <c r="Q38" s="8" t="inlineStr"/>
    </row>
    <row r="39" ht="90" customHeight="1">
      <c r="B39" s="7" t="inlineStr">
        <is>
          <t>RI1(b)</t>
        </is>
      </c>
      <c r="C39" s="8" t="inlineStr">
        <is>
          <t>Resilient University</t>
        </is>
      </c>
      <c r="D39" s="8" t="inlineStr">
        <is>
          <t>Responsible investments</t>
        </is>
      </c>
      <c r="E39" s="8" t="inlineStr">
        <is>
          <t>Achieve net zero financed emissions for the University’s investment portfolio by 2050.</t>
        </is>
      </c>
      <c r="F39" s="8" t="inlineStr">
        <is>
          <t>Continuous improvement of the reporting of the University’s sustainability-related investment profile metrics, could include investment in climate mitigation and transition solutions, and compliance with related obligations (eg UNPRI).</t>
        </is>
      </c>
      <c r="G39" s="8" t="inlineStr">
        <is>
          <t>Report on relevant sustainability-related investment portfolio metrics and report on how the University has complied with its related obligations</t>
        </is>
      </c>
      <c r="H39" s="8" t="inlineStr">
        <is>
          <t>CFOG, CI&amp;S</t>
        </is>
      </c>
      <c r="I39" s="8" t="inlineStr">
        <is>
          <t>CI&amp;S, CFOG</t>
        </is>
      </c>
      <c r="J39" s="8" t="inlineStr"/>
      <c r="K39" s="8" t="inlineStr">
        <is>
          <t>Both</t>
        </is>
      </c>
      <c r="L39" s="8" t="inlineStr">
        <is>
          <t>No</t>
        </is>
      </c>
      <c r="M39" s="8" t="inlineStr"/>
      <c r="N39" s="8" t="inlineStr"/>
      <c r="O39" s="8" t="inlineStr">
        <is>
          <t>Tailored request</t>
        </is>
      </c>
      <c r="P39" s="8" t="inlineStr">
        <is>
          <t>Yes – Yes – data held (2023–2025); see 2. Quant coverage</t>
        </is>
      </c>
      <c r="Q39" s="8" t="inlineStr"/>
    </row>
    <row r="40" ht="90" customHeight="1">
      <c r="B40" s="7" t="inlineStr">
        <is>
          <t>EN1(a)</t>
        </is>
      </c>
      <c r="C40" s="8" t="inlineStr">
        <is>
          <t>Enablers</t>
        </is>
      </c>
      <c r="D40" s="8" t="inlineStr">
        <is>
          <t>Enablers</t>
        </is>
      </c>
      <c r="E40" s="8" t="inlineStr">
        <is>
          <t>Enablers</t>
        </is>
      </c>
      <c r="F40" s="8" t="inlineStr">
        <is>
          <t>Evidence of sustainability outcomes informed by Indigenous knowledges</t>
        </is>
      </c>
      <c r="G4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8" t="inlineStr">
        <is>
          <t>Faculties</t>
        </is>
      </c>
      <c r="I40" s="8" t="inlineStr">
        <is>
          <t>Faculties (pilot), GCE, Indigenous</t>
        </is>
      </c>
      <c r="J40" s="8" t="inlineStr">
        <is>
          <t>For discussion - it would be good to chat about the nuances of this one</t>
        </is>
      </c>
      <c r="K40" s="8" t="inlineStr">
        <is>
          <t>Both</t>
        </is>
      </c>
      <c r="L40" s="8" t="inlineStr">
        <is>
          <t>No</t>
        </is>
      </c>
      <c r="M40" s="8" t="inlineStr"/>
      <c r="N40" s="8" t="inlineStr">
        <is>
          <t>6a</t>
        </is>
      </c>
      <c r="O40" s="8" t="inlineStr">
        <is>
          <t>Tailored request</t>
        </is>
      </c>
      <c r="P40" s="8" t="inlineStr"/>
      <c r="Q40" s="8" t="inlineStr"/>
    </row>
    <row r="41" ht="90" customHeight="1">
      <c r="B41" s="7" t="inlineStr">
        <is>
          <t>EN1(b)</t>
        </is>
      </c>
      <c r="C41" s="8" t="inlineStr">
        <is>
          <t>Enablers</t>
        </is>
      </c>
      <c r="D41" s="8" t="inlineStr">
        <is>
          <t>Enablers</t>
        </is>
      </c>
      <c r="E41" s="8" t="inlineStr">
        <is>
          <t>Enablers</t>
        </is>
      </c>
      <c r="F41" s="8" t="inlineStr">
        <is>
          <t>Living laboratories enabling applied learning, research and operational sustainability outcomes</t>
        </is>
      </c>
      <c r="G41" s="8" t="inlineStr">
        <is>
          <t>Comment on living labs in the Faculty - outputs, outcomes, and impact</t>
        </is>
      </c>
      <c r="H41" s="8" t="inlineStr">
        <is>
          <t>Faculties, CI&amp;S</t>
        </is>
      </c>
      <c r="I41" s="8" t="inlineStr">
        <is>
          <t>Faculties (pilot), CI&amp;S</t>
        </is>
      </c>
      <c r="J41" s="8" t="inlineStr">
        <is>
          <t>SST is a key data owner: Can report on projects and outcomes from the Campus Living Lab Accelerator Program. Also will gather case studies from individual projects (4)</t>
        </is>
      </c>
      <c r="K41" s="8" t="inlineStr">
        <is>
          <t>Both</t>
        </is>
      </c>
      <c r="L41" s="8" t="inlineStr">
        <is>
          <t>No</t>
        </is>
      </c>
      <c r="M41" s="8" t="inlineStr"/>
      <c r="N41" s="8" t="inlineStr">
        <is>
          <t>2a</t>
        </is>
      </c>
      <c r="O41" s="8" t="inlineStr">
        <is>
          <t>Tailored request</t>
        </is>
      </c>
      <c r="P41" s="8" t="inlineStr">
        <is>
          <t>Yes – Yes – metrics defined, no data yet; see 2. Quant coverage</t>
        </is>
      </c>
      <c r="Q41" s="8" t="inlineStr"/>
    </row>
    <row r="42" ht="90" customHeight="1">
      <c r="B42" s="7" t="inlineStr">
        <is>
          <t>EN1(c)</t>
        </is>
      </c>
      <c r="C42" s="8" t="inlineStr">
        <is>
          <t>Enablers</t>
        </is>
      </c>
      <c r="D42" s="8" t="inlineStr">
        <is>
          <t>Enablers</t>
        </is>
      </c>
      <c r="E42" s="8" t="inlineStr">
        <is>
          <t>Enablers</t>
        </is>
      </c>
      <c r="F42" s="8" t="inlineStr">
        <is>
          <t>Coordinated internal engagement and external partnerships contributing to delivery of sustainability outcomes across priority areas.</t>
        </is>
      </c>
      <c r="G4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8" t="inlineStr">
        <is>
          <t>Faculties, CIOG, CFOG, CI&amp;S, ESG</t>
        </is>
      </c>
      <c r="I42" s="8" t="inlineStr">
        <is>
          <t>Faculties (pilot), CI&amp;S, CFOG, ESG, CIOG, AC&amp;M, GCE, Education</t>
        </is>
      </c>
      <c r="J42" s="8"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8" t="inlineStr">
        <is>
          <t>Both</t>
        </is>
      </c>
      <c r="L42" s="8" t="inlineStr">
        <is>
          <t>No</t>
        </is>
      </c>
      <c r="M42" s="8" t="inlineStr"/>
      <c r="N42" s="8" t="inlineStr">
        <is>
          <t>3a(ii)</t>
        </is>
      </c>
      <c r="O42" s="8" t="inlineStr">
        <is>
          <t>Tailored request</t>
        </is>
      </c>
      <c r="P42" s="8" t="inlineStr"/>
      <c r="Q42" s="8" t="inlineStr"/>
    </row>
    <row r="43" ht="90" customHeight="1">
      <c r="B43" s="7" t="inlineStr">
        <is>
          <t>EN1(d)</t>
        </is>
      </c>
      <c r="C43" s="8" t="inlineStr">
        <is>
          <t>Enablers</t>
        </is>
      </c>
      <c r="D43" s="8" t="inlineStr">
        <is>
          <t>Enablers</t>
        </is>
      </c>
      <c r="E43" s="8" t="inlineStr">
        <is>
          <t>Enablers</t>
        </is>
      </c>
      <c r="F43" s="8" t="inlineStr">
        <is>
          <t>Sustainability objectives integrated into governance and decision‑making processes, supported by transparent reporting.</t>
        </is>
      </c>
      <c r="G4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8" t="inlineStr">
        <is>
          <t>Faculties, CIOG, CFOG, CI&amp;S, ESG</t>
        </is>
      </c>
      <c r="I43" s="8" t="inlineStr">
        <is>
          <t>CI&amp;S, CFOG, ESG, CIOG</t>
        </is>
      </c>
      <c r="J43" s="8" t="inlineStr">
        <is>
          <t>Reporting working group set up - talking about potential alignment with ASRS in future. Collaboration of SST, FBE (Accounting) and the Finance team in CFOG. Sally is the key contact for more info.</t>
        </is>
      </c>
      <c r="K43" s="8" t="inlineStr">
        <is>
          <t>Both</t>
        </is>
      </c>
      <c r="L43" s="8" t="inlineStr">
        <is>
          <t>No</t>
        </is>
      </c>
      <c r="M43" s="8" t="inlineStr"/>
      <c r="N43" s="8" t="inlineStr"/>
      <c r="O43" s="8" t="inlineStr">
        <is>
          <t>Tailored request</t>
        </is>
      </c>
      <c r="P43" s="8" t="inlineStr"/>
      <c r="Q43" s="8"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c r="A1" s="1" t="inlineStr">
        <is>
          <t>↑</t>
        </is>
      </c>
      <c r="B1" s="2" t="inlineStr">
        <is>
          <t>End-2026 target status assessment and reporting</t>
        </is>
      </c>
    </row>
    <row r="2">
      <c r="B2" s="3" t="inlineStr">
        <is>
          <t>2. Quantitative indicators – Databook coverage</t>
        </is>
      </c>
    </row>
    <row r="3" ht="45" customHeight="1">
      <c r="B3" s="9"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5">
      <c r="B5" s="6" t="inlineStr">
        <is>
          <t>Ref</t>
        </is>
      </c>
      <c r="C5" s="6" t="inlineStr">
        <is>
          <t>Priority area</t>
        </is>
      </c>
      <c r="D5" s="6" t="inlineStr">
        <is>
          <t>Indicator</t>
        </is>
      </c>
      <c r="E5" s="6" t="inlineStr">
        <is>
          <t>Type</t>
        </is>
      </c>
      <c r="F5" s="6" t="inlineStr">
        <is>
          <t>Quant? (Y/M)</t>
        </is>
      </c>
      <c r="G5" s="6" t="inlineStr">
        <is>
          <t>Suggested metric (Quan sheet)</t>
        </is>
      </c>
      <c r="H5" s="6" t="inlineStr">
        <is>
          <t>In Databook draft?</t>
        </is>
      </c>
      <c r="I5" s="6" t="inlineStr">
        <is>
          <t>No. of data points</t>
        </is>
      </c>
      <c r="J5" s="6" t="inlineStr">
        <is>
          <t>Suggested data owner</t>
        </is>
      </c>
      <c r="K5" s="6" t="inlineStr">
        <is>
          <t>Action</t>
        </is>
      </c>
      <c r="L5" s="6" t="inlineStr">
        <is>
          <t>Requested in</t>
        </is>
      </c>
      <c r="M5" s="6" t="inlineStr">
        <is>
          <t>Status</t>
        </is>
      </c>
      <c r="N5" s="6" t="inlineStr">
        <is>
          <t>Notes</t>
        </is>
      </c>
    </row>
    <row r="6" ht="75" customHeight="1">
      <c r="B6" s="7" t="inlineStr">
        <is>
          <t>EE1(c)</t>
        </is>
      </c>
      <c r="C6" s="8" t="inlineStr">
        <is>
          <t>Exceptional education</t>
        </is>
      </c>
      <c r="D6" s="8" t="inlineStr">
        <is>
          <t>Evidence of sustainability focused experiential and co curricular learning (eg Wattle Fellowship; Melbourne Plus)</t>
        </is>
      </c>
      <c r="E6" s="8" t="inlineStr">
        <is>
          <t>Mixed – narrative in requirements matrix; metric here</t>
        </is>
      </c>
      <c r="F6" s="8" t="inlineStr">
        <is>
          <t>M</t>
        </is>
      </c>
      <c r="G6" s="8" t="inlineStr">
        <is>
          <t>Number of experiential learning projects; number of participating students</t>
        </is>
      </c>
      <c r="H6" s="10" t="inlineStr">
        <is>
          <t>Yes – data held (2023–2025)</t>
        </is>
      </c>
      <c r="I6" s="8" t="n">
        <v>3</v>
      </c>
      <c r="J6" s="8" t="inlineStr">
        <is>
          <t>SaSS</t>
        </is>
      </c>
      <c r="K6" s="8" t="inlineStr">
        <is>
          <t>Owner confirms existing figures and provides CY2026 (provisional by 15 Dec, final Jan–Feb) – Tab 4 of owner's request</t>
        </is>
      </c>
      <c r="L6" s="8" t="inlineStr">
        <is>
          <t>SaSS request – Tab 4</t>
        </is>
      </c>
      <c r="M6" s="8" t="inlineStr">
        <is>
          <t>Not started</t>
        </is>
      </c>
      <c r="N6" s="8" t="inlineStr"/>
    </row>
    <row r="7" ht="75" customHeight="1">
      <c r="B7" s="7" t="inlineStr">
        <is>
          <t>EE1(d)</t>
        </is>
      </c>
      <c r="C7" s="8" t="inlineStr">
        <is>
          <t>Exceptional education</t>
        </is>
      </c>
      <c r="D7" s="8" t="inlineStr">
        <is>
          <t>Alumni profiles demonstrating how graduates contribute to sustainability through their careers or communities.</t>
        </is>
      </c>
      <c r="E7" s="8" t="inlineStr">
        <is>
          <t>Mixed – narrative in requirements matrix; metric here</t>
        </is>
      </c>
      <c r="F7" s="8" t="inlineStr">
        <is>
          <t>M</t>
        </is>
      </c>
      <c r="G7" s="8" t="inlineStr">
        <is>
          <t>Number of alumni that contribute to sustainability; % profiles demonstrating sustainability contribution; insights form different industries that influenced by alumni</t>
        </is>
      </c>
      <c r="H7" s="11" t="inlineStr">
        <is>
          <t>Yes – metrics defined, no data yet</t>
        </is>
      </c>
      <c r="I7" s="8" t="n">
        <v>2</v>
      </c>
      <c r="J7" s="8" t="inlineStr">
        <is>
          <t>SaSS</t>
        </is>
      </c>
      <c r="K7" s="8" t="inlineStr">
        <is>
          <t>Owner provides CY2026 (and earlier years if available) and confirms metric definition – Tab 4 of owner's request</t>
        </is>
      </c>
      <c r="L7" s="8" t="inlineStr">
        <is>
          <t>SaSS request – Tab 4</t>
        </is>
      </c>
      <c r="M7" s="8" t="inlineStr">
        <is>
          <t>Not started</t>
        </is>
      </c>
      <c r="N7" s="8" t="inlineStr"/>
    </row>
    <row r="8" ht="75" customHeight="1">
      <c r="B8" s="7" t="inlineStr">
        <is>
          <t>TR2(b)</t>
        </is>
      </c>
      <c r="C8" s="8" t="inlineStr">
        <is>
          <t>Transformational research</t>
        </is>
      </c>
      <c r="D8" s="8" t="inlineStr">
        <is>
          <t>Documented progress of relevant strategic initiatives, including Impact Accelerators</t>
        </is>
      </c>
      <c r="E8" s="8" t="inlineStr">
        <is>
          <t>Quantitative only – removed from requirements matrix</t>
        </is>
      </c>
      <c r="F8" s="8" t="inlineStr">
        <is>
          <t>Y</t>
        </is>
      </c>
      <c r="G8" s="8" t="inlineStr">
        <is>
          <t>Percentage of milestone completion rate to the set annual target of strategic initiatives; number of initiatives on track; number of initiatives delivered</t>
        </is>
      </c>
      <c r="H8" s="11" t="inlineStr">
        <is>
          <t>Yes – metrics defined, no data yet</t>
        </is>
      </c>
      <c r="I8" s="8" t="n">
        <v>5</v>
      </c>
      <c r="J8" s="8" t="inlineStr">
        <is>
          <t>MRE</t>
        </is>
      </c>
      <c r="K8" s="8" t="inlineStr">
        <is>
          <t>Owner provides CY2026 (and earlier years if available) and confirms metric definition – Tab 4 of owner's request</t>
        </is>
      </c>
      <c r="L8" s="8" t="inlineStr">
        <is>
          <t>MRE request – Tab 4</t>
        </is>
      </c>
      <c r="M8" s="8" t="inlineStr">
        <is>
          <t>Not started</t>
        </is>
      </c>
      <c r="N8" s="8" t="inlineStr"/>
    </row>
    <row r="9" ht="75" customHeight="1">
      <c r="B9" s="7" t="inlineStr">
        <is>
          <t>TR2(c)</t>
        </is>
      </c>
      <c r="C9" s="8" t="inlineStr">
        <is>
          <t>Transformational research</t>
        </is>
      </c>
      <c r="D9" s="8" t="inlineStr">
        <is>
          <t>Expert-reviewed summary of sustainability-related research outputs, outcomes and influence using available institutional evidence sources</t>
        </is>
      </c>
      <c r="E9" s="8" t="inlineStr">
        <is>
          <t>Mixed – narrative in requirements matrix; metric here</t>
        </is>
      </c>
      <c r="F9" s="8" t="inlineStr">
        <is>
          <t>Y</t>
        </is>
      </c>
      <c r="G9" s="8" t="inlineStr">
        <is>
          <t>currently mapped to the SDGs using SciVal, old metrics explorer (publication mapped to SDG whether they mentioned in mews, media, policy,etc),</t>
        </is>
      </c>
      <c r="H9" s="10" t="inlineStr">
        <is>
          <t>Yes – data held (2025)</t>
        </is>
      </c>
      <c r="I9" s="8" t="n">
        <v>86</v>
      </c>
      <c r="J9" s="8" t="inlineStr">
        <is>
          <t>MRE</t>
        </is>
      </c>
      <c r="K9" s="8" t="inlineStr">
        <is>
          <t>Owner confirms existing figures and provides CY2026 (provisional by 15 Dec, final Jan–Feb) – Tab 4 of owner's request</t>
        </is>
      </c>
      <c r="L9" s="8" t="inlineStr">
        <is>
          <t>MRE request – Tab 4</t>
        </is>
      </c>
      <c r="M9" s="8" t="inlineStr">
        <is>
          <t>Not started</t>
        </is>
      </c>
      <c r="N9" s="8" t="inlineStr"/>
    </row>
    <row r="10" ht="75" customHeight="1">
      <c r="B10" s="7" t="inlineStr">
        <is>
          <t>TR3(b)</t>
        </is>
      </c>
      <c r="C10" s="8" t="inlineStr">
        <is>
          <t>Transformational research</t>
        </is>
      </c>
      <c r="D10" s="8" t="inlineStr">
        <is>
          <t>Demonstrated examples of more sustainable research practices in laboratories, fieldwork, procurement, travel or infrastructure use</t>
        </is>
      </c>
      <c r="E10" s="8" t="inlineStr">
        <is>
          <t>Mixed – narrative in requirements matrix; metric here</t>
        </is>
      </c>
      <c r="F10" s="8" t="inlineStr">
        <is>
          <t>M</t>
        </is>
      </c>
      <c r="G10" s="8" t="inlineStr">
        <is>
          <t>Number of laboratories achieving green lab certification; number of new sustainable activity; number of sustainability fieldwork</t>
        </is>
      </c>
      <c r="H10" s="11" t="inlineStr">
        <is>
          <t>Yes – metrics defined, no data yet</t>
        </is>
      </c>
      <c r="I10" s="8" t="n">
        <v>3</v>
      </c>
      <c r="J10" s="8" t="inlineStr">
        <is>
          <t>MRE</t>
        </is>
      </c>
      <c r="K10" s="8" t="inlineStr">
        <is>
          <t>Owner provides CY2026 (and earlier years if available) and confirms metric definition – Tab 4 of owner's request</t>
        </is>
      </c>
      <c r="L10" s="8" t="inlineStr">
        <is>
          <t>MRE request – Tab 4</t>
        </is>
      </c>
      <c r="M10" s="8" t="inlineStr">
        <is>
          <t>Not started</t>
        </is>
      </c>
      <c r="N10" s="8" t="inlineStr"/>
    </row>
    <row r="11" ht="75" customHeight="1">
      <c r="B11" s="7" t="inlineStr">
        <is>
          <t>CL1(a)</t>
        </is>
      </c>
      <c r="C11" s="8" t="inlineStr">
        <is>
          <t>Climate leadership</t>
        </is>
      </c>
      <c r="D11" s="8" t="inlineStr">
        <is>
          <t>Annual Greenhouse Gas Inventory (including emissions scopes 1, 2 and 3) demonstrates carbon emission reductions, including maintaining procurement of 100% renewable electricity for all scope 2 sources[1]</t>
        </is>
      </c>
      <c r="E11" s="8" t="inlineStr">
        <is>
          <t>Quantitative only – removed from requirements matrix</t>
        </is>
      </c>
      <c r="F11" s="8" t="inlineStr">
        <is>
          <t>Y</t>
        </is>
      </c>
      <c r="G11" s="8" t="inlineStr">
        <is>
          <t>Total scope 1,2 and 3 emissions (tCO2-e); emissions by scope; % reduction from previous baseline; % renewable electircity produced</t>
        </is>
      </c>
      <c r="H11" s="10" t="inlineStr">
        <is>
          <t>Yes – data held (2023–2025)</t>
        </is>
      </c>
      <c r="I11" s="8" t="n">
        <v>78</v>
      </c>
      <c r="J11" s="8" t="inlineStr">
        <is>
          <t>ESG</t>
        </is>
      </c>
      <c r="K11" s="8" t="inlineStr">
        <is>
          <t>Owner confirms existing figures and provides CY2026 (provisional by 15 Dec, final Jan–Feb) – Tab 4 of owner's request</t>
        </is>
      </c>
      <c r="L11" s="8" t="inlineStr">
        <is>
          <t>ESG request – Tab 4</t>
        </is>
      </c>
      <c r="M11" s="8" t="inlineStr">
        <is>
          <t>Not started</t>
        </is>
      </c>
      <c r="N11" s="8" t="inlineStr"/>
    </row>
    <row r="12" ht="75" customHeight="1">
      <c r="B12" s="7" t="inlineStr">
        <is>
          <t>CL1(b)</t>
        </is>
      </c>
      <c r="C12" s="8" t="inlineStr">
        <is>
          <t>Climate leadership</t>
        </is>
      </c>
      <c r="D12" s="8" t="inlineStr">
        <is>
          <t>Development of Greenhouse Gas  intensity metrics</t>
        </is>
      </c>
      <c r="E12" s="8" t="inlineStr">
        <is>
          <t>Quantitative only – removed from requirements matrix</t>
        </is>
      </c>
      <c r="F12" s="8" t="inlineStr">
        <is>
          <t>Y</t>
        </is>
      </c>
      <c r="G12" s="8" t="inlineStr">
        <is>
          <t>Greenhouse gas emissions by FTE, EFTSL, and Gross floor area (https://www.unimelb.edu.au/sustainabilityreport/2025/data-tables#GHGe-scope)</t>
        </is>
      </c>
      <c r="H12" s="10" t="inlineStr">
        <is>
          <t>Yes – data held (2023–2025)</t>
        </is>
      </c>
      <c r="I12" s="8" t="n">
        <v>8</v>
      </c>
      <c r="J12" s="8" t="inlineStr">
        <is>
          <t>ESG</t>
        </is>
      </c>
      <c r="K12" s="8" t="inlineStr">
        <is>
          <t>Owner confirms existing figures and provides CY2026 (provisional by 15 Dec, final Jan–Feb) – Tab 4 of owner's request</t>
        </is>
      </c>
      <c r="L12" s="8" t="inlineStr">
        <is>
          <t>ESG request – Tab 4</t>
        </is>
      </c>
      <c r="M12" s="8" t="inlineStr">
        <is>
          <t>Not started</t>
        </is>
      </c>
      <c r="N12" s="8" t="inlineStr"/>
    </row>
    <row r="13" ht="75" customHeight="1">
      <c r="B13" s="7" t="inlineStr">
        <is>
          <t>CL1(c)</t>
        </is>
      </c>
      <c r="C13" s="8" t="inlineStr">
        <is>
          <t>Climate leadership</t>
        </is>
      </c>
      <c r="D13" s="8" t="inlineStr">
        <is>
          <t>Review of Climate Leadership targets by 2030.[2]</t>
        </is>
      </c>
      <c r="E13" s="8" t="inlineStr">
        <is>
          <t>Mixed – narrative in requirements matrix; metric here</t>
        </is>
      </c>
      <c r="F13" s="8" t="inlineStr">
        <is>
          <t>M</t>
        </is>
      </c>
      <c r="G13" s="8" t="inlineStr"/>
      <c r="H13" s="12" t="inlineStr">
        <is>
          <t>No</t>
        </is>
      </c>
      <c r="I13" s="8" t="n">
        <v>0</v>
      </c>
      <c r="J13" s="8" t="inlineStr">
        <is>
          <t>ESG</t>
        </is>
      </c>
      <c r="K13" s="8" t="inlineStr">
        <is>
          <t>Not in Databook – decide: add metric to Databook, or report this indicator qualitatively only</t>
        </is>
      </c>
      <c r="L13" s="8" t="inlineStr"/>
      <c r="M13" s="8" t="inlineStr">
        <is>
          <t>Not started</t>
        </is>
      </c>
      <c r="N13" s="8" t="inlineStr"/>
    </row>
    <row r="14" ht="75" customHeight="1">
      <c r="B14" s="7" t="inlineStr">
        <is>
          <t>CL2(a)</t>
        </is>
      </c>
      <c r="C14" s="8" t="inlineStr">
        <is>
          <t>Climate leadership</t>
        </is>
      </c>
      <c r="D14" s="8" t="inlineStr">
        <is>
          <t>By 2028, develop and document institutional mapping of research and education activities that are designed to contribute to global decarbonisation</t>
        </is>
      </c>
      <c r="E14" s="8" t="inlineStr">
        <is>
          <t>Mixed – narrative in requirements matrix; metric here</t>
        </is>
      </c>
      <c r="F14" s="8" t="inlineStr">
        <is>
          <t>M</t>
        </is>
      </c>
      <c r="G14" s="8" t="inlineStr">
        <is>
          <t>Number of relevant research projects/programs mapped; number of relevant subjects mapped</t>
        </is>
      </c>
      <c r="H14" s="11" t="inlineStr">
        <is>
          <t>Yes – metrics defined, no data yet</t>
        </is>
      </c>
      <c r="I14" s="8" t="n">
        <v>2</v>
      </c>
      <c r="J14" s="8" t="inlineStr">
        <is>
          <t>SST</t>
        </is>
      </c>
      <c r="K14" s="8" t="inlineStr">
        <is>
          <t>SST – compiled from faculty and CI&amp;S responses</t>
        </is>
      </c>
      <c r="L14" s="8" t="inlineStr"/>
      <c r="M14" s="8" t="inlineStr">
        <is>
          <t>Not started</t>
        </is>
      </c>
      <c r="N14" s="8" t="inlineStr"/>
    </row>
    <row r="15" ht="75" customHeight="1">
      <c r="B15" s="7" t="inlineStr">
        <is>
          <t>CL2(b)</t>
        </is>
      </c>
      <c r="C15" s="8" t="inlineStr">
        <is>
          <t>Climate leadership</t>
        </is>
      </c>
      <c r="D15" s="8" t="inlineStr">
        <is>
          <t>Prioritised pipeline of decarbonisation focused research and education opportunities aligned with University emissions reduction priorities from 2028</t>
        </is>
      </c>
      <c r="E15" s="8" t="inlineStr">
        <is>
          <t>Quantitative only – removed from requirements matrix</t>
        </is>
      </c>
      <c r="F15" s="8" t="inlineStr">
        <is>
          <t>Y</t>
        </is>
      </c>
      <c r="G15" s="8" t="inlineStr">
        <is>
          <t>Number of pipelined projects or research transitioned from opportunity to active per year</t>
        </is>
      </c>
      <c r="H15" s="11" t="inlineStr">
        <is>
          <t>Yes – metrics defined, no data yet</t>
        </is>
      </c>
      <c r="I15" s="8" t="n">
        <v>1</v>
      </c>
      <c r="J15" s="8" t="inlineStr">
        <is>
          <t>SST</t>
        </is>
      </c>
      <c r="K15" s="8" t="inlineStr">
        <is>
          <t>SST – compiled from faculty and CI&amp;S responses</t>
        </is>
      </c>
      <c r="L15" s="8" t="inlineStr"/>
      <c r="M15" s="8" t="inlineStr">
        <is>
          <t>Not started</t>
        </is>
      </c>
      <c r="N15" s="8" t="inlineStr"/>
    </row>
    <row r="16" ht="75" customHeight="1">
      <c r="B16" s="7" t="inlineStr">
        <is>
          <t>CL2(c)</t>
        </is>
      </c>
      <c r="C16" s="8" t="inlineStr">
        <is>
          <t>Climate leadership</t>
        </is>
      </c>
      <c r="D16" s="8" t="inlineStr">
        <is>
          <t>Ongoing communications that evidence the University’s climate action, research and learning to inform policy, sector and community decarbonisation efforts.</t>
        </is>
      </c>
      <c r="E16" s="8" t="inlineStr">
        <is>
          <t>Mixed – narrative in requirements matrix; metric here</t>
        </is>
      </c>
      <c r="F16" s="8" t="inlineStr">
        <is>
          <t>M</t>
        </is>
      </c>
      <c r="G16" s="8" t="inlineStr">
        <is>
          <t>Annual count of published documents, policy briefs, or public engagement events; number of policy/sector engagement; # views of communication material</t>
        </is>
      </c>
      <c r="H16" s="11" t="inlineStr">
        <is>
          <t>Yes – metrics defined, no data yet</t>
        </is>
      </c>
      <c r="I16" s="8" t="n">
        <v>2</v>
      </c>
      <c r="J16" s="8" t="inlineStr">
        <is>
          <t>SST</t>
        </is>
      </c>
      <c r="K16" s="8" t="inlineStr">
        <is>
          <t>SST – compiled from faculty and CI&amp;S responses</t>
        </is>
      </c>
      <c r="L16" s="8" t="inlineStr"/>
      <c r="M16" s="8" t="inlineStr">
        <is>
          <t>Not started</t>
        </is>
      </c>
      <c r="N16" s="8" t="inlineStr"/>
    </row>
    <row r="17" ht="75" customHeight="1">
      <c r="B17" s="7" t="inlineStr">
        <is>
          <t>CL3(a)</t>
        </is>
      </c>
      <c r="C17" s="8" t="inlineStr">
        <is>
          <t>Climate leadership</t>
        </is>
      </c>
      <c r="D17"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8" t="inlineStr">
        <is>
          <t>Mixed – narrative in requirements matrix; metric here</t>
        </is>
      </c>
      <c r="F17" s="8" t="inlineStr">
        <is>
          <t>M</t>
        </is>
      </c>
      <c r="G17" s="8" t="inlineStr">
        <is>
          <t>Maturity score by function; overall/average maturity score; % functions raching target maturity level</t>
        </is>
      </c>
      <c r="H17" s="11" t="inlineStr">
        <is>
          <t>Yes – metrics defined, no data yet</t>
        </is>
      </c>
      <c r="I17" s="8" t="n">
        <v>7</v>
      </c>
      <c r="J17" s="8" t="inlineStr">
        <is>
          <t>CI&amp;S</t>
        </is>
      </c>
      <c r="K17" s="8" t="inlineStr">
        <is>
          <t>Owner provides CY2026 (and earlier years if available) and confirms metric definition – Tab 4 of owner's request</t>
        </is>
      </c>
      <c r="L17" s="8" t="inlineStr">
        <is>
          <t>CI&amp;S request – Tab 4</t>
        </is>
      </c>
      <c r="M17" s="8" t="inlineStr">
        <is>
          <t>Not started</t>
        </is>
      </c>
      <c r="N17" s="8" t="inlineStr"/>
    </row>
    <row r="18" ht="75" customHeight="1">
      <c r="B18" s="7" t="inlineStr">
        <is>
          <t>NB1(a)</t>
        </is>
      </c>
      <c r="C18" s="8" t="inlineStr">
        <is>
          <t>Nature and biodiversity</t>
        </is>
      </c>
      <c r="D18" s="8" t="inlineStr">
        <is>
          <t>Monitoring of biodiversity metrics from the Biodiversity Baseline Data Project</t>
        </is>
      </c>
      <c r="E18" s="8" t="inlineStr">
        <is>
          <t>Quantitative only – removed from requirements matrix</t>
        </is>
      </c>
      <c r="F18" s="8" t="inlineStr">
        <is>
          <t>Y</t>
        </is>
      </c>
      <c r="G18" s="8" t="inlineStr">
        <is>
          <t>7 diversity metrics from https://sustainablecampus.unimelb.edu.au/biodiversity/biodiversity-baseline-data-project#main-content</t>
        </is>
      </c>
      <c r="H18" s="10" t="inlineStr">
        <is>
          <t>Yes – data held (2025)</t>
        </is>
      </c>
      <c r="I18" s="8" t="n">
        <v>63</v>
      </c>
      <c r="J18" s="8" t="inlineStr">
        <is>
          <t>ESG</t>
        </is>
      </c>
      <c r="K18" s="8" t="inlineStr">
        <is>
          <t>Owner confirms existing figures and provides CY2026 (provisional by 15 Dec, final Jan–Feb) – Tab 4 of owner's request</t>
        </is>
      </c>
      <c r="L18" s="8" t="inlineStr">
        <is>
          <t>ESG request – Tab 4</t>
        </is>
      </c>
      <c r="M18" s="8" t="inlineStr">
        <is>
          <t>Not started</t>
        </is>
      </c>
      <c r="N18" s="8" t="inlineStr"/>
    </row>
    <row r="19" ht="75" customHeight="1">
      <c r="B19" s="7" t="inlineStr">
        <is>
          <t>NB1(b)</t>
        </is>
      </c>
      <c r="C19" s="8" t="inlineStr">
        <is>
          <t>Nature and biodiversity</t>
        </is>
      </c>
      <c r="D19" s="8" t="inlineStr">
        <is>
          <t>Size, health and diversity of remnant vegetation at the Dookie and Creswick campuses</t>
        </is>
      </c>
      <c r="E19" s="8" t="inlineStr">
        <is>
          <t>Mixed – narrative in requirements matrix; metric here</t>
        </is>
      </c>
      <c r="F19" s="8" t="inlineStr">
        <is>
          <t>Y</t>
        </is>
      </c>
      <c r="G19" s="8" t="inlineStr"/>
      <c r="H19" s="12" t="inlineStr">
        <is>
          <t>No</t>
        </is>
      </c>
      <c r="I19" s="8" t="n">
        <v>0</v>
      </c>
      <c r="J19" s="8" t="inlineStr">
        <is>
          <t>ESG</t>
        </is>
      </c>
      <c r="K19" s="8" t="inlineStr">
        <is>
          <t>Not in Databook – decide: add metric to Databook, or report this indicator qualitatively only</t>
        </is>
      </c>
      <c r="L19" s="8" t="inlineStr"/>
      <c r="M19" s="8" t="inlineStr">
        <is>
          <t>Not started</t>
        </is>
      </c>
      <c r="N19" s="8" t="inlineStr"/>
    </row>
    <row r="20" ht="75" customHeight="1">
      <c r="B20" s="7" t="inlineStr">
        <is>
          <t>NB1(c)</t>
        </is>
      </c>
      <c r="C20" s="8" t="inlineStr">
        <is>
          <t>Nature and biodiversity</t>
        </is>
      </c>
      <c r="D20" s="8" t="inlineStr">
        <is>
          <t>Defined quality measurement framework</t>
        </is>
      </c>
      <c r="E20" s="8" t="inlineStr">
        <is>
          <t>Mixed – narrative in requirements matrix; metric here</t>
        </is>
      </c>
      <c r="F20" s="8" t="inlineStr">
        <is>
          <t>M</t>
        </is>
      </c>
      <c r="G20" s="8" t="inlineStr"/>
      <c r="H20" s="12" t="inlineStr">
        <is>
          <t>No</t>
        </is>
      </c>
      <c r="I20" s="8" t="n">
        <v>0</v>
      </c>
      <c r="J20" s="8" t="inlineStr">
        <is>
          <t>ESG</t>
        </is>
      </c>
      <c r="K20" s="8" t="inlineStr">
        <is>
          <t>Not in Databook – decide: add metric to Databook, or report this indicator qualitatively only</t>
        </is>
      </c>
      <c r="L20" s="8" t="inlineStr"/>
      <c r="M20" s="8" t="inlineStr">
        <is>
          <t>Not started</t>
        </is>
      </c>
      <c r="N20" s="8" t="inlineStr"/>
    </row>
    <row r="21" ht="75" customHeight="1">
      <c r="B21" s="7" t="inlineStr">
        <is>
          <t>NB1(d)</t>
        </is>
      </c>
      <c r="C21" s="8" t="inlineStr">
        <is>
          <t>Nature and biodiversity</t>
        </is>
      </c>
      <c r="D21" s="8" t="inlineStr">
        <is>
          <t>Defined and quantified campus connectivity</t>
        </is>
      </c>
      <c r="E21" s="8" t="inlineStr">
        <is>
          <t>Mixed – narrative in requirements matrix; metric here</t>
        </is>
      </c>
      <c r="F21" s="8" t="inlineStr">
        <is>
          <t>M</t>
        </is>
      </c>
      <c r="G21" s="8" t="inlineStr">
        <is>
          <t>Please provide the current definition and quantified assessment of campus ecological connectivity, could include the methodology used, campuses covered, baseline or benchmark values, and any material change over the reporting period.</t>
        </is>
      </c>
      <c r="H21" s="12" t="inlineStr">
        <is>
          <t>No</t>
        </is>
      </c>
      <c r="I21" s="8" t="n">
        <v>0</v>
      </c>
      <c r="J21" s="8" t="inlineStr">
        <is>
          <t>ESG</t>
        </is>
      </c>
      <c r="K21" s="8" t="inlineStr">
        <is>
          <t>Not in Databook – decide: add metric to Databook, or report this indicator qualitatively only</t>
        </is>
      </c>
      <c r="L21" s="8" t="inlineStr"/>
      <c r="M21" s="8" t="inlineStr">
        <is>
          <t>Not started</t>
        </is>
      </c>
      <c r="N21" s="8" t="inlineStr"/>
    </row>
    <row r="22" ht="75" customHeight="1">
      <c r="B22" s="7" t="inlineStr">
        <is>
          <t>NB2(a)</t>
        </is>
      </c>
      <c r="C22" s="8" t="inlineStr">
        <is>
          <t>Nature and biodiversity</t>
        </is>
      </c>
      <c r="D22" s="8" t="inlineStr">
        <is>
          <t>Documented baseline nature footprint analysis</t>
        </is>
      </c>
      <c r="E22" s="8" t="inlineStr">
        <is>
          <t>Mixed – narrative in requirements matrix; metric here</t>
        </is>
      </c>
      <c r="F22" s="8" t="inlineStr">
        <is>
          <t>Y</t>
        </is>
      </c>
      <c r="G22" s="8" t="inlineStr">
        <is>
          <t>Impact Encore Measurement</t>
        </is>
      </c>
      <c r="H22" s="11" t="inlineStr">
        <is>
          <t>Yes – metrics defined, no data yet</t>
        </is>
      </c>
      <c r="I22" s="8" t="n">
        <v>7</v>
      </c>
      <c r="J22" s="8" t="inlineStr">
        <is>
          <t>MRE</t>
        </is>
      </c>
      <c r="K22" s="8" t="inlineStr">
        <is>
          <t>Owner provides CY2026 (and earlier years if available) and confirms metric definition – Tab 4 of owner's request</t>
        </is>
      </c>
      <c r="L22" s="8" t="inlineStr">
        <is>
          <t>MRE request – Tab 4</t>
        </is>
      </c>
      <c r="M22" s="8" t="inlineStr">
        <is>
          <t>Not started</t>
        </is>
      </c>
      <c r="N22" s="8" t="inlineStr"/>
    </row>
    <row r="23" ht="75" customHeight="1">
      <c r="B23" s="7" t="inlineStr">
        <is>
          <t>AI1(a)</t>
        </is>
      </c>
      <c r="C23" s="8" t="inlineStr">
        <is>
          <t>Responsible AI</t>
        </is>
      </c>
      <c r="D23" s="8" t="inlineStr">
        <is>
          <t>Established measurement of estimated operational impacts and opportunities (eg operational impacts could include energy, water, emissions and intensity measures)</t>
        </is>
      </c>
      <c r="E23" s="8" t="inlineStr">
        <is>
          <t>Mixed – narrative in requirements matrix; metric here</t>
        </is>
      </c>
      <c r="F23" s="8" t="inlineStr">
        <is>
          <t>M</t>
        </is>
      </c>
      <c r="G23" s="8" t="inlineStr">
        <is>
          <t>Pending denominator</t>
        </is>
      </c>
      <c r="H23" s="12" t="inlineStr">
        <is>
          <t>No</t>
        </is>
      </c>
      <c r="I23" s="8" t="n">
        <v>0</v>
      </c>
      <c r="J23" s="8" t="inlineStr">
        <is>
          <t>CIOG</t>
        </is>
      </c>
      <c r="K23" s="8" t="inlineStr">
        <is>
          <t>Not in Databook – decide: add metric to Databook, or report this indicator qualitatively only</t>
        </is>
      </c>
      <c r="L23" s="8" t="inlineStr"/>
      <c r="M23" s="8" t="inlineStr">
        <is>
          <t>Not started</t>
        </is>
      </c>
      <c r="N23" s="8" t="inlineStr"/>
    </row>
    <row r="24" ht="75" customHeight="1">
      <c r="B24" s="7" t="inlineStr">
        <is>
          <t>EI1(a)</t>
        </is>
      </c>
      <c r="C24" s="8" t="inlineStr">
        <is>
          <t>Estate and infrastructure</t>
        </is>
      </c>
      <c r="D24" s="8" t="inlineStr">
        <is>
          <t>Evidence of increased maturity of estate and infrastructure planning, development and operations to support the other priority areas in Sustainability 2030</t>
        </is>
      </c>
      <c r="E24" s="8" t="inlineStr">
        <is>
          <t>Mixed – narrative in requirements matrix; metric here</t>
        </is>
      </c>
      <c r="F24" s="8" t="inlineStr">
        <is>
          <t>M</t>
        </is>
      </c>
      <c r="G24" s="8" t="inlineStr">
        <is>
          <t>qual, climate resilience?,</t>
        </is>
      </c>
      <c r="H24" s="12" t="inlineStr">
        <is>
          <t>No</t>
        </is>
      </c>
      <c r="I24" s="8" t="n">
        <v>0</v>
      </c>
      <c r="J24" s="8" t="inlineStr">
        <is>
          <t>CI&amp;S</t>
        </is>
      </c>
      <c r="K24" s="8" t="inlineStr">
        <is>
          <t>Not in Databook – decide: add metric to Databook, or report this indicator qualitatively only</t>
        </is>
      </c>
      <c r="L24" s="8" t="inlineStr"/>
      <c r="M24" s="8" t="inlineStr">
        <is>
          <t>Not started</t>
        </is>
      </c>
      <c r="N24" s="8" t="inlineStr"/>
    </row>
    <row r="25" ht="75" customHeight="1">
      <c r="B25" s="7" t="inlineStr">
        <is>
          <t>EI1(b)</t>
        </is>
      </c>
      <c r="C25" s="8" t="inlineStr">
        <is>
          <t>Estate and infrastructure</t>
        </is>
      </c>
      <c r="D25" s="8" t="inlineStr">
        <is>
          <t>Estimated sustainability impacts of the University’s estate and infrastructure capital plan to inform progress towards emissions reduction targets and other priority areas (to the extent enabled by available information)</t>
        </is>
      </c>
      <c r="E25" s="8" t="inlineStr">
        <is>
          <t>Mixed – narrative in requirements matrix; metric here</t>
        </is>
      </c>
      <c r="F25" s="8" t="inlineStr">
        <is>
          <t>M</t>
        </is>
      </c>
      <c r="G25" s="8" t="inlineStr">
        <is>
          <t>Forecast operational emission (tCO2-e); expected energy consumptions/savings; expected water impact; expected waste material impact; potential biodiversity impact</t>
        </is>
      </c>
      <c r="H25" s="12" t="inlineStr">
        <is>
          <t>No</t>
        </is>
      </c>
      <c r="I25" s="8" t="n">
        <v>0</v>
      </c>
      <c r="J25" s="8" t="inlineStr">
        <is>
          <t>CI&amp;S</t>
        </is>
      </c>
      <c r="K25" s="8" t="inlineStr">
        <is>
          <t>Not in Databook – decide: add metric to Databook, or report this indicator qualitatively only</t>
        </is>
      </c>
      <c r="L25" s="8" t="inlineStr"/>
      <c r="M25" s="8" t="inlineStr">
        <is>
          <t>Not started</t>
        </is>
      </c>
      <c r="N25" s="8" t="inlineStr"/>
    </row>
    <row r="26" ht="75" customHeight="1">
      <c r="B26" s="7" t="inlineStr">
        <is>
          <t>EI1(c)</t>
        </is>
      </c>
      <c r="C26" s="8" t="inlineStr">
        <is>
          <t>Estate and infrastructure</t>
        </is>
      </c>
      <c r="D26" s="8" t="inlineStr">
        <is>
          <t>Reporting on relevant activities and impacts for the University’s major estate and infrastructure projects and programs aligned with the other priority areas in Sustainability 2030</t>
        </is>
      </c>
      <c r="E26" s="8" t="inlineStr">
        <is>
          <t>Mixed – narrative in requirements matrix; metric here</t>
        </is>
      </c>
      <c r="F26" s="8" t="inlineStr">
        <is>
          <t>M</t>
        </is>
      </c>
      <c r="G26" s="8" t="inlineStr">
        <is>
          <t>case by case</t>
        </is>
      </c>
      <c r="H26" s="12" t="inlineStr">
        <is>
          <t>No</t>
        </is>
      </c>
      <c r="I26" s="8" t="n">
        <v>0</v>
      </c>
      <c r="J26" s="8" t="inlineStr">
        <is>
          <t>CI&amp;S</t>
        </is>
      </c>
      <c r="K26" s="8" t="inlineStr">
        <is>
          <t>Not in Databook – decide: add metric to Databook, or report this indicator qualitatively only</t>
        </is>
      </c>
      <c r="L26" s="8" t="inlineStr"/>
      <c r="M26" s="8" t="inlineStr">
        <is>
          <t>Not started</t>
        </is>
      </c>
      <c r="N26" s="8" t="inlineStr"/>
    </row>
    <row r="27" ht="75" customHeight="1">
      <c r="B27" s="7" t="inlineStr">
        <is>
          <t>CE1(a)</t>
        </is>
      </c>
      <c r="C27" s="8" t="inlineStr">
        <is>
          <t>Circular economy</t>
        </is>
      </c>
      <c r="D27" s="8" t="inlineStr">
        <is>
          <t>Comparison of year-to-year tonnes of waste (absolute).</t>
        </is>
      </c>
      <c r="E27" s="8" t="inlineStr">
        <is>
          <t>Quantitative only – removed from requirements matrix</t>
        </is>
      </c>
      <c r="F27" s="8" t="inlineStr">
        <is>
          <t>Y</t>
        </is>
      </c>
      <c r="G27" s="8" t="inlineStr">
        <is>
          <t>tonnes of waste; % change against previous baseline</t>
        </is>
      </c>
      <c r="H27" s="10" t="inlineStr">
        <is>
          <t>Yes – data held (2023–2025)</t>
        </is>
      </c>
      <c r="I27" s="8" t="n">
        <v>3</v>
      </c>
      <c r="J27" s="8" t="inlineStr">
        <is>
          <t>ESG</t>
        </is>
      </c>
      <c r="K27" s="8" t="inlineStr">
        <is>
          <t>Owner confirms existing figures and provides CY2026 (provisional by 15 Dec, final Jan–Feb) – Tab 4 of owner's request</t>
        </is>
      </c>
      <c r="L27" s="8" t="inlineStr">
        <is>
          <t>ESG request – Tab 4</t>
        </is>
      </c>
      <c r="M27" s="8" t="inlineStr">
        <is>
          <t>Not started</t>
        </is>
      </c>
      <c r="N27" s="8" t="inlineStr"/>
    </row>
    <row r="28" ht="75" customHeight="1">
      <c r="B28" s="7" t="inlineStr">
        <is>
          <t>CE2(a)</t>
        </is>
      </c>
      <c r="C28" s="8" t="inlineStr">
        <is>
          <t>Circular economy</t>
        </is>
      </c>
      <c r="D28" s="8" t="inlineStr">
        <is>
          <t>Comparison of year-to-year tonnes of recyclables (absolute).</t>
        </is>
      </c>
      <c r="E28" s="8" t="inlineStr">
        <is>
          <t>Quantitative only – removed from requirements matrix</t>
        </is>
      </c>
      <c r="F28" s="8" t="inlineStr">
        <is>
          <t>Y</t>
        </is>
      </c>
      <c r="G28" s="8" t="inlineStr">
        <is>
          <t>waste diversion rate; tonnes diverted from landfill; % change against previous baseline</t>
        </is>
      </c>
      <c r="H28" s="10" t="inlineStr">
        <is>
          <t>Yes – data held (2023–2025)</t>
        </is>
      </c>
      <c r="I28" s="8" t="n">
        <v>3</v>
      </c>
      <c r="J28" s="8" t="inlineStr">
        <is>
          <t>ESG</t>
        </is>
      </c>
      <c r="K28" s="8" t="inlineStr">
        <is>
          <t>Owner confirms existing figures and provides CY2026 (provisional by 15 Dec, final Jan–Feb) – Tab 4 of owner's request</t>
        </is>
      </c>
      <c r="L28" s="8" t="inlineStr">
        <is>
          <t>ESG request – Tab 4</t>
        </is>
      </c>
      <c r="M28" s="8" t="inlineStr">
        <is>
          <t>Not started</t>
        </is>
      </c>
      <c r="N28" s="8" t="inlineStr"/>
    </row>
    <row r="29" ht="75" customHeight="1">
      <c r="B29" s="7" t="inlineStr">
        <is>
          <t>RP1(a)</t>
        </is>
      </c>
      <c r="C29" s="8" t="inlineStr">
        <is>
          <t>Responsible procurement</t>
        </is>
      </c>
      <c r="D29" s="8" t="inlineStr">
        <is>
          <t>Case studies of maturity improvement related to responsible procurement process and systems.</t>
        </is>
      </c>
      <c r="E29" s="8" t="inlineStr">
        <is>
          <t>Mixed – narrative in requirements matrix; metric here</t>
        </is>
      </c>
      <c r="F29" s="8" t="inlineStr">
        <is>
          <t>Y</t>
        </is>
      </c>
      <c r="G29" s="8" t="inlineStr">
        <is>
          <t>Maturity score if framework established; % procurement staff trained</t>
        </is>
      </c>
      <c r="H29" s="12" t="inlineStr">
        <is>
          <t>No</t>
        </is>
      </c>
      <c r="I29" s="8" t="n">
        <v>0</v>
      </c>
      <c r="J29" s="8" t="inlineStr">
        <is>
          <t>CFOG</t>
        </is>
      </c>
      <c r="K29" s="8" t="inlineStr">
        <is>
          <t>Not in Databook – decide: add metric to Databook, or report this indicator qualitatively only</t>
        </is>
      </c>
      <c r="L29" s="8" t="inlineStr"/>
      <c r="M29" s="8" t="inlineStr">
        <is>
          <t>Not started</t>
        </is>
      </c>
      <c r="N29" s="8" t="inlineStr"/>
    </row>
    <row r="30" ht="75" customHeight="1">
      <c r="B30" s="7" t="inlineStr">
        <is>
          <t>RP2(a)</t>
        </is>
      </c>
      <c r="C30" s="8" t="inlineStr">
        <is>
          <t>Responsible procurement</t>
        </is>
      </c>
      <c r="D30" s="8" t="inlineStr">
        <is>
          <t>Percentage of Indigenous spend of total addressable procurement spend</t>
        </is>
      </c>
      <c r="E30" s="8" t="inlineStr">
        <is>
          <t>Quantitative only – removed from requirements matrix</t>
        </is>
      </c>
      <c r="F30" s="8" t="inlineStr">
        <is>
          <t>Y</t>
        </is>
      </c>
      <c r="G30" s="8" t="inlineStr">
        <is>
          <t>Percentage of Indigenous spend of total addressable procurement spend</t>
        </is>
      </c>
      <c r="H30" s="11" t="inlineStr">
        <is>
          <t>Yes – metrics defined, no data yet</t>
        </is>
      </c>
      <c r="I30" s="8" t="n">
        <v>3</v>
      </c>
      <c r="J30" s="8" t="inlineStr">
        <is>
          <t>CFOG</t>
        </is>
      </c>
      <c r="K30" s="8" t="inlineStr">
        <is>
          <t>Owner provides CY2026 (and earlier years if available) and confirms metric definition – Tab 4 of owner's request</t>
        </is>
      </c>
      <c r="L30" s="8" t="inlineStr">
        <is>
          <t>CFOG request – Tab 4</t>
        </is>
      </c>
      <c r="M30" s="8" t="inlineStr">
        <is>
          <t>Not started</t>
        </is>
      </c>
      <c r="N30" s="8" t="inlineStr"/>
    </row>
    <row r="31" ht="75" customHeight="1">
      <c r="B31" s="7" t="inlineStr">
        <is>
          <t>RP2(b)</t>
        </is>
      </c>
      <c r="C31" s="8" t="inlineStr">
        <is>
          <t>Responsible procurement</t>
        </is>
      </c>
      <c r="D31" s="8" t="inlineStr">
        <is>
          <t>Percentage of social spend of total addressable procurement spend.</t>
        </is>
      </c>
      <c r="E31" s="8" t="inlineStr">
        <is>
          <t>Quantitative only – removed from requirements matrix</t>
        </is>
      </c>
      <c r="F31" s="8" t="inlineStr">
        <is>
          <t>Y</t>
        </is>
      </c>
      <c r="G31" s="8" t="inlineStr">
        <is>
          <t>Percentage of social spend of total addressable procurement spend.</t>
        </is>
      </c>
      <c r="H31" s="11" t="inlineStr">
        <is>
          <t>Yes – metrics defined, no data yet</t>
        </is>
      </c>
      <c r="I31" s="8" t="n">
        <v>3</v>
      </c>
      <c r="J31" s="8" t="inlineStr">
        <is>
          <t>CFOG</t>
        </is>
      </c>
      <c r="K31" s="8" t="inlineStr">
        <is>
          <t>Owner provides CY2026 (and earlier years if available) and confirms metric definition – Tab 4 of owner's request</t>
        </is>
      </c>
      <c r="L31" s="8" t="inlineStr">
        <is>
          <t>CFOG request – Tab 4</t>
        </is>
      </c>
      <c r="M31" s="8" t="inlineStr">
        <is>
          <t>Not started</t>
        </is>
      </c>
      <c r="N31" s="8" t="inlineStr"/>
    </row>
    <row r="32" ht="75" customHeight="1">
      <c r="B32" s="7" t="inlineStr">
        <is>
          <t>RI1(a)</t>
        </is>
      </c>
      <c r="C32" s="8" t="inlineStr">
        <is>
          <t>Responsible investments</t>
        </is>
      </c>
      <c r="D32" s="8" t="inlineStr">
        <is>
          <t>Annual monitoring and reporting on the investment portfolio’s net zero transition progress, including tracking the percentage of assets under management (AUM) managed by investment managers aligned with (or committed to) net zero by 2050</t>
        </is>
      </c>
      <c r="E32" s="8" t="inlineStr">
        <is>
          <t>Quantitative only – removed from requirements matrix</t>
        </is>
      </c>
      <c r="F32" s="8" t="inlineStr">
        <is>
          <t>Y</t>
        </is>
      </c>
      <c r="G32" s="8" t="inlineStr">
        <is>
          <t>Percentage of AUM managed by investment managers aligned with net zero by 2050</t>
        </is>
      </c>
      <c r="H32" s="11" t="inlineStr">
        <is>
          <t>Yes – metrics defined, no data yet</t>
        </is>
      </c>
      <c r="I32" s="8" t="n">
        <v>3</v>
      </c>
      <c r="J32" s="8" t="inlineStr">
        <is>
          <t>CFOG</t>
        </is>
      </c>
      <c r="K32" s="8" t="inlineStr">
        <is>
          <t>Owner provides CY2026 (and earlier years if available) and confirms metric definition – Tab 4 of owner's request</t>
        </is>
      </c>
      <c r="L32" s="8" t="inlineStr">
        <is>
          <t>CFOG request – Tab 4</t>
        </is>
      </c>
      <c r="M32" s="8" t="inlineStr">
        <is>
          <t>Not started</t>
        </is>
      </c>
      <c r="N32" s="8" t="inlineStr"/>
    </row>
    <row r="33" ht="75" customHeight="1">
      <c r="B33" s="7" t="inlineStr">
        <is>
          <t>RI1(b)</t>
        </is>
      </c>
      <c r="C33" s="8" t="inlineStr">
        <is>
          <t>Responsible investments</t>
        </is>
      </c>
      <c r="D33" s="8" t="inlineStr">
        <is>
          <t>Continuous improvement of the reporting of the University’s sustainability-related investment profile metrics, could include investment in climate mitigation and transition solutions, and compliance with related obligations (eg UNPRI).</t>
        </is>
      </c>
      <c r="E33" s="8" t="inlineStr">
        <is>
          <t>Mixed – narrative in requirements matrix; metric here</t>
        </is>
      </c>
      <c r="F33" s="8" t="inlineStr">
        <is>
          <t>M</t>
        </is>
      </c>
      <c r="G33" s="8" t="inlineStr">
        <is>
          <t>$ and % AUM invested in climate/transition solution</t>
        </is>
      </c>
      <c r="H33" s="10" t="inlineStr">
        <is>
          <t>Yes – data held (2023–2025)</t>
        </is>
      </c>
      <c r="I33" s="8" t="n">
        <v>23</v>
      </c>
      <c r="J33" s="8" t="inlineStr">
        <is>
          <t>CFOG</t>
        </is>
      </c>
      <c r="K33" s="8" t="inlineStr">
        <is>
          <t>Owner confirms existing figures and provides CY2026 (provisional by 15 Dec, final Jan–Feb) – Tab 4 of owner's request</t>
        </is>
      </c>
      <c r="L33" s="8" t="inlineStr">
        <is>
          <t>CFOG request – Tab 4</t>
        </is>
      </c>
      <c r="M33" s="8" t="inlineStr">
        <is>
          <t>Not started</t>
        </is>
      </c>
      <c r="N33" s="8" t="inlineStr"/>
    </row>
    <row r="34" ht="75" customHeight="1">
      <c r="B34" s="7" t="inlineStr">
        <is>
          <t>EN1(b)</t>
        </is>
      </c>
      <c r="C34" s="8" t="inlineStr">
        <is>
          <t>Enablers</t>
        </is>
      </c>
      <c r="D34" s="8" t="inlineStr">
        <is>
          <t>Living laboratories enabling applied learning, research and operational sustainability outcomes</t>
        </is>
      </c>
      <c r="E34" s="8" t="inlineStr">
        <is>
          <t>Mixed – narrative in requirements matrix; metric here</t>
        </is>
      </c>
      <c r="F34" s="8" t="inlineStr">
        <is>
          <t>M</t>
        </is>
      </c>
      <c r="G34" s="8" t="inlineStr">
        <is>
          <t>Number of projects funded; $ project funding</t>
        </is>
      </c>
      <c r="H34" s="11" t="inlineStr">
        <is>
          <t>Yes – metrics defined, no data yet</t>
        </is>
      </c>
      <c r="I34" s="8" t="n">
        <v>2</v>
      </c>
      <c r="J34" s="8" t="inlineStr">
        <is>
          <t>CI&amp;S</t>
        </is>
      </c>
      <c r="K34" s="8" t="inlineStr">
        <is>
          <t>Owner provides CY2026 (and earlier years if available) and confirms metric definition – Tab 4 of owner's request</t>
        </is>
      </c>
      <c r="L34" s="8" t="inlineStr">
        <is>
          <t>CI&amp;S request – Tab 4</t>
        </is>
      </c>
      <c r="M34" s="8" t="inlineStr">
        <is>
          <t>Not started</t>
        </is>
      </c>
      <c r="N34" s="8"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c r="A1" s="1" t="inlineStr">
        <is>
          <t>↑</t>
        </is>
      </c>
      <c r="B1" s="2" t="inlineStr">
        <is>
          <t>End-2026 target status assessment and reporting</t>
        </is>
      </c>
    </row>
    <row r="2">
      <c r="B2" s="3" t="inlineStr">
        <is>
          <t>2b. Databook register (data points)</t>
        </is>
      </c>
    </row>
    <row r="3" ht="32" customHeight="1">
      <c r="B3" s="9" t="inlineStr">
        <is>
          <t>Every data point in the Databook draft. Baseline–CY2025 are copied from the draft for context. Complete the yellow columns as owners confirm figures (SR26 approach: definition, boundary, period, source, owner, quality note and confirmation for each figure).</t>
        </is>
      </c>
    </row>
    <row r="5">
      <c r="B5" s="6" t="inlineStr">
        <is>
          <t>Ref</t>
        </is>
      </c>
      <c r="C5" s="6" t="inlineStr">
        <is>
          <t>Priority area</t>
        </is>
      </c>
      <c r="D5" s="6" t="inlineStr">
        <is>
          <t>Indicator</t>
        </is>
      </c>
      <c r="E5" s="6" t="inlineStr">
        <is>
          <t>Metric</t>
        </is>
      </c>
      <c r="F5" s="6" t="inlineStr">
        <is>
          <t>Unit</t>
        </is>
      </c>
      <c r="G5" s="6" t="inlineStr">
        <is>
          <t>Baseline</t>
        </is>
      </c>
      <c r="H5" s="6" t="inlineStr">
        <is>
          <t>CY2023</t>
        </is>
      </c>
      <c r="I5" s="6" t="inlineStr">
        <is>
          <t>CY2024</t>
        </is>
      </c>
      <c r="J5" s="6" t="inlineStr">
        <is>
          <t>CY2025</t>
        </is>
      </c>
      <c r="K5" s="6" t="inlineStr">
        <is>
          <t>CY2026</t>
        </is>
      </c>
      <c r="L5" s="6" t="inlineStr">
        <is>
          <t>Data status</t>
        </is>
      </c>
      <c r="M5" s="6" t="inlineStr">
        <is>
          <t>Data owner</t>
        </is>
      </c>
      <c r="N5" s="6" t="inlineStr">
        <is>
          <t>Definition</t>
        </is>
      </c>
      <c r="O5" s="6" t="inlineStr">
        <is>
          <t>Reporting boundary</t>
        </is>
      </c>
      <c r="P5" s="6" t="inlineStr">
        <is>
          <t>Source system</t>
        </is>
      </c>
      <c r="Q5" s="6" t="inlineStr">
        <is>
          <t>Quality note / limitations</t>
        </is>
      </c>
      <c r="R5" s="6" t="inlineStr">
        <is>
          <t>Owner confirmed?</t>
        </is>
      </c>
      <c r="S5" s="6" t="inlineStr">
        <is>
          <t>Confirmation date</t>
        </is>
      </c>
    </row>
    <row r="6">
      <c r="B6" s="13" t="inlineStr">
        <is>
          <t>EE1(c)</t>
        </is>
      </c>
      <c r="C6" s="8" t="inlineStr">
        <is>
          <t>Exceptional Education</t>
        </is>
      </c>
      <c r="D6" s="8" t="inlineStr">
        <is>
          <t>Evidence of sustainability focused experiential and cocurricular learning</t>
        </is>
      </c>
      <c r="E6" s="8" t="inlineStr">
        <is>
          <t>Number of Co-curricular Learning</t>
        </is>
      </c>
      <c r="F6" s="8" t="inlineStr">
        <is>
          <t>#</t>
        </is>
      </c>
      <c r="G6" s="14" t="n"/>
      <c r="H6" s="14" t="n">
        <v>14</v>
      </c>
      <c r="I6" s="14" t="n">
        <v>22</v>
      </c>
      <c r="J6" s="14" t="n">
        <v>10</v>
      </c>
      <c r="K6" s="15" t="n"/>
      <c r="L6" s="8" t="inlineStr">
        <is>
          <t>Data held</t>
        </is>
      </c>
      <c r="M6" s="8" t="inlineStr">
        <is>
          <t>SaSS</t>
        </is>
      </c>
      <c r="N6" s="11" t="inlineStr"/>
      <c r="O6" s="11" t="inlineStr"/>
      <c r="P6" s="11" t="inlineStr"/>
      <c r="Q6" s="11" t="inlineStr"/>
      <c r="R6" s="11" t="inlineStr"/>
      <c r="S6" s="11" t="inlineStr"/>
    </row>
    <row r="7">
      <c r="B7" s="13" t="inlineStr">
        <is>
          <t>EE1(c)</t>
        </is>
      </c>
      <c r="C7" s="8" t="inlineStr"/>
      <c r="D7" s="8" t="inlineStr"/>
      <c r="E7" s="8" t="inlineStr">
        <is>
          <t>Number of Experiential Learning Projects</t>
        </is>
      </c>
      <c r="F7" s="8" t="inlineStr">
        <is>
          <t>#</t>
        </is>
      </c>
      <c r="G7" s="14" t="n"/>
      <c r="H7" s="14" t="n"/>
      <c r="I7" s="14" t="n"/>
      <c r="J7" s="14" t="n"/>
      <c r="K7" s="15" t="n"/>
      <c r="L7" s="8" t="inlineStr">
        <is>
          <t>No data yet</t>
        </is>
      </c>
      <c r="M7" s="8" t="inlineStr">
        <is>
          <t>SaSS</t>
        </is>
      </c>
      <c r="N7" s="11" t="inlineStr"/>
      <c r="O7" s="11" t="inlineStr"/>
      <c r="P7" s="11" t="inlineStr"/>
      <c r="Q7" s="11" t="inlineStr"/>
      <c r="R7" s="11" t="inlineStr"/>
      <c r="S7" s="11" t="inlineStr"/>
    </row>
    <row r="8">
      <c r="B8" s="13" t="inlineStr">
        <is>
          <t>EE1(c)</t>
        </is>
      </c>
      <c r="C8" s="8" t="inlineStr"/>
      <c r="D8" s="8" t="inlineStr"/>
      <c r="E8" s="8" t="inlineStr">
        <is>
          <t>Number of Participating Students</t>
        </is>
      </c>
      <c r="F8" s="8" t="inlineStr">
        <is>
          <t>#</t>
        </is>
      </c>
      <c r="G8" s="14" t="n"/>
      <c r="H8" s="14" t="n"/>
      <c r="I8" s="14" t="n"/>
      <c r="J8" s="14" t="n"/>
      <c r="K8" s="15" t="n"/>
      <c r="L8" s="8" t="inlineStr">
        <is>
          <t>No data yet</t>
        </is>
      </c>
      <c r="M8" s="8" t="inlineStr">
        <is>
          <t>SaSS</t>
        </is>
      </c>
      <c r="N8" s="11" t="inlineStr"/>
      <c r="O8" s="11" t="inlineStr"/>
      <c r="P8" s="11" t="inlineStr"/>
      <c r="Q8" s="11" t="inlineStr"/>
      <c r="R8" s="11" t="inlineStr"/>
      <c r="S8" s="11" t="inlineStr"/>
    </row>
    <row r="9">
      <c r="B9" s="13" t="inlineStr">
        <is>
          <t>EE1(d)</t>
        </is>
      </c>
      <c r="C9" s="8" t="inlineStr">
        <is>
          <t>Exceptional Education</t>
        </is>
      </c>
      <c r="D9" s="8" t="inlineStr">
        <is>
          <t>Alumni profiles demonstrating how graduates contribute to sustainability through their careers or communities</t>
        </is>
      </c>
      <c r="E9" s="8" t="inlineStr">
        <is>
          <t>Alumni that contribute to sustainability</t>
        </is>
      </c>
      <c r="F9" s="8" t="inlineStr">
        <is>
          <t>#</t>
        </is>
      </c>
      <c r="G9" s="14" t="n"/>
      <c r="H9" s="14" t="n"/>
      <c r="I9" s="14" t="n"/>
      <c r="J9" s="14" t="n"/>
      <c r="K9" s="15" t="n"/>
      <c r="L9" s="8" t="inlineStr">
        <is>
          <t>No data yet</t>
        </is>
      </c>
      <c r="M9" s="8" t="inlineStr">
        <is>
          <t>SaSS</t>
        </is>
      </c>
      <c r="N9" s="11" t="inlineStr"/>
      <c r="O9" s="11" t="inlineStr"/>
      <c r="P9" s="11" t="inlineStr"/>
      <c r="Q9" s="11" t="inlineStr"/>
      <c r="R9" s="11" t="inlineStr"/>
      <c r="S9" s="11" t="inlineStr"/>
    </row>
    <row r="10">
      <c r="B10" s="13" t="inlineStr">
        <is>
          <t>EE1(d)</t>
        </is>
      </c>
      <c r="C10" s="8" t="inlineStr"/>
      <c r="D10" s="8" t="inlineStr"/>
      <c r="E10" s="8" t="inlineStr">
        <is>
          <t>Alumni profiles demonstrating sustainability contribution</t>
        </is>
      </c>
      <c r="F10" s="8" t="inlineStr">
        <is>
          <t>%</t>
        </is>
      </c>
      <c r="G10" s="14" t="n"/>
      <c r="H10" s="14" t="n"/>
      <c r="I10" s="14" t="n"/>
      <c r="J10" s="14" t="n"/>
      <c r="K10" s="15" t="n"/>
      <c r="L10" s="8" t="inlineStr">
        <is>
          <t>No data yet</t>
        </is>
      </c>
      <c r="M10" s="8" t="inlineStr">
        <is>
          <t>SaSS</t>
        </is>
      </c>
      <c r="N10" s="11" t="inlineStr"/>
      <c r="O10" s="11" t="inlineStr"/>
      <c r="P10" s="11" t="inlineStr"/>
      <c r="Q10" s="11" t="inlineStr"/>
      <c r="R10" s="11" t="inlineStr"/>
      <c r="S10" s="11" t="inlineStr"/>
    </row>
    <row r="11">
      <c r="B11" s="16" t="inlineStr">
        <is>
          <t>TR2(b)</t>
        </is>
      </c>
      <c r="C11" s="16" t="inlineStr">
        <is>
          <t>Transformational Research</t>
        </is>
      </c>
      <c r="D11" s="16" t="inlineStr">
        <is>
          <t>Documented progress of relevant strategic initiatives, including Impact Accelerators</t>
        </is>
      </c>
      <c r="E11" s="16" t="inlineStr">
        <is>
          <t>Completion rate to the set annual target of strategic initiatives</t>
        </is>
      </c>
      <c r="F11" s="16" t="inlineStr"/>
      <c r="G11" s="17" t="n"/>
      <c r="H11" s="17" t="n"/>
      <c r="I11" s="17" t="n"/>
      <c r="J11" s="17" t="n"/>
      <c r="K11" s="17" t="n"/>
      <c r="L11" s="16" t="inlineStr"/>
      <c r="M11" s="16" t="inlineStr"/>
      <c r="N11" s="16" t="inlineStr"/>
      <c r="O11" s="16" t="inlineStr"/>
      <c r="P11" s="16" t="inlineStr"/>
      <c r="Q11" s="16" t="inlineStr"/>
      <c r="R11" s="16" t="inlineStr"/>
      <c r="S11" s="16" t="inlineStr"/>
    </row>
    <row r="12">
      <c r="B12" s="13" t="inlineStr">
        <is>
          <t>TR2(b)</t>
        </is>
      </c>
      <c r="C12" s="8" t="inlineStr"/>
      <c r="D12" s="8" t="inlineStr"/>
      <c r="E12" s="18" t="inlineStr">
        <is>
          <t>Impact Accelerators</t>
        </is>
      </c>
      <c r="F12" s="8" t="inlineStr">
        <is>
          <t>%</t>
        </is>
      </c>
      <c r="G12" s="14" t="n"/>
      <c r="H12" s="14" t="n"/>
      <c r="I12" s="14" t="n"/>
      <c r="J12" s="14" t="n"/>
      <c r="K12" s="15" t="n"/>
      <c r="L12" s="8" t="inlineStr">
        <is>
          <t>No data yet</t>
        </is>
      </c>
      <c r="M12" s="8" t="inlineStr">
        <is>
          <t>MRE</t>
        </is>
      </c>
      <c r="N12" s="11" t="inlineStr"/>
      <c r="O12" s="11" t="inlineStr"/>
      <c r="P12" s="11" t="inlineStr"/>
      <c r="Q12" s="11" t="inlineStr"/>
      <c r="R12" s="11" t="inlineStr"/>
      <c r="S12" s="11" t="inlineStr"/>
    </row>
    <row r="13">
      <c r="B13" s="13" t="inlineStr">
        <is>
          <t>TR2(b)</t>
        </is>
      </c>
      <c r="C13" s="8" t="inlineStr"/>
      <c r="D13" s="8" t="inlineStr"/>
      <c r="E13" s="18" t="inlineStr">
        <is>
          <t>Strategic Initiatives 2</t>
        </is>
      </c>
      <c r="F13" s="8" t="inlineStr">
        <is>
          <t>%</t>
        </is>
      </c>
      <c r="G13" s="14" t="n"/>
      <c r="H13" s="14" t="n"/>
      <c r="I13" s="14" t="n"/>
      <c r="J13" s="14" t="n"/>
      <c r="K13" s="15" t="n"/>
      <c r="L13" s="8" t="inlineStr">
        <is>
          <t>No data yet</t>
        </is>
      </c>
      <c r="M13" s="8" t="inlineStr">
        <is>
          <t>MRE</t>
        </is>
      </c>
      <c r="N13" s="11" t="inlineStr"/>
      <c r="O13" s="11" t="inlineStr"/>
      <c r="P13" s="11" t="inlineStr"/>
      <c r="Q13" s="11" t="inlineStr"/>
      <c r="R13" s="11" t="inlineStr"/>
      <c r="S13" s="11" t="inlineStr"/>
    </row>
    <row r="14">
      <c r="B14" s="13" t="inlineStr">
        <is>
          <t>TR2(b)</t>
        </is>
      </c>
      <c r="C14" s="8" t="inlineStr"/>
      <c r="D14" s="8" t="inlineStr"/>
      <c r="E14" s="18" t="inlineStr">
        <is>
          <t>Strategic Initiatives 3</t>
        </is>
      </c>
      <c r="F14" s="8" t="inlineStr">
        <is>
          <t>%</t>
        </is>
      </c>
      <c r="G14" s="14" t="n"/>
      <c r="H14" s="14" t="n"/>
      <c r="I14" s="14" t="n"/>
      <c r="J14" s="14" t="n"/>
      <c r="K14" s="15" t="n"/>
      <c r="L14" s="8" t="inlineStr">
        <is>
          <t>No data yet</t>
        </is>
      </c>
      <c r="M14" s="8" t="inlineStr">
        <is>
          <t>MRE</t>
        </is>
      </c>
      <c r="N14" s="11" t="inlineStr"/>
      <c r="O14" s="11" t="inlineStr"/>
      <c r="P14" s="11" t="inlineStr"/>
      <c r="Q14" s="11" t="inlineStr"/>
      <c r="R14" s="11" t="inlineStr"/>
      <c r="S14" s="11" t="inlineStr"/>
    </row>
    <row r="15">
      <c r="B15" s="13" t="inlineStr">
        <is>
          <t>TR2(b)</t>
        </is>
      </c>
      <c r="C15" s="8" t="inlineStr"/>
      <c r="D15" s="8" t="inlineStr"/>
      <c r="E15" s="8" t="inlineStr">
        <is>
          <t>Strategic Initiatives on track</t>
        </is>
      </c>
      <c r="F15" s="8" t="inlineStr">
        <is>
          <t>#</t>
        </is>
      </c>
      <c r="G15" s="14" t="n"/>
      <c r="H15" s="14" t="n"/>
      <c r="I15" s="14" t="n"/>
      <c r="J15" s="14" t="n"/>
      <c r="K15" s="15" t="n"/>
      <c r="L15" s="8" t="inlineStr">
        <is>
          <t>No data yet</t>
        </is>
      </c>
      <c r="M15" s="8" t="inlineStr">
        <is>
          <t>MRE</t>
        </is>
      </c>
      <c r="N15" s="11" t="inlineStr"/>
      <c r="O15" s="11" t="inlineStr"/>
      <c r="P15" s="11" t="inlineStr"/>
      <c r="Q15" s="11" t="inlineStr"/>
      <c r="R15" s="11" t="inlineStr"/>
      <c r="S15" s="11" t="inlineStr"/>
    </row>
    <row r="16">
      <c r="B16" s="13" t="inlineStr">
        <is>
          <t>TR2(b)</t>
        </is>
      </c>
      <c r="C16" s="8" t="inlineStr"/>
      <c r="D16" s="8" t="inlineStr"/>
      <c r="E16" s="8" t="inlineStr">
        <is>
          <t>Strategic Initiatives delivered</t>
        </is>
      </c>
      <c r="F16" s="8" t="inlineStr">
        <is>
          <t>#</t>
        </is>
      </c>
      <c r="G16" s="14" t="n"/>
      <c r="H16" s="14" t="n"/>
      <c r="I16" s="14" t="n"/>
      <c r="J16" s="14" t="n"/>
      <c r="K16" s="15" t="n"/>
      <c r="L16" s="8" t="inlineStr">
        <is>
          <t>No data yet</t>
        </is>
      </c>
      <c r="M16" s="8" t="inlineStr">
        <is>
          <t>MRE</t>
        </is>
      </c>
      <c r="N16" s="11" t="inlineStr"/>
      <c r="O16" s="11" t="inlineStr"/>
      <c r="P16" s="11" t="inlineStr"/>
      <c r="Q16" s="11" t="inlineStr"/>
      <c r="R16" s="11" t="inlineStr"/>
      <c r="S16" s="11" t="inlineStr"/>
    </row>
    <row r="17">
      <c r="B17" s="16" t="inlineStr">
        <is>
          <t>TR2(c)</t>
        </is>
      </c>
      <c r="C17" s="16" t="inlineStr">
        <is>
          <t>Transformational Research</t>
        </is>
      </c>
      <c r="D17" s="16" t="inlineStr">
        <is>
          <t>Expert-reviewed summary of sustainability-related research outputs, outcomes and influence using available institutional evidence sources</t>
        </is>
      </c>
      <c r="E17" s="16" t="inlineStr">
        <is>
          <t>SDG-related research outputs in the top 10% of citations</t>
        </is>
      </c>
      <c r="F17" s="16" t="inlineStr"/>
      <c r="G17" s="17" t="n"/>
      <c r="H17" s="17" t="n"/>
      <c r="I17" s="17" t="n"/>
      <c r="J17" s="17" t="n"/>
      <c r="K17" s="17" t="n"/>
      <c r="L17" s="16" t="inlineStr"/>
      <c r="M17" s="16" t="inlineStr"/>
      <c r="N17" s="16" t="inlineStr"/>
      <c r="O17" s="16" t="inlineStr"/>
      <c r="P17" s="16" t="inlineStr"/>
      <c r="Q17" s="16" t="inlineStr"/>
      <c r="R17" s="16" t="inlineStr"/>
      <c r="S17" s="16" t="inlineStr"/>
    </row>
    <row r="18">
      <c r="B18" s="13" t="inlineStr">
        <is>
          <t>TR2(c)</t>
        </is>
      </c>
      <c r="C18" s="8" t="inlineStr"/>
      <c r="D18" s="8" t="inlineStr"/>
      <c r="E18" s="18" t="inlineStr">
        <is>
          <t>SDG 1 - No Poverty</t>
        </is>
      </c>
      <c r="F18" s="8" t="inlineStr">
        <is>
          <t>#</t>
        </is>
      </c>
      <c r="G18" s="14" t="n"/>
      <c r="H18" s="14" t="n"/>
      <c r="I18" s="14" t="n"/>
      <c r="J18" s="14" t="n">
        <v>424</v>
      </c>
      <c r="K18" s="15" t="n"/>
      <c r="L18" s="8" t="inlineStr">
        <is>
          <t>Data held</t>
        </is>
      </c>
      <c r="M18" s="8" t="inlineStr">
        <is>
          <t>MRE</t>
        </is>
      </c>
      <c r="N18" s="11" t="inlineStr"/>
      <c r="O18" s="11" t="inlineStr"/>
      <c r="P18" s="11" t="inlineStr"/>
      <c r="Q18" s="11" t="inlineStr"/>
      <c r="R18" s="11" t="inlineStr"/>
      <c r="S18" s="11" t="inlineStr"/>
    </row>
    <row r="19">
      <c r="B19" s="13" t="inlineStr">
        <is>
          <t>TR2(c)</t>
        </is>
      </c>
      <c r="C19" s="8" t="inlineStr"/>
      <c r="D19" s="8" t="inlineStr"/>
      <c r="E19" s="18" t="inlineStr">
        <is>
          <t>SDG 2 - Zero Hunger</t>
        </is>
      </c>
      <c r="F19" s="8" t="inlineStr">
        <is>
          <t>#</t>
        </is>
      </c>
      <c r="G19" s="14" t="n"/>
      <c r="H19" s="14" t="n"/>
      <c r="I19" s="14" t="n"/>
      <c r="J19" s="14" t="n">
        <v>781</v>
      </c>
      <c r="K19" s="15" t="n"/>
      <c r="L19" s="8" t="inlineStr">
        <is>
          <t>Data held</t>
        </is>
      </c>
      <c r="M19" s="8" t="inlineStr">
        <is>
          <t>MRE</t>
        </is>
      </c>
      <c r="N19" s="11" t="inlineStr"/>
      <c r="O19" s="11" t="inlineStr"/>
      <c r="P19" s="11" t="inlineStr"/>
      <c r="Q19" s="11" t="inlineStr"/>
      <c r="R19" s="11" t="inlineStr"/>
      <c r="S19" s="11" t="inlineStr"/>
    </row>
    <row r="20">
      <c r="B20" s="13" t="inlineStr">
        <is>
          <t>TR2(c)</t>
        </is>
      </c>
      <c r="C20" s="8" t="inlineStr"/>
      <c r="D20" s="8" t="inlineStr"/>
      <c r="E20" s="18" t="inlineStr">
        <is>
          <t>SDG 3 - Good health and well-being</t>
        </is>
      </c>
      <c r="F20" s="8" t="inlineStr">
        <is>
          <t>#</t>
        </is>
      </c>
      <c r="G20" s="14" t="n"/>
      <c r="H20" s="14" t="n"/>
      <c r="I20" s="14" t="n"/>
      <c r="J20" s="14" t="n">
        <v>15195</v>
      </c>
      <c r="K20" s="15" t="n"/>
      <c r="L20" s="8" t="inlineStr">
        <is>
          <t>Data held</t>
        </is>
      </c>
      <c r="M20" s="8" t="inlineStr">
        <is>
          <t>MRE</t>
        </is>
      </c>
      <c r="N20" s="11" t="inlineStr"/>
      <c r="O20" s="11" t="inlineStr"/>
      <c r="P20" s="11" t="inlineStr"/>
      <c r="Q20" s="11" t="inlineStr"/>
      <c r="R20" s="11" t="inlineStr"/>
      <c r="S20" s="11" t="inlineStr"/>
    </row>
    <row r="21">
      <c r="B21" s="13" t="inlineStr">
        <is>
          <t>TR2(c)</t>
        </is>
      </c>
      <c r="C21" s="8" t="inlineStr"/>
      <c r="D21" s="8" t="inlineStr"/>
      <c r="E21" s="18" t="inlineStr">
        <is>
          <t>SDG 4 - Quality Education</t>
        </is>
      </c>
      <c r="F21" s="8" t="inlineStr">
        <is>
          <t>#</t>
        </is>
      </c>
      <c r="G21" s="14" t="n"/>
      <c r="H21" s="14" t="n"/>
      <c r="I21" s="14" t="n"/>
      <c r="J21" s="14" t="n">
        <v>1292</v>
      </c>
      <c r="K21" s="15" t="n"/>
      <c r="L21" s="8" t="inlineStr">
        <is>
          <t>Data held</t>
        </is>
      </c>
      <c r="M21" s="8" t="inlineStr">
        <is>
          <t>MRE</t>
        </is>
      </c>
      <c r="N21" s="11" t="inlineStr"/>
      <c r="O21" s="11" t="inlineStr"/>
      <c r="P21" s="11" t="inlineStr"/>
      <c r="Q21" s="11" t="inlineStr"/>
      <c r="R21" s="11" t="inlineStr"/>
      <c r="S21" s="11" t="inlineStr"/>
    </row>
    <row r="22">
      <c r="B22" s="13" t="inlineStr">
        <is>
          <t>TR2(c)</t>
        </is>
      </c>
      <c r="C22" s="8" t="inlineStr"/>
      <c r="D22" s="8" t="inlineStr"/>
      <c r="E22" s="18" t="inlineStr">
        <is>
          <t>SDG 5 - Gender Equality</t>
        </is>
      </c>
      <c r="F22" s="8" t="inlineStr">
        <is>
          <t>#</t>
        </is>
      </c>
      <c r="G22" s="14" t="n"/>
      <c r="H22" s="14" t="n"/>
      <c r="I22" s="14" t="n"/>
      <c r="J22" s="14" t="n">
        <v>1275</v>
      </c>
      <c r="K22" s="15" t="n"/>
      <c r="L22" s="8" t="inlineStr">
        <is>
          <t>Data held</t>
        </is>
      </c>
      <c r="M22" s="8" t="inlineStr">
        <is>
          <t>MRE</t>
        </is>
      </c>
      <c r="N22" s="11" t="inlineStr"/>
      <c r="O22" s="11" t="inlineStr"/>
      <c r="P22" s="11" t="inlineStr"/>
      <c r="Q22" s="11" t="inlineStr"/>
      <c r="R22" s="11" t="inlineStr"/>
      <c r="S22" s="11" t="inlineStr"/>
    </row>
    <row r="23">
      <c r="B23" s="13" t="inlineStr">
        <is>
          <t>TR2(c)</t>
        </is>
      </c>
      <c r="C23" s="8" t="inlineStr"/>
      <c r="D23" s="8" t="inlineStr"/>
      <c r="E23" s="18" t="inlineStr">
        <is>
          <t>SDG 6 - Clean water and sanitation</t>
        </is>
      </c>
      <c r="F23" s="8" t="inlineStr">
        <is>
          <t>#</t>
        </is>
      </c>
      <c r="G23" s="14" t="n"/>
      <c r="H23" s="14" t="n"/>
      <c r="I23" s="14" t="n"/>
      <c r="J23" s="14" t="n">
        <v>661</v>
      </c>
      <c r="K23" s="15" t="n"/>
      <c r="L23" s="8" t="inlineStr">
        <is>
          <t>Data held</t>
        </is>
      </c>
      <c r="M23" s="8" t="inlineStr">
        <is>
          <t>MRE</t>
        </is>
      </c>
      <c r="N23" s="11" t="inlineStr"/>
      <c r="O23" s="11" t="inlineStr"/>
      <c r="P23" s="11" t="inlineStr"/>
      <c r="Q23" s="11" t="inlineStr"/>
      <c r="R23" s="11" t="inlineStr"/>
      <c r="S23" s="11" t="inlineStr"/>
    </row>
    <row r="24">
      <c r="B24" s="13" t="inlineStr">
        <is>
          <t>TR2(c)</t>
        </is>
      </c>
      <c r="C24" s="8" t="inlineStr"/>
      <c r="D24" s="8" t="inlineStr"/>
      <c r="E24" s="18" t="inlineStr">
        <is>
          <t>SDG 7 - Affordable and clean energy</t>
        </is>
      </c>
      <c r="F24" s="8" t="inlineStr">
        <is>
          <t>#</t>
        </is>
      </c>
      <c r="G24" s="14" t="n"/>
      <c r="H24" s="14" t="n"/>
      <c r="I24" s="14" t="n"/>
      <c r="J24" s="14" t="n">
        <v>997</v>
      </c>
      <c r="K24" s="15" t="n"/>
      <c r="L24" s="8" t="inlineStr">
        <is>
          <t>Data held</t>
        </is>
      </c>
      <c r="M24" s="8" t="inlineStr">
        <is>
          <t>MRE</t>
        </is>
      </c>
      <c r="N24" s="11" t="inlineStr"/>
      <c r="O24" s="11" t="inlineStr"/>
      <c r="P24" s="11" t="inlineStr"/>
      <c r="Q24" s="11" t="inlineStr"/>
      <c r="R24" s="11" t="inlineStr"/>
      <c r="S24" s="11" t="inlineStr"/>
    </row>
    <row r="25">
      <c r="B25" s="13" t="inlineStr">
        <is>
          <t>TR2(c)</t>
        </is>
      </c>
      <c r="C25" s="8" t="inlineStr"/>
      <c r="D25" s="8" t="inlineStr"/>
      <c r="E25" s="18" t="inlineStr">
        <is>
          <t>SDG 8 - Decent work and economic growth</t>
        </is>
      </c>
      <c r="F25" s="8" t="inlineStr">
        <is>
          <t>#</t>
        </is>
      </c>
      <c r="G25" s="14" t="n"/>
      <c r="H25" s="14" t="n"/>
      <c r="I25" s="14" t="n"/>
      <c r="J25" s="14" t="n">
        <v>995</v>
      </c>
      <c r="K25" s="15" t="n"/>
      <c r="L25" s="8" t="inlineStr">
        <is>
          <t>Data held</t>
        </is>
      </c>
      <c r="M25" s="8" t="inlineStr">
        <is>
          <t>MRE</t>
        </is>
      </c>
      <c r="N25" s="11" t="inlineStr"/>
      <c r="O25" s="11" t="inlineStr"/>
      <c r="P25" s="11" t="inlineStr"/>
      <c r="Q25" s="11" t="inlineStr"/>
      <c r="R25" s="11" t="inlineStr"/>
      <c r="S25" s="11" t="inlineStr"/>
    </row>
    <row r="26">
      <c r="B26" s="13" t="inlineStr">
        <is>
          <t>TR2(c)</t>
        </is>
      </c>
      <c r="C26" s="8" t="inlineStr"/>
      <c r="D26" s="8" t="inlineStr"/>
      <c r="E26" s="18" t="inlineStr">
        <is>
          <t>SDG 9 - Industry, innovation and infrastructure</t>
        </is>
      </c>
      <c r="F26" s="8" t="inlineStr">
        <is>
          <t>#</t>
        </is>
      </c>
      <c r="G26" s="14" t="n"/>
      <c r="H26" s="14" t="n"/>
      <c r="I26" s="14" t="n"/>
      <c r="J26" s="14" t="n">
        <v>1457</v>
      </c>
      <c r="K26" s="15" t="n"/>
      <c r="L26" s="8" t="inlineStr">
        <is>
          <t>Data held</t>
        </is>
      </c>
      <c r="M26" s="8" t="inlineStr">
        <is>
          <t>MRE</t>
        </is>
      </c>
      <c r="N26" s="11" t="inlineStr"/>
      <c r="O26" s="11" t="inlineStr"/>
      <c r="P26" s="11" t="inlineStr"/>
      <c r="Q26" s="11" t="inlineStr"/>
      <c r="R26" s="11" t="inlineStr"/>
      <c r="S26" s="11" t="inlineStr"/>
    </row>
    <row r="27">
      <c r="B27" s="13" t="inlineStr">
        <is>
          <t>TR2(c)</t>
        </is>
      </c>
      <c r="C27" s="8" t="inlineStr"/>
      <c r="D27" s="8" t="inlineStr"/>
      <c r="E27" s="18" t="inlineStr">
        <is>
          <t>SDG 10 - Reduced inequality</t>
        </is>
      </c>
      <c r="F27" s="8" t="inlineStr">
        <is>
          <t>#</t>
        </is>
      </c>
      <c r="G27" s="14" t="n"/>
      <c r="H27" s="14" t="n"/>
      <c r="I27" s="14" t="n"/>
      <c r="J27" s="14" t="n">
        <v>1617</v>
      </c>
      <c r="K27" s="15" t="n"/>
      <c r="L27" s="8" t="inlineStr">
        <is>
          <t>Data held</t>
        </is>
      </c>
      <c r="M27" s="8" t="inlineStr">
        <is>
          <t>MRE</t>
        </is>
      </c>
      <c r="N27" s="11" t="inlineStr"/>
      <c r="O27" s="11" t="inlineStr"/>
      <c r="P27" s="11" t="inlineStr"/>
      <c r="Q27" s="11" t="inlineStr"/>
      <c r="R27" s="11" t="inlineStr"/>
      <c r="S27" s="11" t="inlineStr"/>
    </row>
    <row r="28">
      <c r="B28" s="13" t="inlineStr">
        <is>
          <t>TR2(c)</t>
        </is>
      </c>
      <c r="C28" s="8" t="inlineStr"/>
      <c r="D28" s="8" t="inlineStr"/>
      <c r="E28" s="18" t="inlineStr">
        <is>
          <t>SDG 11 - Sustainable cities and communities</t>
        </is>
      </c>
      <c r="F28" s="8" t="inlineStr">
        <is>
          <t>#</t>
        </is>
      </c>
      <c r="G28" s="14" t="n"/>
      <c r="H28" s="14" t="n"/>
      <c r="I28" s="14" t="n"/>
      <c r="J28" s="14" t="n">
        <v>1436</v>
      </c>
      <c r="K28" s="15" t="n"/>
      <c r="L28" s="8" t="inlineStr">
        <is>
          <t>Data held</t>
        </is>
      </c>
      <c r="M28" s="8" t="inlineStr">
        <is>
          <t>MRE</t>
        </is>
      </c>
      <c r="N28" s="11" t="inlineStr"/>
      <c r="O28" s="11" t="inlineStr"/>
      <c r="P28" s="11" t="inlineStr"/>
      <c r="Q28" s="11" t="inlineStr"/>
      <c r="R28" s="11" t="inlineStr"/>
      <c r="S28" s="11" t="inlineStr"/>
    </row>
    <row r="29">
      <c r="B29" s="13" t="inlineStr">
        <is>
          <t>TR2(c)</t>
        </is>
      </c>
      <c r="C29" s="8" t="inlineStr"/>
      <c r="D29" s="8" t="inlineStr"/>
      <c r="E29" s="18" t="inlineStr">
        <is>
          <t>SDG 12 - Responsible consumption and production</t>
        </is>
      </c>
      <c r="F29" s="8" t="inlineStr">
        <is>
          <t>#</t>
        </is>
      </c>
      <c r="G29" s="14" t="n"/>
      <c r="H29" s="14" t="n"/>
      <c r="I29" s="14" t="n"/>
      <c r="J29" s="14" t="n">
        <v>838</v>
      </c>
      <c r="K29" s="15" t="n"/>
      <c r="L29" s="8" t="inlineStr">
        <is>
          <t>Data held</t>
        </is>
      </c>
      <c r="M29" s="8" t="inlineStr">
        <is>
          <t>MRE</t>
        </is>
      </c>
      <c r="N29" s="11" t="inlineStr"/>
      <c r="O29" s="11" t="inlineStr"/>
      <c r="P29" s="11" t="inlineStr"/>
      <c r="Q29" s="11" t="inlineStr"/>
      <c r="R29" s="11" t="inlineStr"/>
      <c r="S29" s="11" t="inlineStr"/>
    </row>
    <row r="30">
      <c r="B30" s="13" t="inlineStr">
        <is>
          <t>TR2(c)</t>
        </is>
      </c>
      <c r="C30" s="8" t="inlineStr"/>
      <c r="D30" s="8" t="inlineStr"/>
      <c r="E30" s="18" t="inlineStr">
        <is>
          <t>SDG 13 - Climate action</t>
        </is>
      </c>
      <c r="F30" s="8" t="inlineStr">
        <is>
          <t>#</t>
        </is>
      </c>
      <c r="G30" s="14" t="n"/>
      <c r="H30" s="14" t="n"/>
      <c r="I30" s="14" t="n"/>
      <c r="J30" s="14" t="n">
        <v>1624</v>
      </c>
      <c r="K30" s="15" t="n"/>
      <c r="L30" s="8" t="inlineStr">
        <is>
          <t>Data held</t>
        </is>
      </c>
      <c r="M30" s="8" t="inlineStr">
        <is>
          <t>MRE</t>
        </is>
      </c>
      <c r="N30" s="11" t="inlineStr"/>
      <c r="O30" s="11" t="inlineStr"/>
      <c r="P30" s="11" t="inlineStr"/>
      <c r="Q30" s="11" t="inlineStr"/>
      <c r="R30" s="11" t="inlineStr"/>
      <c r="S30" s="11" t="inlineStr"/>
    </row>
    <row r="31">
      <c r="B31" s="13" t="inlineStr">
        <is>
          <t>TR2(c)</t>
        </is>
      </c>
      <c r="C31" s="8" t="inlineStr"/>
      <c r="D31" s="8" t="inlineStr"/>
      <c r="E31" s="18" t="inlineStr">
        <is>
          <t>SDG 14 - Life below water</t>
        </is>
      </c>
      <c r="F31" s="8" t="inlineStr">
        <is>
          <t>#</t>
        </is>
      </c>
      <c r="G31" s="14" t="n"/>
      <c r="H31" s="14" t="n"/>
      <c r="I31" s="14" t="n"/>
      <c r="J31" s="14" t="n">
        <v>442</v>
      </c>
      <c r="K31" s="15" t="n"/>
      <c r="L31" s="8" t="inlineStr">
        <is>
          <t>Data held</t>
        </is>
      </c>
      <c r="M31" s="8" t="inlineStr">
        <is>
          <t>MRE</t>
        </is>
      </c>
      <c r="N31" s="11" t="inlineStr"/>
      <c r="O31" s="11" t="inlineStr"/>
      <c r="P31" s="11" t="inlineStr"/>
      <c r="Q31" s="11" t="inlineStr"/>
      <c r="R31" s="11" t="inlineStr"/>
      <c r="S31" s="11" t="inlineStr"/>
    </row>
    <row r="32">
      <c r="B32" s="13" t="inlineStr">
        <is>
          <t>TR2(c)</t>
        </is>
      </c>
      <c r="C32" s="8" t="inlineStr"/>
      <c r="D32" s="8" t="inlineStr"/>
      <c r="E32" s="18" t="inlineStr">
        <is>
          <t>SDG 15 - Life on land</t>
        </is>
      </c>
      <c r="F32" s="8" t="inlineStr">
        <is>
          <t>#</t>
        </is>
      </c>
      <c r="G32" s="14" t="n"/>
      <c r="H32" s="14" t="n"/>
      <c r="I32" s="14" t="n"/>
      <c r="J32" s="14" t="n">
        <v>1015</v>
      </c>
      <c r="K32" s="15" t="n"/>
      <c r="L32" s="8" t="inlineStr">
        <is>
          <t>Data held</t>
        </is>
      </c>
      <c r="M32" s="8" t="inlineStr">
        <is>
          <t>MRE</t>
        </is>
      </c>
      <c r="N32" s="11" t="inlineStr"/>
      <c r="O32" s="11" t="inlineStr"/>
      <c r="P32" s="11" t="inlineStr"/>
      <c r="Q32" s="11" t="inlineStr"/>
      <c r="R32" s="11" t="inlineStr"/>
      <c r="S32" s="11" t="inlineStr"/>
    </row>
    <row r="33">
      <c r="B33" s="13" t="inlineStr">
        <is>
          <t>TR2(c)</t>
        </is>
      </c>
      <c r="C33" s="8" t="inlineStr"/>
      <c r="D33" s="8" t="inlineStr"/>
      <c r="E33" s="18" t="inlineStr">
        <is>
          <t>SDG 16 - Peace, justice and strong institutions</t>
        </is>
      </c>
      <c r="F33" s="8" t="inlineStr">
        <is>
          <t>#</t>
        </is>
      </c>
      <c r="G33" s="14" t="n"/>
      <c r="H33" s="14" t="n"/>
      <c r="I33" s="14" t="n"/>
      <c r="J33" s="14" t="n">
        <v>1681</v>
      </c>
      <c r="K33" s="15" t="n"/>
      <c r="L33" s="8" t="inlineStr">
        <is>
          <t>Data held</t>
        </is>
      </c>
      <c r="M33" s="8" t="inlineStr">
        <is>
          <t>MRE</t>
        </is>
      </c>
      <c r="N33" s="11" t="inlineStr"/>
      <c r="O33" s="11" t="inlineStr"/>
      <c r="P33" s="11" t="inlineStr"/>
      <c r="Q33" s="11" t="inlineStr"/>
      <c r="R33" s="11" t="inlineStr"/>
      <c r="S33" s="11" t="inlineStr"/>
    </row>
    <row r="34">
      <c r="B34" s="16" t="inlineStr">
        <is>
          <t>TR2(c)</t>
        </is>
      </c>
      <c r="C34" s="16" t="inlineStr"/>
      <c r="D34" s="16" t="inlineStr"/>
      <c r="E34" s="16" t="inlineStr">
        <is>
          <t>SDG-related research outputs in the top 10% of citations (Field-weighted)</t>
        </is>
      </c>
      <c r="F34" s="16" t="inlineStr"/>
      <c r="G34" s="17" t="n"/>
      <c r="H34" s="17" t="n"/>
      <c r="I34" s="17" t="n"/>
      <c r="J34" s="17" t="n"/>
      <c r="K34" s="17" t="n"/>
      <c r="L34" s="16" t="inlineStr"/>
      <c r="M34" s="16" t="inlineStr"/>
      <c r="N34" s="16" t="inlineStr"/>
      <c r="O34" s="16" t="inlineStr"/>
      <c r="P34" s="16" t="inlineStr"/>
      <c r="Q34" s="16" t="inlineStr"/>
      <c r="R34" s="16" t="inlineStr"/>
      <c r="S34" s="16" t="inlineStr"/>
    </row>
    <row r="35">
      <c r="B35" s="13" t="inlineStr">
        <is>
          <t>TR2(c)</t>
        </is>
      </c>
      <c r="C35" s="8" t="inlineStr"/>
      <c r="D35" s="8" t="inlineStr"/>
      <c r="E35" s="18" t="inlineStr">
        <is>
          <t>SDG 1 - No Poverty</t>
        </is>
      </c>
      <c r="F35" s="8" t="inlineStr">
        <is>
          <t>%</t>
        </is>
      </c>
      <c r="G35" s="14" t="n"/>
      <c r="H35" s="14" t="n"/>
      <c r="I35" s="14" t="n"/>
      <c r="J35" s="14" t="n">
        <v>20</v>
      </c>
      <c r="K35" s="15" t="n"/>
      <c r="L35" s="8" t="inlineStr">
        <is>
          <t>Data held</t>
        </is>
      </c>
      <c r="M35" s="8" t="inlineStr">
        <is>
          <t>MRE</t>
        </is>
      </c>
      <c r="N35" s="11" t="inlineStr"/>
      <c r="O35" s="11" t="inlineStr"/>
      <c r="P35" s="11" t="inlineStr"/>
      <c r="Q35" s="11" t="inlineStr"/>
      <c r="R35" s="11" t="inlineStr"/>
      <c r="S35" s="11" t="inlineStr"/>
    </row>
    <row r="36">
      <c r="B36" s="13" t="inlineStr">
        <is>
          <t>TR2(c)</t>
        </is>
      </c>
      <c r="C36" s="8" t="inlineStr"/>
      <c r="D36" s="8" t="inlineStr"/>
      <c r="E36" s="18" t="inlineStr">
        <is>
          <t>SDG 2 - Zero Hunger</t>
        </is>
      </c>
      <c r="F36" s="8" t="inlineStr">
        <is>
          <t>%</t>
        </is>
      </c>
      <c r="G36" s="14" t="n"/>
      <c r="H36" s="14" t="n"/>
      <c r="I36" s="14" t="n"/>
      <c r="J36" s="14" t="n">
        <v>19</v>
      </c>
      <c r="K36" s="15" t="n"/>
      <c r="L36" s="8" t="inlineStr">
        <is>
          <t>Data held</t>
        </is>
      </c>
      <c r="M36" s="8" t="inlineStr">
        <is>
          <t>MRE</t>
        </is>
      </c>
      <c r="N36" s="11" t="inlineStr"/>
      <c r="O36" s="11" t="inlineStr"/>
      <c r="P36" s="11" t="inlineStr"/>
      <c r="Q36" s="11" t="inlineStr"/>
      <c r="R36" s="11" t="inlineStr"/>
      <c r="S36" s="11" t="inlineStr"/>
    </row>
    <row r="37">
      <c r="B37" s="13" t="inlineStr">
        <is>
          <t>TR2(c)</t>
        </is>
      </c>
      <c r="C37" s="8" t="inlineStr"/>
      <c r="D37" s="8" t="inlineStr"/>
      <c r="E37" s="18" t="inlineStr">
        <is>
          <t>SDG 3 - Good health and well-being</t>
        </is>
      </c>
      <c r="F37" s="8" t="inlineStr">
        <is>
          <t>%</t>
        </is>
      </c>
      <c r="G37" s="14" t="n"/>
      <c r="H37" s="14" t="n"/>
      <c r="I37" s="14" t="n"/>
      <c r="J37" s="14" t="n">
        <v>20</v>
      </c>
      <c r="K37" s="15" t="n"/>
      <c r="L37" s="8" t="inlineStr">
        <is>
          <t>Data held</t>
        </is>
      </c>
      <c r="M37" s="8" t="inlineStr">
        <is>
          <t>MRE</t>
        </is>
      </c>
      <c r="N37" s="11" t="inlineStr"/>
      <c r="O37" s="11" t="inlineStr"/>
      <c r="P37" s="11" t="inlineStr"/>
      <c r="Q37" s="11" t="inlineStr"/>
      <c r="R37" s="11" t="inlineStr"/>
      <c r="S37" s="11" t="inlineStr"/>
    </row>
    <row r="38">
      <c r="B38" s="13" t="inlineStr">
        <is>
          <t>TR2(c)</t>
        </is>
      </c>
      <c r="C38" s="8" t="inlineStr"/>
      <c r="D38" s="8" t="inlineStr"/>
      <c r="E38" s="18" t="inlineStr">
        <is>
          <t>SDG 4 - Quality Education</t>
        </is>
      </c>
      <c r="F38" s="8" t="inlineStr">
        <is>
          <t>%</t>
        </is>
      </c>
      <c r="G38" s="14" t="n"/>
      <c r="H38" s="14" t="n"/>
      <c r="I38" s="14" t="n"/>
      <c r="J38" s="14" t="n">
        <v>19</v>
      </c>
      <c r="K38" s="15" t="n"/>
      <c r="L38" s="8" t="inlineStr">
        <is>
          <t>Data held</t>
        </is>
      </c>
      <c r="M38" s="8" t="inlineStr">
        <is>
          <t>MRE</t>
        </is>
      </c>
      <c r="N38" s="11" t="inlineStr"/>
      <c r="O38" s="11" t="inlineStr"/>
      <c r="P38" s="11" t="inlineStr"/>
      <c r="Q38" s="11" t="inlineStr"/>
      <c r="R38" s="11" t="inlineStr"/>
      <c r="S38" s="11" t="inlineStr"/>
    </row>
    <row r="39">
      <c r="B39" s="13" t="inlineStr">
        <is>
          <t>TR2(c)</t>
        </is>
      </c>
      <c r="C39" s="8" t="inlineStr"/>
      <c r="D39" s="8" t="inlineStr"/>
      <c r="E39" s="18" t="inlineStr">
        <is>
          <t>SDG 5 - Gender Equality</t>
        </is>
      </c>
      <c r="F39" s="8" t="inlineStr">
        <is>
          <t>%</t>
        </is>
      </c>
      <c r="G39" s="14" t="n"/>
      <c r="H39" s="14" t="n"/>
      <c r="I39" s="14" t="n"/>
      <c r="J39" s="14" t="n">
        <v>18</v>
      </c>
      <c r="K39" s="15" t="n"/>
      <c r="L39" s="8" t="inlineStr">
        <is>
          <t>Data held</t>
        </is>
      </c>
      <c r="M39" s="8" t="inlineStr">
        <is>
          <t>MRE</t>
        </is>
      </c>
      <c r="N39" s="11" t="inlineStr"/>
      <c r="O39" s="11" t="inlineStr"/>
      <c r="P39" s="11" t="inlineStr"/>
      <c r="Q39" s="11" t="inlineStr"/>
      <c r="R39" s="11" t="inlineStr"/>
      <c r="S39" s="11" t="inlineStr"/>
    </row>
    <row r="40">
      <c r="B40" s="13" t="inlineStr">
        <is>
          <t>TR2(c)</t>
        </is>
      </c>
      <c r="C40" s="8" t="inlineStr"/>
      <c r="D40" s="8" t="inlineStr"/>
      <c r="E40" s="18" t="inlineStr">
        <is>
          <t>SDG 6 - Clean water and sanitation</t>
        </is>
      </c>
      <c r="F40" s="8" t="inlineStr">
        <is>
          <t>%</t>
        </is>
      </c>
      <c r="G40" s="14" t="n"/>
      <c r="H40" s="14" t="n"/>
      <c r="I40" s="14" t="n"/>
      <c r="J40" s="14" t="n">
        <v>17</v>
      </c>
      <c r="K40" s="15" t="n"/>
      <c r="L40" s="8" t="inlineStr">
        <is>
          <t>Data held</t>
        </is>
      </c>
      <c r="M40" s="8" t="inlineStr">
        <is>
          <t>MRE</t>
        </is>
      </c>
      <c r="N40" s="11" t="inlineStr"/>
      <c r="O40" s="11" t="inlineStr"/>
      <c r="P40" s="11" t="inlineStr"/>
      <c r="Q40" s="11" t="inlineStr"/>
      <c r="R40" s="11" t="inlineStr"/>
      <c r="S40" s="11" t="inlineStr"/>
    </row>
    <row r="41">
      <c r="B41" s="13" t="inlineStr">
        <is>
          <t>TR2(c)</t>
        </is>
      </c>
      <c r="C41" s="8" t="inlineStr"/>
      <c r="D41" s="8" t="inlineStr"/>
      <c r="E41" s="18" t="inlineStr">
        <is>
          <t>SDG 7 - Affordable and clean energy</t>
        </is>
      </c>
      <c r="F41" s="8" t="inlineStr">
        <is>
          <t>%</t>
        </is>
      </c>
      <c r="G41" s="14" t="n"/>
      <c r="H41" s="14" t="n"/>
      <c r="I41" s="14" t="n"/>
      <c r="J41" s="14" t="n">
        <v>22</v>
      </c>
      <c r="K41" s="15" t="n"/>
      <c r="L41" s="8" t="inlineStr">
        <is>
          <t>Data held</t>
        </is>
      </c>
      <c r="M41" s="8" t="inlineStr">
        <is>
          <t>MRE</t>
        </is>
      </c>
      <c r="N41" s="11" t="inlineStr"/>
      <c r="O41" s="11" t="inlineStr"/>
      <c r="P41" s="11" t="inlineStr"/>
      <c r="Q41" s="11" t="inlineStr"/>
      <c r="R41" s="11" t="inlineStr"/>
      <c r="S41" s="11" t="inlineStr"/>
    </row>
    <row r="42">
      <c r="B42" s="13" t="inlineStr">
        <is>
          <t>TR2(c)</t>
        </is>
      </c>
      <c r="C42" s="8" t="inlineStr"/>
      <c r="D42" s="8" t="inlineStr"/>
      <c r="E42" s="18" t="inlineStr">
        <is>
          <t>SDG 8 - Decent work and economic growth</t>
        </is>
      </c>
      <c r="F42" s="8" t="inlineStr">
        <is>
          <t>%</t>
        </is>
      </c>
      <c r="G42" s="14" t="n"/>
      <c r="H42" s="14" t="n"/>
      <c r="I42" s="14" t="n"/>
      <c r="J42" s="14" t="n">
        <v>22</v>
      </c>
      <c r="K42" s="15" t="n"/>
      <c r="L42" s="8" t="inlineStr">
        <is>
          <t>Data held</t>
        </is>
      </c>
      <c r="M42" s="8" t="inlineStr">
        <is>
          <t>MRE</t>
        </is>
      </c>
      <c r="N42" s="11" t="inlineStr"/>
      <c r="O42" s="11" t="inlineStr"/>
      <c r="P42" s="11" t="inlineStr"/>
      <c r="Q42" s="11" t="inlineStr"/>
      <c r="R42" s="11" t="inlineStr"/>
      <c r="S42" s="11" t="inlineStr"/>
    </row>
    <row r="43">
      <c r="B43" s="13" t="inlineStr">
        <is>
          <t>TR2(c)</t>
        </is>
      </c>
      <c r="C43" s="8" t="inlineStr"/>
      <c r="D43" s="8" t="inlineStr"/>
      <c r="E43" s="18" t="inlineStr">
        <is>
          <t>SDG 9 - Industry, innovation and infrastructure</t>
        </is>
      </c>
      <c r="F43" s="8" t="inlineStr">
        <is>
          <t>%</t>
        </is>
      </c>
      <c r="G43" s="14" t="n"/>
      <c r="H43" s="14" t="n"/>
      <c r="I43" s="14" t="n"/>
      <c r="J43" s="14" t="n">
        <v>23</v>
      </c>
      <c r="K43" s="15" t="n"/>
      <c r="L43" s="8" t="inlineStr">
        <is>
          <t>Data held</t>
        </is>
      </c>
      <c r="M43" s="8" t="inlineStr">
        <is>
          <t>MRE</t>
        </is>
      </c>
      <c r="N43" s="11" t="inlineStr"/>
      <c r="O43" s="11" t="inlineStr"/>
      <c r="P43" s="11" t="inlineStr"/>
      <c r="Q43" s="11" t="inlineStr"/>
      <c r="R43" s="11" t="inlineStr"/>
      <c r="S43" s="11" t="inlineStr"/>
    </row>
    <row r="44">
      <c r="B44" s="13" t="inlineStr">
        <is>
          <t>TR2(c)</t>
        </is>
      </c>
      <c r="C44" s="8" t="inlineStr"/>
      <c r="D44" s="8" t="inlineStr"/>
      <c r="E44" s="18" t="inlineStr">
        <is>
          <t>SDG 10 - Reduced inequality</t>
        </is>
      </c>
      <c r="F44" s="8" t="inlineStr">
        <is>
          <t>%</t>
        </is>
      </c>
      <c r="G44" s="14" t="n"/>
      <c r="H44" s="14" t="n"/>
      <c r="I44" s="14" t="n"/>
      <c r="J44" s="14" t="n">
        <v>20</v>
      </c>
      <c r="K44" s="15" t="n"/>
      <c r="L44" s="8" t="inlineStr">
        <is>
          <t>Data held</t>
        </is>
      </c>
      <c r="M44" s="8" t="inlineStr">
        <is>
          <t>MRE</t>
        </is>
      </c>
      <c r="N44" s="11" t="inlineStr"/>
      <c r="O44" s="11" t="inlineStr"/>
      <c r="P44" s="11" t="inlineStr"/>
      <c r="Q44" s="11" t="inlineStr"/>
      <c r="R44" s="11" t="inlineStr"/>
      <c r="S44" s="11" t="inlineStr"/>
    </row>
    <row r="45">
      <c r="B45" s="13" t="inlineStr">
        <is>
          <t>TR2(c)</t>
        </is>
      </c>
      <c r="C45" s="8" t="inlineStr"/>
      <c r="D45" s="8" t="inlineStr"/>
      <c r="E45" s="18" t="inlineStr">
        <is>
          <t>SDG 11 - Sustainable cities and communities</t>
        </is>
      </c>
      <c r="F45" s="8" t="inlineStr">
        <is>
          <t>%</t>
        </is>
      </c>
      <c r="G45" s="14" t="n"/>
      <c r="H45" s="14" t="n"/>
      <c r="I45" s="14" t="n"/>
      <c r="J45" s="14" t="n">
        <v>20</v>
      </c>
      <c r="K45" s="15" t="n"/>
      <c r="L45" s="8" t="inlineStr">
        <is>
          <t>Data held</t>
        </is>
      </c>
      <c r="M45" s="8" t="inlineStr">
        <is>
          <t>MRE</t>
        </is>
      </c>
      <c r="N45" s="11" t="inlineStr"/>
      <c r="O45" s="11" t="inlineStr"/>
      <c r="P45" s="11" t="inlineStr"/>
      <c r="Q45" s="11" t="inlineStr"/>
      <c r="R45" s="11" t="inlineStr"/>
      <c r="S45" s="11" t="inlineStr"/>
    </row>
    <row r="46">
      <c r="B46" s="13" t="inlineStr">
        <is>
          <t>TR2(c)</t>
        </is>
      </c>
      <c r="C46" s="8" t="inlineStr"/>
      <c r="D46" s="8" t="inlineStr"/>
      <c r="E46" s="18" t="inlineStr">
        <is>
          <t>SDG 12 - Responsible consumption and production</t>
        </is>
      </c>
      <c r="F46" s="8" t="inlineStr">
        <is>
          <t>%</t>
        </is>
      </c>
      <c r="G46" s="14" t="n"/>
      <c r="H46" s="14" t="n"/>
      <c r="I46" s="14" t="n"/>
      <c r="J46" s="14" t="n">
        <v>20</v>
      </c>
      <c r="K46" s="15" t="n"/>
      <c r="L46" s="8" t="inlineStr">
        <is>
          <t>Data held</t>
        </is>
      </c>
      <c r="M46" s="8" t="inlineStr">
        <is>
          <t>MRE</t>
        </is>
      </c>
      <c r="N46" s="11" t="inlineStr"/>
      <c r="O46" s="11" t="inlineStr"/>
      <c r="P46" s="11" t="inlineStr"/>
      <c r="Q46" s="11" t="inlineStr"/>
      <c r="R46" s="11" t="inlineStr"/>
      <c r="S46" s="11" t="inlineStr"/>
    </row>
    <row r="47">
      <c r="B47" s="13" t="inlineStr">
        <is>
          <t>TR2(c)</t>
        </is>
      </c>
      <c r="C47" s="8" t="inlineStr"/>
      <c r="D47" s="8" t="inlineStr"/>
      <c r="E47" s="18" t="inlineStr">
        <is>
          <t>SDG 13 - Climate action</t>
        </is>
      </c>
      <c r="F47" s="8" t="inlineStr">
        <is>
          <t>%</t>
        </is>
      </c>
      <c r="G47" s="14" t="n"/>
      <c r="H47" s="14" t="n"/>
      <c r="I47" s="14" t="n"/>
      <c r="J47" s="14" t="n">
        <v>26</v>
      </c>
      <c r="K47" s="15" t="n"/>
      <c r="L47" s="8" t="inlineStr">
        <is>
          <t>Data held</t>
        </is>
      </c>
      <c r="M47" s="8" t="inlineStr">
        <is>
          <t>MRE</t>
        </is>
      </c>
      <c r="N47" s="11" t="inlineStr"/>
      <c r="O47" s="11" t="inlineStr"/>
      <c r="P47" s="11" t="inlineStr"/>
      <c r="Q47" s="11" t="inlineStr"/>
      <c r="R47" s="11" t="inlineStr"/>
      <c r="S47" s="11" t="inlineStr"/>
    </row>
    <row r="48">
      <c r="B48" s="13" t="inlineStr">
        <is>
          <t>TR2(c)</t>
        </is>
      </c>
      <c r="C48" s="8" t="inlineStr"/>
      <c r="D48" s="8" t="inlineStr"/>
      <c r="E48" s="18" t="inlineStr">
        <is>
          <t>SDG 14 - Life below water</t>
        </is>
      </c>
      <c r="F48" s="8" t="inlineStr">
        <is>
          <t>%</t>
        </is>
      </c>
      <c r="G48" s="14" t="n"/>
      <c r="H48" s="14" t="n"/>
      <c r="I48" s="14" t="n"/>
      <c r="J48" s="14" t="n">
        <v>20</v>
      </c>
      <c r="K48" s="15" t="n"/>
      <c r="L48" s="8" t="inlineStr">
        <is>
          <t>Data held</t>
        </is>
      </c>
      <c r="M48" s="8" t="inlineStr">
        <is>
          <t>MRE</t>
        </is>
      </c>
      <c r="N48" s="11" t="inlineStr"/>
      <c r="O48" s="11" t="inlineStr"/>
      <c r="P48" s="11" t="inlineStr"/>
      <c r="Q48" s="11" t="inlineStr"/>
      <c r="R48" s="11" t="inlineStr"/>
      <c r="S48" s="11" t="inlineStr"/>
    </row>
    <row r="49">
      <c r="B49" s="13" t="inlineStr">
        <is>
          <t>TR2(c)</t>
        </is>
      </c>
      <c r="C49" s="8" t="inlineStr"/>
      <c r="D49" s="8" t="inlineStr"/>
      <c r="E49" s="18" t="inlineStr">
        <is>
          <t>SDG 15 - Life on land</t>
        </is>
      </c>
      <c r="F49" s="8" t="inlineStr">
        <is>
          <t>%</t>
        </is>
      </c>
      <c r="G49" s="14" t="n"/>
      <c r="H49" s="14" t="n"/>
      <c r="I49" s="14" t="n"/>
      <c r="J49" s="14" t="n">
        <v>17</v>
      </c>
      <c r="K49" s="15" t="n"/>
      <c r="L49" s="8" t="inlineStr">
        <is>
          <t>Data held</t>
        </is>
      </c>
      <c r="M49" s="8" t="inlineStr">
        <is>
          <t>MRE</t>
        </is>
      </c>
      <c r="N49" s="11" t="inlineStr"/>
      <c r="O49" s="11" t="inlineStr"/>
      <c r="P49" s="11" t="inlineStr"/>
      <c r="Q49" s="11" t="inlineStr"/>
      <c r="R49" s="11" t="inlineStr"/>
      <c r="S49" s="11" t="inlineStr"/>
    </row>
    <row r="50">
      <c r="B50" s="13" t="inlineStr">
        <is>
          <t>TR2(c)</t>
        </is>
      </c>
      <c r="C50" s="8" t="inlineStr"/>
      <c r="D50" s="8" t="inlineStr"/>
      <c r="E50" s="18" t="inlineStr">
        <is>
          <t>SDG 16 - Peace, justice and strong institutions</t>
        </is>
      </c>
      <c r="F50" s="8" t="inlineStr">
        <is>
          <t>%</t>
        </is>
      </c>
      <c r="G50" s="14" t="n"/>
      <c r="H50" s="14" t="n"/>
      <c r="I50" s="14" t="n"/>
      <c r="J50" s="14" t="n">
        <v>20</v>
      </c>
      <c r="K50" s="15" t="n"/>
      <c r="L50" s="8" t="inlineStr">
        <is>
          <t>Data held</t>
        </is>
      </c>
      <c r="M50" s="8" t="inlineStr">
        <is>
          <t>MRE</t>
        </is>
      </c>
      <c r="N50" s="11" t="inlineStr"/>
      <c r="O50" s="11" t="inlineStr"/>
      <c r="P50" s="11" t="inlineStr"/>
      <c r="Q50" s="11" t="inlineStr"/>
      <c r="R50" s="11" t="inlineStr"/>
      <c r="S50" s="11" t="inlineStr"/>
    </row>
    <row r="51">
      <c r="B51" s="13" t="inlineStr">
        <is>
          <t>TR2(c)</t>
        </is>
      </c>
      <c r="C51" s="8" t="inlineStr"/>
      <c r="D51" s="8" t="inlineStr"/>
      <c r="E51" s="8" t="inlineStr">
        <is>
          <t>SDG-related research outputs mentioned in Patents</t>
        </is>
      </c>
      <c r="F51" s="8" t="inlineStr">
        <is>
          <t>#</t>
        </is>
      </c>
      <c r="G51" s="14" t="n"/>
      <c r="H51" s="14" t="n"/>
      <c r="I51" s="14" t="n"/>
      <c r="J51" s="14" t="n">
        <v>651</v>
      </c>
      <c r="K51" s="15" t="n"/>
      <c r="L51" s="8" t="inlineStr">
        <is>
          <t>Data held</t>
        </is>
      </c>
      <c r="M51" s="8" t="inlineStr">
        <is>
          <t>MRE</t>
        </is>
      </c>
      <c r="N51" s="11" t="inlineStr"/>
      <c r="O51" s="11" t="inlineStr"/>
      <c r="P51" s="11" t="inlineStr"/>
      <c r="Q51" s="11" t="inlineStr"/>
      <c r="R51" s="11" t="inlineStr"/>
      <c r="S51" s="11" t="inlineStr"/>
    </row>
    <row r="52">
      <c r="B52" s="13" t="inlineStr">
        <is>
          <t>TR2(c)</t>
        </is>
      </c>
      <c r="C52" s="8" t="inlineStr"/>
      <c r="D52" s="8" t="inlineStr"/>
      <c r="E52" s="18" t="inlineStr">
        <is>
          <t>SDG 1 - No Poverty</t>
        </is>
      </c>
      <c r="F52" s="8" t="inlineStr">
        <is>
          <t>#</t>
        </is>
      </c>
      <c r="G52" s="14" t="n"/>
      <c r="H52" s="14" t="n"/>
      <c r="I52" s="14" t="n"/>
      <c r="J52" s="14" t="n">
        <v>0</v>
      </c>
      <c r="K52" s="15" t="n"/>
      <c r="L52" s="8" t="inlineStr">
        <is>
          <t>Data held</t>
        </is>
      </c>
      <c r="M52" s="8" t="inlineStr">
        <is>
          <t>MRE</t>
        </is>
      </c>
      <c r="N52" s="11" t="inlineStr"/>
      <c r="O52" s="11" t="inlineStr"/>
      <c r="P52" s="11" t="inlineStr"/>
      <c r="Q52" s="11" t="inlineStr"/>
      <c r="R52" s="11" t="inlineStr"/>
      <c r="S52" s="11" t="inlineStr"/>
    </row>
    <row r="53">
      <c r="B53" s="13" t="inlineStr">
        <is>
          <t>TR2(c)</t>
        </is>
      </c>
      <c r="C53" s="8" t="inlineStr"/>
      <c r="D53" s="8" t="inlineStr"/>
      <c r="E53" s="18" t="inlineStr">
        <is>
          <t>SDG 2 - Zero Hunger</t>
        </is>
      </c>
      <c r="F53" s="8" t="inlineStr">
        <is>
          <t>#</t>
        </is>
      </c>
      <c r="G53" s="14" t="n"/>
      <c r="H53" s="14" t="n"/>
      <c r="I53" s="14" t="n"/>
      <c r="J53" s="14" t="n">
        <v>6</v>
      </c>
      <c r="K53" s="15" t="n"/>
      <c r="L53" s="8" t="inlineStr">
        <is>
          <t>Data held</t>
        </is>
      </c>
      <c r="M53" s="8" t="inlineStr">
        <is>
          <t>MRE</t>
        </is>
      </c>
      <c r="N53" s="11" t="inlineStr"/>
      <c r="O53" s="11" t="inlineStr"/>
      <c r="P53" s="11" t="inlineStr"/>
      <c r="Q53" s="11" t="inlineStr"/>
      <c r="R53" s="11" t="inlineStr"/>
      <c r="S53" s="11" t="inlineStr"/>
    </row>
    <row r="54">
      <c r="B54" s="13" t="inlineStr">
        <is>
          <t>TR2(c)</t>
        </is>
      </c>
      <c r="C54" s="8" t="inlineStr"/>
      <c r="D54" s="8" t="inlineStr"/>
      <c r="E54" s="18" t="inlineStr">
        <is>
          <t>SDG 3 - Good health and well-being</t>
        </is>
      </c>
      <c r="F54" s="8" t="inlineStr">
        <is>
          <t>#</t>
        </is>
      </c>
      <c r="G54" s="14" t="n"/>
      <c r="H54" s="14" t="n"/>
      <c r="I54" s="14" t="n"/>
      <c r="J54" s="14" t="n">
        <v>564</v>
      </c>
      <c r="K54" s="15" t="n"/>
      <c r="L54" s="8" t="inlineStr">
        <is>
          <t>Data held</t>
        </is>
      </c>
      <c r="M54" s="8" t="inlineStr">
        <is>
          <t>MRE</t>
        </is>
      </c>
      <c r="N54" s="11" t="inlineStr"/>
      <c r="O54" s="11" t="inlineStr"/>
      <c r="P54" s="11" t="inlineStr"/>
      <c r="Q54" s="11" t="inlineStr"/>
      <c r="R54" s="11" t="inlineStr"/>
      <c r="S54" s="11" t="inlineStr"/>
    </row>
    <row r="55">
      <c r="B55" s="13" t="inlineStr">
        <is>
          <t>TR2(c)</t>
        </is>
      </c>
      <c r="C55" s="8" t="inlineStr"/>
      <c r="D55" s="8" t="inlineStr"/>
      <c r="E55" s="18" t="inlineStr">
        <is>
          <t>SDG 4 - Quality Education</t>
        </is>
      </c>
      <c r="F55" s="8" t="inlineStr">
        <is>
          <t>#</t>
        </is>
      </c>
      <c r="G55" s="14" t="n"/>
      <c r="H55" s="14" t="n"/>
      <c r="I55" s="14" t="n"/>
      <c r="J55" s="14" t="n">
        <v>7</v>
      </c>
      <c r="K55" s="15" t="n"/>
      <c r="L55" s="8" t="inlineStr">
        <is>
          <t>Data held</t>
        </is>
      </c>
      <c r="M55" s="8" t="inlineStr">
        <is>
          <t>MRE</t>
        </is>
      </c>
      <c r="N55" s="11" t="inlineStr"/>
      <c r="O55" s="11" t="inlineStr"/>
      <c r="P55" s="11" t="inlineStr"/>
      <c r="Q55" s="11" t="inlineStr"/>
      <c r="R55" s="11" t="inlineStr"/>
      <c r="S55" s="11" t="inlineStr"/>
    </row>
    <row r="56">
      <c r="B56" s="13" t="inlineStr">
        <is>
          <t>TR2(c)</t>
        </is>
      </c>
      <c r="C56" s="8" t="inlineStr"/>
      <c r="D56" s="8" t="inlineStr"/>
      <c r="E56" s="18" t="inlineStr">
        <is>
          <t>SDG 5 - Gender Equality</t>
        </is>
      </c>
      <c r="F56" s="8" t="inlineStr">
        <is>
          <t>#</t>
        </is>
      </c>
      <c r="G56" s="14" t="n"/>
      <c r="H56" s="14" t="n"/>
      <c r="I56" s="14" t="n"/>
      <c r="J56" s="14" t="n">
        <v>0</v>
      </c>
      <c r="K56" s="15" t="n"/>
      <c r="L56" s="8" t="inlineStr">
        <is>
          <t>Data held</t>
        </is>
      </c>
      <c r="M56" s="8" t="inlineStr">
        <is>
          <t>MRE</t>
        </is>
      </c>
      <c r="N56" s="11" t="inlineStr"/>
      <c r="O56" s="11" t="inlineStr"/>
      <c r="P56" s="11" t="inlineStr"/>
      <c r="Q56" s="11" t="inlineStr"/>
      <c r="R56" s="11" t="inlineStr"/>
      <c r="S56" s="11" t="inlineStr"/>
    </row>
    <row r="57">
      <c r="B57" s="13" t="inlineStr">
        <is>
          <t>TR2(c)</t>
        </is>
      </c>
      <c r="C57" s="8" t="inlineStr"/>
      <c r="D57" s="8" t="inlineStr"/>
      <c r="E57" s="18" t="inlineStr">
        <is>
          <t>SDG 6 - Clean water and sanitation</t>
        </is>
      </c>
      <c r="F57" s="8" t="inlineStr">
        <is>
          <t>#</t>
        </is>
      </c>
      <c r="G57" s="14" t="n"/>
      <c r="H57" s="14" t="n"/>
      <c r="I57" s="14" t="n"/>
      <c r="J57" s="14" t="n">
        <v>1</v>
      </c>
      <c r="K57" s="15" t="n"/>
      <c r="L57" s="8" t="inlineStr">
        <is>
          <t>Data held</t>
        </is>
      </c>
      <c r="M57" s="8" t="inlineStr">
        <is>
          <t>MRE</t>
        </is>
      </c>
      <c r="N57" s="11" t="inlineStr"/>
      <c r="O57" s="11" t="inlineStr"/>
      <c r="P57" s="11" t="inlineStr"/>
      <c r="Q57" s="11" t="inlineStr"/>
      <c r="R57" s="11" t="inlineStr"/>
      <c r="S57" s="11" t="inlineStr"/>
    </row>
    <row r="58">
      <c r="B58" s="13" t="inlineStr">
        <is>
          <t>TR2(c)</t>
        </is>
      </c>
      <c r="C58" s="8" t="inlineStr"/>
      <c r="D58" s="8" t="inlineStr"/>
      <c r="E58" s="18" t="inlineStr">
        <is>
          <t>SDG 7 - Affordable and clean energy</t>
        </is>
      </c>
      <c r="F58" s="8" t="inlineStr">
        <is>
          <t>#</t>
        </is>
      </c>
      <c r="G58" s="14" t="n"/>
      <c r="H58" s="14" t="n"/>
      <c r="I58" s="14" t="n"/>
      <c r="J58" s="14" t="n">
        <v>34</v>
      </c>
      <c r="K58" s="15" t="n"/>
      <c r="L58" s="8" t="inlineStr">
        <is>
          <t>Data held</t>
        </is>
      </c>
      <c r="M58" s="8" t="inlineStr">
        <is>
          <t>MRE</t>
        </is>
      </c>
      <c r="N58" s="11" t="inlineStr"/>
      <c r="O58" s="11" t="inlineStr"/>
      <c r="P58" s="11" t="inlineStr"/>
      <c r="Q58" s="11" t="inlineStr"/>
      <c r="R58" s="11" t="inlineStr"/>
      <c r="S58" s="11" t="inlineStr"/>
    </row>
    <row r="59">
      <c r="B59" s="13" t="inlineStr">
        <is>
          <t>TR2(c)</t>
        </is>
      </c>
      <c r="C59" s="8" t="inlineStr"/>
      <c r="D59" s="8" t="inlineStr"/>
      <c r="E59" s="18" t="inlineStr">
        <is>
          <t>SDG 8 - Decent work and economic growth</t>
        </is>
      </c>
      <c r="F59" s="8" t="inlineStr">
        <is>
          <t>#</t>
        </is>
      </c>
      <c r="G59" s="14" t="n"/>
      <c r="H59" s="14" t="n"/>
      <c r="I59" s="14" t="n"/>
      <c r="J59" s="14" t="n">
        <v>0</v>
      </c>
      <c r="K59" s="15" t="n"/>
      <c r="L59" s="8" t="inlineStr">
        <is>
          <t>Data held</t>
        </is>
      </c>
      <c r="M59" s="8" t="inlineStr">
        <is>
          <t>MRE</t>
        </is>
      </c>
      <c r="N59" s="11" t="inlineStr"/>
      <c r="O59" s="11" t="inlineStr"/>
      <c r="P59" s="11" t="inlineStr"/>
      <c r="Q59" s="11" t="inlineStr"/>
      <c r="R59" s="11" t="inlineStr"/>
      <c r="S59" s="11" t="inlineStr"/>
    </row>
    <row r="60">
      <c r="B60" s="13" t="inlineStr">
        <is>
          <t>TR2(c)</t>
        </is>
      </c>
      <c r="C60" s="8" t="inlineStr"/>
      <c r="D60" s="8" t="inlineStr"/>
      <c r="E60" s="18" t="inlineStr">
        <is>
          <t>SDG 9 - Industry, innovation and infrastructure</t>
        </is>
      </c>
      <c r="F60" s="8" t="inlineStr">
        <is>
          <t>#</t>
        </is>
      </c>
      <c r="G60" s="14" t="n"/>
      <c r="H60" s="14" t="n"/>
      <c r="I60" s="14" t="n"/>
      <c r="J60" s="14" t="n">
        <v>1</v>
      </c>
      <c r="K60" s="15" t="n"/>
      <c r="L60" s="8" t="inlineStr">
        <is>
          <t>Data held</t>
        </is>
      </c>
      <c r="M60" s="8" t="inlineStr">
        <is>
          <t>MRE</t>
        </is>
      </c>
      <c r="N60" s="11" t="inlineStr"/>
      <c r="O60" s="11" t="inlineStr"/>
      <c r="P60" s="11" t="inlineStr"/>
      <c r="Q60" s="11" t="inlineStr"/>
      <c r="R60" s="11" t="inlineStr"/>
      <c r="S60" s="11" t="inlineStr"/>
    </row>
    <row r="61">
      <c r="B61" s="13" t="inlineStr">
        <is>
          <t>TR2(c)</t>
        </is>
      </c>
      <c r="C61" s="8" t="inlineStr"/>
      <c r="D61" s="8" t="inlineStr"/>
      <c r="E61" s="18" t="inlineStr">
        <is>
          <t>SDG 10 - Reduced inequality</t>
        </is>
      </c>
      <c r="F61" s="8" t="inlineStr">
        <is>
          <t>#</t>
        </is>
      </c>
      <c r="G61" s="14" t="n"/>
      <c r="H61" s="14" t="n"/>
      <c r="I61" s="14" t="n"/>
      <c r="J61" s="14" t="n">
        <v>1</v>
      </c>
      <c r="K61" s="15" t="n"/>
      <c r="L61" s="8" t="inlineStr">
        <is>
          <t>Data held</t>
        </is>
      </c>
      <c r="M61" s="8" t="inlineStr">
        <is>
          <t>MRE</t>
        </is>
      </c>
      <c r="N61" s="11" t="inlineStr"/>
      <c r="O61" s="11" t="inlineStr"/>
      <c r="P61" s="11" t="inlineStr"/>
      <c r="Q61" s="11" t="inlineStr"/>
      <c r="R61" s="11" t="inlineStr"/>
      <c r="S61" s="11" t="inlineStr"/>
    </row>
    <row r="62">
      <c r="B62" s="13" t="inlineStr">
        <is>
          <t>TR2(c)</t>
        </is>
      </c>
      <c r="C62" s="8" t="inlineStr"/>
      <c r="D62" s="8" t="inlineStr"/>
      <c r="E62" s="18" t="inlineStr">
        <is>
          <t>SDG 11 - Sustainable cities and communities</t>
        </is>
      </c>
      <c r="F62" s="8" t="inlineStr">
        <is>
          <t>#</t>
        </is>
      </c>
      <c r="G62" s="14" t="n"/>
      <c r="H62" s="14" t="n"/>
      <c r="I62" s="14" t="n"/>
      <c r="J62" s="14" t="n">
        <v>6</v>
      </c>
      <c r="K62" s="15" t="n"/>
      <c r="L62" s="8" t="inlineStr">
        <is>
          <t>Data held</t>
        </is>
      </c>
      <c r="M62" s="8" t="inlineStr">
        <is>
          <t>MRE</t>
        </is>
      </c>
      <c r="N62" s="11" t="inlineStr"/>
      <c r="O62" s="11" t="inlineStr"/>
      <c r="P62" s="11" t="inlineStr"/>
      <c r="Q62" s="11" t="inlineStr"/>
      <c r="R62" s="11" t="inlineStr"/>
      <c r="S62" s="11" t="inlineStr"/>
    </row>
    <row r="63">
      <c r="B63" s="13" t="inlineStr">
        <is>
          <t>TR2(c)</t>
        </is>
      </c>
      <c r="C63" s="8" t="inlineStr"/>
      <c r="D63" s="8" t="inlineStr"/>
      <c r="E63" s="18" t="inlineStr">
        <is>
          <t>SDG 12 - Responsible consumption and production</t>
        </is>
      </c>
      <c r="F63" s="8" t="inlineStr">
        <is>
          <t>#</t>
        </is>
      </c>
      <c r="G63" s="14" t="n"/>
      <c r="H63" s="14" t="n"/>
      <c r="I63" s="14" t="n"/>
      <c r="J63" s="14" t="n">
        <v>8</v>
      </c>
      <c r="K63" s="15" t="n"/>
      <c r="L63" s="8" t="inlineStr">
        <is>
          <t>Data held</t>
        </is>
      </c>
      <c r="M63" s="8" t="inlineStr">
        <is>
          <t>MRE</t>
        </is>
      </c>
      <c r="N63" s="11" t="inlineStr"/>
      <c r="O63" s="11" t="inlineStr"/>
      <c r="P63" s="11" t="inlineStr"/>
      <c r="Q63" s="11" t="inlineStr"/>
      <c r="R63" s="11" t="inlineStr"/>
      <c r="S63" s="11" t="inlineStr"/>
    </row>
    <row r="64">
      <c r="B64" s="13" t="inlineStr">
        <is>
          <t>TR2(c)</t>
        </is>
      </c>
      <c r="C64" s="8" t="inlineStr"/>
      <c r="D64" s="8" t="inlineStr"/>
      <c r="E64" s="18" t="inlineStr">
        <is>
          <t>SDG 13 - Climate action</t>
        </is>
      </c>
      <c r="F64" s="8" t="inlineStr">
        <is>
          <t>#</t>
        </is>
      </c>
      <c r="G64" s="14" t="n"/>
      <c r="H64" s="14" t="n"/>
      <c r="I64" s="14" t="n"/>
      <c r="J64" s="14" t="n">
        <v>15</v>
      </c>
      <c r="K64" s="15" t="n"/>
      <c r="L64" s="8" t="inlineStr">
        <is>
          <t>Data held</t>
        </is>
      </c>
      <c r="M64" s="8" t="inlineStr">
        <is>
          <t>MRE</t>
        </is>
      </c>
      <c r="N64" s="11" t="inlineStr"/>
      <c r="O64" s="11" t="inlineStr"/>
      <c r="P64" s="11" t="inlineStr"/>
      <c r="Q64" s="11" t="inlineStr"/>
      <c r="R64" s="11" t="inlineStr"/>
      <c r="S64" s="11" t="inlineStr"/>
    </row>
    <row r="65">
      <c r="B65" s="13" t="inlineStr">
        <is>
          <t>TR2(c)</t>
        </is>
      </c>
      <c r="C65" s="8" t="inlineStr"/>
      <c r="D65" s="8" t="inlineStr"/>
      <c r="E65" s="18" t="inlineStr">
        <is>
          <t>SDG 14 - Life below water</t>
        </is>
      </c>
      <c r="F65" s="8" t="inlineStr">
        <is>
          <t>#</t>
        </is>
      </c>
      <c r="G65" s="14" t="n"/>
      <c r="H65" s="14" t="n"/>
      <c r="I65" s="14" t="n"/>
      <c r="J65" s="14" t="n">
        <v>3</v>
      </c>
      <c r="K65" s="15" t="n"/>
      <c r="L65" s="8" t="inlineStr">
        <is>
          <t>Data held</t>
        </is>
      </c>
      <c r="M65" s="8" t="inlineStr">
        <is>
          <t>MRE</t>
        </is>
      </c>
      <c r="N65" s="11" t="inlineStr"/>
      <c r="O65" s="11" t="inlineStr"/>
      <c r="P65" s="11" t="inlineStr"/>
      <c r="Q65" s="11" t="inlineStr"/>
      <c r="R65" s="11" t="inlineStr"/>
      <c r="S65" s="11" t="inlineStr"/>
    </row>
    <row r="66">
      <c r="B66" s="13" t="inlineStr">
        <is>
          <t>TR2(c)</t>
        </is>
      </c>
      <c r="C66" s="8" t="inlineStr"/>
      <c r="D66" s="8" t="inlineStr"/>
      <c r="E66" s="18" t="inlineStr">
        <is>
          <t>SDG 15 - Life on land</t>
        </is>
      </c>
      <c r="F66" s="8" t="inlineStr">
        <is>
          <t>#</t>
        </is>
      </c>
      <c r="G66" s="14" t="n"/>
      <c r="H66" s="14" t="n"/>
      <c r="I66" s="14" t="n"/>
      <c r="J66" s="14" t="n">
        <v>5</v>
      </c>
      <c r="K66" s="15" t="n"/>
      <c r="L66" s="8" t="inlineStr">
        <is>
          <t>Data held</t>
        </is>
      </c>
      <c r="M66" s="8" t="inlineStr">
        <is>
          <t>MRE</t>
        </is>
      </c>
      <c r="N66" s="11" t="inlineStr"/>
      <c r="O66" s="11" t="inlineStr"/>
      <c r="P66" s="11" t="inlineStr"/>
      <c r="Q66" s="11" t="inlineStr"/>
      <c r="R66" s="11" t="inlineStr"/>
      <c r="S66" s="11" t="inlineStr"/>
    </row>
    <row r="67">
      <c r="B67" s="13" t="inlineStr">
        <is>
          <t>TR2(c)</t>
        </is>
      </c>
      <c r="C67" s="8" t="inlineStr"/>
      <c r="D67" s="8" t="inlineStr"/>
      <c r="E67" s="18" t="inlineStr">
        <is>
          <t>SDG 16 - Peace, justice and strong institutions</t>
        </is>
      </c>
      <c r="F67" s="8" t="inlineStr">
        <is>
          <t>#</t>
        </is>
      </c>
      <c r="G67" s="14" t="n"/>
      <c r="H67" s="14" t="n"/>
      <c r="I67" s="14" t="n"/>
      <c r="J67" s="14" t="n">
        <v>0</v>
      </c>
      <c r="K67" s="15" t="n"/>
      <c r="L67" s="8" t="inlineStr">
        <is>
          <t>Data held</t>
        </is>
      </c>
      <c r="M67" s="8" t="inlineStr">
        <is>
          <t>MRE</t>
        </is>
      </c>
      <c r="N67" s="11" t="inlineStr"/>
      <c r="O67" s="11" t="inlineStr"/>
      <c r="P67" s="11" t="inlineStr"/>
      <c r="Q67" s="11" t="inlineStr"/>
      <c r="R67" s="11" t="inlineStr"/>
      <c r="S67" s="11" t="inlineStr"/>
    </row>
    <row r="68">
      <c r="B68" s="13" t="inlineStr">
        <is>
          <t>TR2(c)</t>
        </is>
      </c>
      <c r="C68" s="8" t="inlineStr"/>
      <c r="D68" s="8" t="inlineStr"/>
      <c r="E68" s="18" t="inlineStr">
        <is>
          <t>SDG 17 - Partnerships</t>
        </is>
      </c>
      <c r="F68" s="8" t="inlineStr">
        <is>
          <t>#</t>
        </is>
      </c>
      <c r="G68" s="14" t="n"/>
      <c r="H68" s="14" t="n"/>
      <c r="I68" s="14" t="n"/>
      <c r="J68" s="14" t="n">
        <v>0</v>
      </c>
      <c r="K68" s="15" t="n"/>
      <c r="L68" s="8" t="inlineStr">
        <is>
          <t>Data held</t>
        </is>
      </c>
      <c r="M68" s="8" t="inlineStr">
        <is>
          <t>MRE</t>
        </is>
      </c>
      <c r="N68" s="11" t="inlineStr"/>
      <c r="O68" s="11" t="inlineStr"/>
      <c r="P68" s="11" t="inlineStr"/>
      <c r="Q68" s="11" t="inlineStr"/>
      <c r="R68" s="11" t="inlineStr"/>
      <c r="S68" s="11" t="inlineStr"/>
    </row>
    <row r="69">
      <c r="B69" s="13" t="inlineStr">
        <is>
          <t>TR2(c)</t>
        </is>
      </c>
      <c r="C69" s="8" t="inlineStr"/>
      <c r="D69" s="8" t="inlineStr"/>
      <c r="E69" s="8" t="inlineStr">
        <is>
          <t>SDG-related research outputs mentioned in Policy and related documents</t>
        </is>
      </c>
      <c r="F69" s="8" t="inlineStr">
        <is>
          <t>#</t>
        </is>
      </c>
      <c r="G69" s="14" t="n"/>
      <c r="H69" s="14" t="n"/>
      <c r="I69" s="14" t="n"/>
      <c r="J69" s="14" t="n">
        <v>1256</v>
      </c>
      <c r="K69" s="15" t="n"/>
      <c r="L69" s="8" t="inlineStr">
        <is>
          <t>Data held</t>
        </is>
      </c>
      <c r="M69" s="8" t="inlineStr">
        <is>
          <t>MRE</t>
        </is>
      </c>
      <c r="N69" s="11" t="inlineStr"/>
      <c r="O69" s="11" t="inlineStr"/>
      <c r="P69" s="11" t="inlineStr"/>
      <c r="Q69" s="11" t="inlineStr"/>
      <c r="R69" s="11" t="inlineStr"/>
      <c r="S69" s="11" t="inlineStr"/>
    </row>
    <row r="70">
      <c r="B70" s="13" t="inlineStr">
        <is>
          <t>TR2(c)</t>
        </is>
      </c>
      <c r="C70" s="8" t="inlineStr"/>
      <c r="D70" s="8" t="inlineStr"/>
      <c r="E70" s="18" t="inlineStr">
        <is>
          <t>SDG 1 - No Poverty</t>
        </is>
      </c>
      <c r="F70" s="8" t="inlineStr">
        <is>
          <t>#</t>
        </is>
      </c>
      <c r="G70" s="14" t="n"/>
      <c r="H70" s="14" t="n"/>
      <c r="I70" s="14" t="n"/>
      <c r="J70" s="14" t="n">
        <v>6</v>
      </c>
      <c r="K70" s="15" t="n"/>
      <c r="L70" s="8" t="inlineStr">
        <is>
          <t>Data held</t>
        </is>
      </c>
      <c r="M70" s="8" t="inlineStr">
        <is>
          <t>MRE</t>
        </is>
      </c>
      <c r="N70" s="11" t="inlineStr"/>
      <c r="O70" s="11" t="inlineStr"/>
      <c r="P70" s="11" t="inlineStr"/>
      <c r="Q70" s="11" t="inlineStr"/>
      <c r="R70" s="11" t="inlineStr"/>
      <c r="S70" s="11" t="inlineStr"/>
    </row>
    <row r="71">
      <c r="B71" s="13" t="inlineStr">
        <is>
          <t>TR2(c)</t>
        </is>
      </c>
      <c r="C71" s="8" t="inlineStr"/>
      <c r="D71" s="8" t="inlineStr"/>
      <c r="E71" s="18" t="inlineStr">
        <is>
          <t>SDG 2 - Zero Hunger</t>
        </is>
      </c>
      <c r="F71" s="8" t="inlineStr">
        <is>
          <t>#</t>
        </is>
      </c>
      <c r="G71" s="14" t="n"/>
      <c r="H71" s="14" t="n"/>
      <c r="I71" s="14" t="n"/>
      <c r="J71" s="14" t="n">
        <v>32</v>
      </c>
      <c r="K71" s="15" t="n"/>
      <c r="L71" s="8" t="inlineStr">
        <is>
          <t>Data held</t>
        </is>
      </c>
      <c r="M71" s="8" t="inlineStr">
        <is>
          <t>MRE</t>
        </is>
      </c>
      <c r="N71" s="11" t="inlineStr"/>
      <c r="O71" s="11" t="inlineStr"/>
      <c r="P71" s="11" t="inlineStr"/>
      <c r="Q71" s="11" t="inlineStr"/>
      <c r="R71" s="11" t="inlineStr"/>
      <c r="S71" s="11" t="inlineStr"/>
    </row>
    <row r="72">
      <c r="B72" s="13" t="inlineStr">
        <is>
          <t>TR2(c)</t>
        </is>
      </c>
      <c r="C72" s="8" t="inlineStr"/>
      <c r="D72" s="8" t="inlineStr"/>
      <c r="E72" s="18" t="inlineStr">
        <is>
          <t>SDG 3 - Good health and well-being</t>
        </is>
      </c>
      <c r="F72" s="8" t="inlineStr">
        <is>
          <t>#</t>
        </is>
      </c>
      <c r="G72" s="14" t="n"/>
      <c r="H72" s="14" t="n"/>
      <c r="I72" s="14" t="n"/>
      <c r="J72" s="14" t="n">
        <v>676</v>
      </c>
      <c r="K72" s="15" t="n"/>
      <c r="L72" s="8" t="inlineStr">
        <is>
          <t>Data held</t>
        </is>
      </c>
      <c r="M72" s="8" t="inlineStr">
        <is>
          <t>MRE</t>
        </is>
      </c>
      <c r="N72" s="11" t="inlineStr"/>
      <c r="O72" s="11" t="inlineStr"/>
      <c r="P72" s="11" t="inlineStr"/>
      <c r="Q72" s="11" t="inlineStr"/>
      <c r="R72" s="11" t="inlineStr"/>
      <c r="S72" s="11" t="inlineStr"/>
    </row>
    <row r="73">
      <c r="B73" s="13" t="inlineStr">
        <is>
          <t>TR2(c)</t>
        </is>
      </c>
      <c r="C73" s="8" t="inlineStr"/>
      <c r="D73" s="8" t="inlineStr"/>
      <c r="E73" s="18" t="inlineStr">
        <is>
          <t>SDG 4 - Quality Education</t>
        </is>
      </c>
      <c r="F73" s="8" t="inlineStr">
        <is>
          <t>#</t>
        </is>
      </c>
      <c r="G73" s="14" t="n"/>
      <c r="H73" s="14" t="n"/>
      <c r="I73" s="14" t="n"/>
      <c r="J73" s="14" t="n">
        <v>48</v>
      </c>
      <c r="K73" s="15" t="n"/>
      <c r="L73" s="8" t="inlineStr">
        <is>
          <t>Data held</t>
        </is>
      </c>
      <c r="M73" s="8" t="inlineStr">
        <is>
          <t>MRE</t>
        </is>
      </c>
      <c r="N73" s="11" t="inlineStr"/>
      <c r="O73" s="11" t="inlineStr"/>
      <c r="P73" s="11" t="inlineStr"/>
      <c r="Q73" s="11" t="inlineStr"/>
      <c r="R73" s="11" t="inlineStr"/>
      <c r="S73" s="11" t="inlineStr"/>
    </row>
    <row r="74">
      <c r="B74" s="13" t="inlineStr">
        <is>
          <t>TR2(c)</t>
        </is>
      </c>
      <c r="C74" s="8" t="inlineStr"/>
      <c r="D74" s="8" t="inlineStr"/>
      <c r="E74" s="18" t="inlineStr">
        <is>
          <t>SDG 5 - Gender Equality</t>
        </is>
      </c>
      <c r="F74" s="8" t="inlineStr">
        <is>
          <t>#</t>
        </is>
      </c>
      <c r="G74" s="14" t="n"/>
      <c r="H74" s="14" t="n"/>
      <c r="I74" s="14" t="n"/>
      <c r="J74" s="14" t="n">
        <v>30</v>
      </c>
      <c r="K74" s="15" t="n"/>
      <c r="L74" s="8" t="inlineStr">
        <is>
          <t>Data held</t>
        </is>
      </c>
      <c r="M74" s="8" t="inlineStr">
        <is>
          <t>MRE</t>
        </is>
      </c>
      <c r="N74" s="11" t="inlineStr"/>
      <c r="O74" s="11" t="inlineStr"/>
      <c r="P74" s="11" t="inlineStr"/>
      <c r="Q74" s="11" t="inlineStr"/>
      <c r="R74" s="11" t="inlineStr"/>
      <c r="S74" s="11" t="inlineStr"/>
    </row>
    <row r="75">
      <c r="B75" s="13" t="inlineStr">
        <is>
          <t>TR2(c)</t>
        </is>
      </c>
      <c r="C75" s="8" t="inlineStr"/>
      <c r="D75" s="8" t="inlineStr"/>
      <c r="E75" s="18" t="inlineStr">
        <is>
          <t>SDG 6 - Clean water and sanitation</t>
        </is>
      </c>
      <c r="F75" s="8" t="inlineStr">
        <is>
          <t>#</t>
        </is>
      </c>
      <c r="G75" s="14" t="n"/>
      <c r="H75" s="14" t="n"/>
      <c r="I75" s="14" t="n"/>
      <c r="J75" s="14" t="n">
        <v>32</v>
      </c>
      <c r="K75" s="15" t="n"/>
      <c r="L75" s="8" t="inlineStr">
        <is>
          <t>Data held</t>
        </is>
      </c>
      <c r="M75" s="8" t="inlineStr">
        <is>
          <t>MRE</t>
        </is>
      </c>
      <c r="N75" s="11" t="inlineStr"/>
      <c r="O75" s="11" t="inlineStr"/>
      <c r="P75" s="11" t="inlineStr"/>
      <c r="Q75" s="11" t="inlineStr"/>
      <c r="R75" s="11" t="inlineStr"/>
      <c r="S75" s="11" t="inlineStr"/>
    </row>
    <row r="76">
      <c r="B76" s="13" t="inlineStr">
        <is>
          <t>TR2(c)</t>
        </is>
      </c>
      <c r="C76" s="8" t="inlineStr"/>
      <c r="D76" s="8" t="inlineStr"/>
      <c r="E76" s="18" t="inlineStr">
        <is>
          <t>SDG 7 - Affordable and clean energy</t>
        </is>
      </c>
      <c r="F76" s="8" t="inlineStr">
        <is>
          <t>#</t>
        </is>
      </c>
      <c r="G76" s="14" t="n"/>
      <c r="H76" s="14" t="n"/>
      <c r="I76" s="14" t="n"/>
      <c r="J76" s="14" t="n">
        <v>12</v>
      </c>
      <c r="K76" s="15" t="n"/>
      <c r="L76" s="8" t="inlineStr">
        <is>
          <t>Data held</t>
        </is>
      </c>
      <c r="M76" s="8" t="inlineStr">
        <is>
          <t>MRE</t>
        </is>
      </c>
      <c r="N76" s="11" t="inlineStr"/>
      <c r="O76" s="11" t="inlineStr"/>
      <c r="P76" s="11" t="inlineStr"/>
      <c r="Q76" s="11" t="inlineStr"/>
      <c r="R76" s="11" t="inlineStr"/>
      <c r="S76" s="11" t="inlineStr"/>
    </row>
    <row r="77">
      <c r="B77" s="13" t="inlineStr">
        <is>
          <t>TR2(c)</t>
        </is>
      </c>
      <c r="C77" s="8" t="inlineStr"/>
      <c r="D77" s="8" t="inlineStr"/>
      <c r="E77" s="18" t="inlineStr">
        <is>
          <t>SDG 8 - Decent work and economic growth</t>
        </is>
      </c>
      <c r="F77" s="8" t="inlineStr">
        <is>
          <t>#</t>
        </is>
      </c>
      <c r="G77" s="14" t="n"/>
      <c r="H77" s="14" t="n"/>
      <c r="I77" s="14" t="n"/>
      <c r="J77" s="14" t="n">
        <v>31</v>
      </c>
      <c r="K77" s="15" t="n"/>
      <c r="L77" s="8" t="inlineStr">
        <is>
          <t>Data held</t>
        </is>
      </c>
      <c r="M77" s="8" t="inlineStr">
        <is>
          <t>MRE</t>
        </is>
      </c>
      <c r="N77" s="11" t="inlineStr"/>
      <c r="O77" s="11" t="inlineStr"/>
      <c r="P77" s="11" t="inlineStr"/>
      <c r="Q77" s="11" t="inlineStr"/>
      <c r="R77" s="11" t="inlineStr"/>
      <c r="S77" s="11" t="inlineStr"/>
    </row>
    <row r="78">
      <c r="B78" s="13" t="inlineStr">
        <is>
          <t>TR2(c)</t>
        </is>
      </c>
      <c r="C78" s="8" t="inlineStr"/>
      <c r="D78" s="8" t="inlineStr"/>
      <c r="E78" s="18" t="inlineStr">
        <is>
          <t>SDG 9 - Industry, innovation and infrastructure</t>
        </is>
      </c>
      <c r="F78" s="8" t="inlineStr">
        <is>
          <t>#</t>
        </is>
      </c>
      <c r="G78" s="14" t="n"/>
      <c r="H78" s="14" t="n"/>
      <c r="I78" s="14" t="n"/>
      <c r="J78" s="14" t="n">
        <v>1</v>
      </c>
      <c r="K78" s="15" t="n"/>
      <c r="L78" s="8" t="inlineStr">
        <is>
          <t>Data held</t>
        </is>
      </c>
      <c r="M78" s="8" t="inlineStr">
        <is>
          <t>MRE</t>
        </is>
      </c>
      <c r="N78" s="11" t="inlineStr"/>
      <c r="O78" s="11" t="inlineStr"/>
      <c r="P78" s="11" t="inlineStr"/>
      <c r="Q78" s="11" t="inlineStr"/>
      <c r="R78" s="11" t="inlineStr"/>
      <c r="S78" s="11" t="inlineStr"/>
    </row>
    <row r="79">
      <c r="B79" s="13" t="inlineStr">
        <is>
          <t>TR2(c)</t>
        </is>
      </c>
      <c r="C79" s="8" t="inlineStr"/>
      <c r="D79" s="8" t="inlineStr"/>
      <c r="E79" s="18" t="inlineStr">
        <is>
          <t>SDG 10 - Reduced inequality</t>
        </is>
      </c>
      <c r="F79" s="8" t="inlineStr">
        <is>
          <t>#</t>
        </is>
      </c>
      <c r="G79" s="14" t="n"/>
      <c r="H79" s="14" t="n"/>
      <c r="I79" s="14" t="n"/>
      <c r="J79" s="14" t="n">
        <v>29</v>
      </c>
      <c r="K79" s="15" t="n"/>
      <c r="L79" s="8" t="inlineStr">
        <is>
          <t>Data held</t>
        </is>
      </c>
      <c r="M79" s="8" t="inlineStr">
        <is>
          <t>MRE</t>
        </is>
      </c>
      <c r="N79" s="11" t="inlineStr"/>
      <c r="O79" s="11" t="inlineStr"/>
      <c r="P79" s="11" t="inlineStr"/>
      <c r="Q79" s="11" t="inlineStr"/>
      <c r="R79" s="11" t="inlineStr"/>
      <c r="S79" s="11" t="inlineStr"/>
    </row>
    <row r="80">
      <c r="B80" s="13" t="inlineStr">
        <is>
          <t>TR2(c)</t>
        </is>
      </c>
      <c r="C80" s="8" t="inlineStr"/>
      <c r="D80" s="8" t="inlineStr"/>
      <c r="E80" s="18" t="inlineStr">
        <is>
          <t>SDG 11 - Sustainable cities and communities</t>
        </is>
      </c>
      <c r="F80" s="8" t="inlineStr">
        <is>
          <t>#</t>
        </is>
      </c>
      <c r="G80" s="14" t="n"/>
      <c r="H80" s="14" t="n"/>
      <c r="I80" s="14" t="n"/>
      <c r="J80" s="14" t="n">
        <v>27</v>
      </c>
      <c r="K80" s="15" t="n"/>
      <c r="L80" s="8" t="inlineStr">
        <is>
          <t>Data held</t>
        </is>
      </c>
      <c r="M80" s="8" t="inlineStr">
        <is>
          <t>MRE</t>
        </is>
      </c>
      <c r="N80" s="11" t="inlineStr"/>
      <c r="O80" s="11" t="inlineStr"/>
      <c r="P80" s="11" t="inlineStr"/>
      <c r="Q80" s="11" t="inlineStr"/>
      <c r="R80" s="11" t="inlineStr"/>
      <c r="S80" s="11" t="inlineStr"/>
    </row>
    <row r="81">
      <c r="B81" s="13" t="inlineStr">
        <is>
          <t>TR2(c)</t>
        </is>
      </c>
      <c r="C81" s="8" t="inlineStr"/>
      <c r="D81" s="8" t="inlineStr"/>
      <c r="E81" s="18" t="inlineStr">
        <is>
          <t>SDG 12 - Responsible consumption and production</t>
        </is>
      </c>
      <c r="F81" s="8" t="inlineStr">
        <is>
          <t>#</t>
        </is>
      </c>
      <c r="G81" s="14" t="n"/>
      <c r="H81" s="14" t="n"/>
      <c r="I81" s="14" t="n"/>
      <c r="J81" s="14" t="n">
        <v>8</v>
      </c>
      <c r="K81" s="15" t="n"/>
      <c r="L81" s="8" t="inlineStr">
        <is>
          <t>Data held</t>
        </is>
      </c>
      <c r="M81" s="8" t="inlineStr">
        <is>
          <t>MRE</t>
        </is>
      </c>
      <c r="N81" s="11" t="inlineStr"/>
      <c r="O81" s="11" t="inlineStr"/>
      <c r="P81" s="11" t="inlineStr"/>
      <c r="Q81" s="11" t="inlineStr"/>
      <c r="R81" s="11" t="inlineStr"/>
      <c r="S81" s="11" t="inlineStr"/>
    </row>
    <row r="82">
      <c r="B82" s="13" t="inlineStr">
        <is>
          <t>TR2(c)</t>
        </is>
      </c>
      <c r="C82" s="8" t="inlineStr"/>
      <c r="D82" s="8" t="inlineStr"/>
      <c r="E82" s="18" t="inlineStr">
        <is>
          <t>SDG 13 - Climate action</t>
        </is>
      </c>
      <c r="F82" s="8" t="inlineStr">
        <is>
          <t>#</t>
        </is>
      </c>
      <c r="G82" s="14" t="n"/>
      <c r="H82" s="14" t="n"/>
      <c r="I82" s="14" t="n"/>
      <c r="J82" s="14" t="n">
        <v>193</v>
      </c>
      <c r="K82" s="15" t="n"/>
      <c r="L82" s="8" t="inlineStr">
        <is>
          <t>Data held</t>
        </is>
      </c>
      <c r="M82" s="8" t="inlineStr">
        <is>
          <t>MRE</t>
        </is>
      </c>
      <c r="N82" s="11" t="inlineStr"/>
      <c r="O82" s="11" t="inlineStr"/>
      <c r="P82" s="11" t="inlineStr"/>
      <c r="Q82" s="11" t="inlineStr"/>
      <c r="R82" s="11" t="inlineStr"/>
      <c r="S82" s="11" t="inlineStr"/>
    </row>
    <row r="83">
      <c r="B83" s="13" t="inlineStr">
        <is>
          <t>TR2(c)</t>
        </is>
      </c>
      <c r="C83" s="8" t="inlineStr"/>
      <c r="D83" s="8" t="inlineStr"/>
      <c r="E83" s="18" t="inlineStr">
        <is>
          <t>SDG 14 - Life below water</t>
        </is>
      </c>
      <c r="F83" s="8" t="inlineStr">
        <is>
          <t>#</t>
        </is>
      </c>
      <c r="G83" s="14" t="n"/>
      <c r="H83" s="14" t="n"/>
      <c r="I83" s="14" t="n"/>
      <c r="J83" s="14" t="n">
        <v>13</v>
      </c>
      <c r="K83" s="15" t="n"/>
      <c r="L83" s="8" t="inlineStr">
        <is>
          <t>Data held</t>
        </is>
      </c>
      <c r="M83" s="8" t="inlineStr">
        <is>
          <t>MRE</t>
        </is>
      </c>
      <c r="N83" s="11" t="inlineStr"/>
      <c r="O83" s="11" t="inlineStr"/>
      <c r="P83" s="11" t="inlineStr"/>
      <c r="Q83" s="11" t="inlineStr"/>
      <c r="R83" s="11" t="inlineStr"/>
      <c r="S83" s="11" t="inlineStr"/>
    </row>
    <row r="84">
      <c r="B84" s="13" t="inlineStr">
        <is>
          <t>TR2(c)</t>
        </is>
      </c>
      <c r="C84" s="8" t="inlineStr"/>
      <c r="D84" s="8" t="inlineStr"/>
      <c r="E84" s="18" t="inlineStr">
        <is>
          <t>SDG 15 - Life on land</t>
        </is>
      </c>
      <c r="F84" s="8" t="inlineStr">
        <is>
          <t>#</t>
        </is>
      </c>
      <c r="G84" s="14" t="n"/>
      <c r="H84" s="14" t="n"/>
      <c r="I84" s="14" t="n"/>
      <c r="J84" s="14" t="n">
        <v>65</v>
      </c>
      <c r="K84" s="15" t="n"/>
      <c r="L84" s="8" t="inlineStr">
        <is>
          <t>Data held</t>
        </is>
      </c>
      <c r="M84" s="8" t="inlineStr">
        <is>
          <t>MRE</t>
        </is>
      </c>
      <c r="N84" s="11" t="inlineStr"/>
      <c r="O84" s="11" t="inlineStr"/>
      <c r="P84" s="11" t="inlineStr"/>
      <c r="Q84" s="11" t="inlineStr"/>
      <c r="R84" s="11" t="inlineStr"/>
      <c r="S84" s="11" t="inlineStr"/>
    </row>
    <row r="85">
      <c r="B85" s="13" t="inlineStr">
        <is>
          <t>TR2(c)</t>
        </is>
      </c>
      <c r="C85" s="8" t="inlineStr"/>
      <c r="D85" s="8" t="inlineStr"/>
      <c r="E85" s="18" t="inlineStr">
        <is>
          <t>SDG 16 - Peace, justice and strong institutions</t>
        </is>
      </c>
      <c r="F85" s="8" t="inlineStr">
        <is>
          <t>#</t>
        </is>
      </c>
      <c r="G85" s="14" t="n"/>
      <c r="H85" s="14" t="n"/>
      <c r="I85" s="14" t="n"/>
      <c r="J85" s="14" t="n">
        <v>52</v>
      </c>
      <c r="K85" s="15" t="n"/>
      <c r="L85" s="8" t="inlineStr">
        <is>
          <t>Data held</t>
        </is>
      </c>
      <c r="M85" s="8" t="inlineStr">
        <is>
          <t>MRE</t>
        </is>
      </c>
      <c r="N85" s="11" t="inlineStr"/>
      <c r="O85" s="11" t="inlineStr"/>
      <c r="P85" s="11" t="inlineStr"/>
      <c r="Q85" s="11" t="inlineStr"/>
      <c r="R85" s="11" t="inlineStr"/>
      <c r="S85" s="11" t="inlineStr"/>
    </row>
    <row r="86">
      <c r="B86" s="13" t="inlineStr">
        <is>
          <t>TR2(c)</t>
        </is>
      </c>
      <c r="C86" s="8" t="inlineStr"/>
      <c r="D86" s="8" t="inlineStr"/>
      <c r="E86" s="18" t="inlineStr">
        <is>
          <t>SDG 17 - Partnerships</t>
        </is>
      </c>
      <c r="F86" s="8" t="inlineStr">
        <is>
          <t>#</t>
        </is>
      </c>
      <c r="G86" s="14" t="n"/>
      <c r="H86" s="14" t="n"/>
      <c r="I86" s="14" t="n"/>
      <c r="J86" s="14" t="n">
        <v>1</v>
      </c>
      <c r="K86" s="15" t="n"/>
      <c r="L86" s="8" t="inlineStr">
        <is>
          <t>Data held</t>
        </is>
      </c>
      <c r="M86" s="8" t="inlineStr">
        <is>
          <t>MRE</t>
        </is>
      </c>
      <c r="N86" s="11" t="inlineStr"/>
      <c r="O86" s="11" t="inlineStr"/>
      <c r="P86" s="11" t="inlineStr"/>
      <c r="Q86" s="11" t="inlineStr"/>
      <c r="R86" s="11" t="inlineStr"/>
      <c r="S86" s="11" t="inlineStr"/>
    </row>
    <row r="87">
      <c r="B87" s="13" t="inlineStr">
        <is>
          <t>TR2(c)</t>
        </is>
      </c>
      <c r="C87" s="8" t="inlineStr"/>
      <c r="D87" s="8" t="inlineStr"/>
      <c r="E87" s="8" t="inlineStr">
        <is>
          <t>SDG-related research outputs mentioned in News and Social Media</t>
        </is>
      </c>
      <c r="F87" s="8" t="inlineStr">
        <is>
          <t>#</t>
        </is>
      </c>
      <c r="G87" s="14" t="n"/>
      <c r="H87" s="14" t="n"/>
      <c r="I87" s="14" t="n"/>
      <c r="J87" s="14" t="n">
        <v>86993</v>
      </c>
      <c r="K87" s="15" t="n"/>
      <c r="L87" s="8" t="inlineStr">
        <is>
          <t>Data held</t>
        </is>
      </c>
      <c r="M87" s="8" t="inlineStr">
        <is>
          <t>MRE</t>
        </is>
      </c>
      <c r="N87" s="11" t="inlineStr"/>
      <c r="O87" s="11" t="inlineStr"/>
      <c r="P87" s="11" t="inlineStr"/>
      <c r="Q87" s="11" t="inlineStr"/>
      <c r="R87" s="11" t="inlineStr"/>
      <c r="S87" s="11" t="inlineStr"/>
    </row>
    <row r="88">
      <c r="B88" s="13" t="inlineStr">
        <is>
          <t>TR2(c)</t>
        </is>
      </c>
      <c r="C88" s="8" t="inlineStr"/>
      <c r="D88" s="8" t="inlineStr"/>
      <c r="E88" s="18" t="inlineStr">
        <is>
          <t>SDG 1 - No Poverty</t>
        </is>
      </c>
      <c r="F88" s="8" t="inlineStr">
        <is>
          <t>#</t>
        </is>
      </c>
      <c r="G88" s="14" t="n"/>
      <c r="H88" s="14" t="n"/>
      <c r="I88" s="14" t="n"/>
      <c r="J88" s="14" t="n">
        <v>17</v>
      </c>
      <c r="K88" s="15" t="n"/>
      <c r="L88" s="8" t="inlineStr">
        <is>
          <t>Data held</t>
        </is>
      </c>
      <c r="M88" s="8" t="inlineStr">
        <is>
          <t>MRE</t>
        </is>
      </c>
      <c r="N88" s="11" t="inlineStr"/>
      <c r="O88" s="11" t="inlineStr"/>
      <c r="P88" s="11" t="inlineStr"/>
      <c r="Q88" s="11" t="inlineStr"/>
      <c r="R88" s="11" t="inlineStr"/>
      <c r="S88" s="11" t="inlineStr"/>
    </row>
    <row r="89">
      <c r="B89" s="13" t="inlineStr">
        <is>
          <t>TR2(c)</t>
        </is>
      </c>
      <c r="C89" s="8" t="inlineStr"/>
      <c r="D89" s="8" t="inlineStr"/>
      <c r="E89" s="18" t="inlineStr">
        <is>
          <t>SDG 2 - Zero Hunger</t>
        </is>
      </c>
      <c r="F89" s="8" t="inlineStr">
        <is>
          <t>#</t>
        </is>
      </c>
      <c r="G89" s="14" t="n"/>
      <c r="H89" s="14" t="n"/>
      <c r="I89" s="14" t="n"/>
      <c r="J89" s="14" t="n">
        <v>731</v>
      </c>
      <c r="K89" s="15" t="n"/>
      <c r="L89" s="8" t="inlineStr">
        <is>
          <t>Data held</t>
        </is>
      </c>
      <c r="M89" s="8" t="inlineStr">
        <is>
          <t>MRE</t>
        </is>
      </c>
      <c r="N89" s="11" t="inlineStr"/>
      <c r="O89" s="11" t="inlineStr"/>
      <c r="P89" s="11" t="inlineStr"/>
      <c r="Q89" s="11" t="inlineStr"/>
      <c r="R89" s="11" t="inlineStr"/>
      <c r="S89" s="11" t="inlineStr"/>
    </row>
    <row r="90">
      <c r="B90" s="13" t="inlineStr">
        <is>
          <t>TR2(c)</t>
        </is>
      </c>
      <c r="C90" s="8" t="inlineStr"/>
      <c r="D90" s="8" t="inlineStr"/>
      <c r="E90" s="18" t="inlineStr">
        <is>
          <t>SDG 3 - Good health and well-being</t>
        </is>
      </c>
      <c r="F90" s="8" t="inlineStr">
        <is>
          <t>#</t>
        </is>
      </c>
      <c r="G90" s="14" t="n"/>
      <c r="H90" s="14" t="n"/>
      <c r="I90" s="14" t="n"/>
      <c r="J90" s="14" t="n">
        <v>55989</v>
      </c>
      <c r="K90" s="15" t="n"/>
      <c r="L90" s="8" t="inlineStr">
        <is>
          <t>Data held</t>
        </is>
      </c>
      <c r="M90" s="8" t="inlineStr">
        <is>
          <t>MRE</t>
        </is>
      </c>
      <c r="N90" s="11" t="inlineStr"/>
      <c r="O90" s="11" t="inlineStr"/>
      <c r="P90" s="11" t="inlineStr"/>
      <c r="Q90" s="11" t="inlineStr"/>
      <c r="R90" s="11" t="inlineStr"/>
      <c r="S90" s="11" t="inlineStr"/>
    </row>
    <row r="91">
      <c r="B91" s="13" t="inlineStr">
        <is>
          <t>TR2(c)</t>
        </is>
      </c>
      <c r="C91" s="8" t="inlineStr"/>
      <c r="D91" s="8" t="inlineStr"/>
      <c r="E91" s="18" t="inlineStr">
        <is>
          <t>SDG 4 - Quality Education</t>
        </is>
      </c>
      <c r="F91" s="8" t="inlineStr">
        <is>
          <t>#</t>
        </is>
      </c>
      <c r="G91" s="14" t="n"/>
      <c r="H91" s="14" t="n"/>
      <c r="I91" s="14" t="n"/>
      <c r="J91" s="14" t="n">
        <v>6263</v>
      </c>
      <c r="K91" s="15" t="n"/>
      <c r="L91" s="8" t="inlineStr">
        <is>
          <t>Data held</t>
        </is>
      </c>
      <c r="M91" s="8" t="inlineStr">
        <is>
          <t>MRE</t>
        </is>
      </c>
      <c r="N91" s="11" t="inlineStr"/>
      <c r="O91" s="11" t="inlineStr"/>
      <c r="P91" s="11" t="inlineStr"/>
      <c r="Q91" s="11" t="inlineStr"/>
      <c r="R91" s="11" t="inlineStr"/>
      <c r="S91" s="11" t="inlineStr"/>
    </row>
    <row r="92">
      <c r="B92" s="13" t="inlineStr">
        <is>
          <t>TR2(c)</t>
        </is>
      </c>
      <c r="C92" s="8" t="inlineStr"/>
      <c r="D92" s="8" t="inlineStr"/>
      <c r="E92" s="18" t="inlineStr">
        <is>
          <t>SDG 5 - Gender Equality</t>
        </is>
      </c>
      <c r="F92" s="8" t="inlineStr">
        <is>
          <t>#</t>
        </is>
      </c>
      <c r="G92" s="14" t="n"/>
      <c r="H92" s="14" t="n"/>
      <c r="I92" s="14" t="n"/>
      <c r="J92" s="14" t="n">
        <v>5286</v>
      </c>
      <c r="K92" s="15" t="n"/>
      <c r="L92" s="8" t="inlineStr">
        <is>
          <t>Data held</t>
        </is>
      </c>
      <c r="M92" s="8" t="inlineStr">
        <is>
          <t>MRE</t>
        </is>
      </c>
      <c r="N92" s="11" t="inlineStr"/>
      <c r="O92" s="11" t="inlineStr"/>
      <c r="P92" s="11" t="inlineStr"/>
      <c r="Q92" s="11" t="inlineStr"/>
      <c r="R92" s="11" t="inlineStr"/>
      <c r="S92" s="11" t="inlineStr"/>
    </row>
    <row r="93">
      <c r="B93" s="13" t="inlineStr">
        <is>
          <t>TR2(c)</t>
        </is>
      </c>
      <c r="C93" s="8" t="inlineStr"/>
      <c r="D93" s="8" t="inlineStr"/>
      <c r="E93" s="18" t="inlineStr">
        <is>
          <t>SDG 6 - Clean water and sanitation</t>
        </is>
      </c>
      <c r="F93" s="8" t="inlineStr">
        <is>
          <t>#</t>
        </is>
      </c>
      <c r="G93" s="14" t="n"/>
      <c r="H93" s="14" t="n"/>
      <c r="I93" s="14" t="n"/>
      <c r="J93" s="14" t="n">
        <v>248</v>
      </c>
      <c r="K93" s="15" t="n"/>
      <c r="L93" s="8" t="inlineStr">
        <is>
          <t>Data held</t>
        </is>
      </c>
      <c r="M93" s="8" t="inlineStr">
        <is>
          <t>MRE</t>
        </is>
      </c>
      <c r="N93" s="11" t="inlineStr"/>
      <c r="O93" s="11" t="inlineStr"/>
      <c r="P93" s="11" t="inlineStr"/>
      <c r="Q93" s="11" t="inlineStr"/>
      <c r="R93" s="11" t="inlineStr"/>
      <c r="S93" s="11" t="inlineStr"/>
    </row>
    <row r="94">
      <c r="B94" s="13" t="inlineStr">
        <is>
          <t>TR2(c)</t>
        </is>
      </c>
      <c r="C94" s="8" t="inlineStr"/>
      <c r="D94" s="8" t="inlineStr"/>
      <c r="E94" s="18" t="inlineStr">
        <is>
          <t>SDG 7 - Affordable and clean energy</t>
        </is>
      </c>
      <c r="F94" s="8" t="inlineStr">
        <is>
          <t>#</t>
        </is>
      </c>
      <c r="G94" s="14" t="n"/>
      <c r="H94" s="14" t="n"/>
      <c r="I94" s="14" t="n"/>
      <c r="J94" s="14" t="n">
        <v>1009</v>
      </c>
      <c r="K94" s="15" t="n"/>
      <c r="L94" s="8" t="inlineStr">
        <is>
          <t>Data held</t>
        </is>
      </c>
      <c r="M94" s="8" t="inlineStr">
        <is>
          <t>MRE</t>
        </is>
      </c>
      <c r="N94" s="11" t="inlineStr"/>
      <c r="O94" s="11" t="inlineStr"/>
      <c r="P94" s="11" t="inlineStr"/>
      <c r="Q94" s="11" t="inlineStr"/>
      <c r="R94" s="11" t="inlineStr"/>
      <c r="S94" s="11" t="inlineStr"/>
    </row>
    <row r="95">
      <c r="B95" s="13" t="inlineStr">
        <is>
          <t>TR2(c)</t>
        </is>
      </c>
      <c r="C95" s="8" t="inlineStr"/>
      <c r="D95" s="8" t="inlineStr"/>
      <c r="E95" s="18" t="inlineStr">
        <is>
          <t>SDG 8 - Decent work and economic growth</t>
        </is>
      </c>
      <c r="F95" s="8" t="inlineStr">
        <is>
          <t>#</t>
        </is>
      </c>
      <c r="G95" s="14" t="n"/>
      <c r="H95" s="14" t="n"/>
      <c r="I95" s="14" t="n"/>
      <c r="J95" s="14" t="n">
        <v>844</v>
      </c>
      <c r="K95" s="15" t="n"/>
      <c r="L95" s="8" t="inlineStr">
        <is>
          <t>Data held</t>
        </is>
      </c>
      <c r="M95" s="8" t="inlineStr">
        <is>
          <t>MRE</t>
        </is>
      </c>
      <c r="N95" s="11" t="inlineStr"/>
      <c r="O95" s="11" t="inlineStr"/>
      <c r="P95" s="11" t="inlineStr"/>
      <c r="Q95" s="11" t="inlineStr"/>
      <c r="R95" s="11" t="inlineStr"/>
      <c r="S95" s="11" t="inlineStr"/>
    </row>
    <row r="96">
      <c r="B96" s="13" t="inlineStr">
        <is>
          <t>TR2(c)</t>
        </is>
      </c>
      <c r="C96" s="8" t="inlineStr"/>
      <c r="D96" s="8" t="inlineStr"/>
      <c r="E96" s="18" t="inlineStr">
        <is>
          <t>SDG 9 - Industry, innovation and infrastructure</t>
        </is>
      </c>
      <c r="F96" s="8" t="inlineStr">
        <is>
          <t>#</t>
        </is>
      </c>
      <c r="G96" s="14" t="n"/>
      <c r="H96" s="14" t="n"/>
      <c r="I96" s="14" t="n"/>
      <c r="J96" s="14" t="n">
        <v>48</v>
      </c>
      <c r="K96" s="15" t="n"/>
      <c r="L96" s="8" t="inlineStr">
        <is>
          <t>Data held</t>
        </is>
      </c>
      <c r="M96" s="8" t="inlineStr">
        <is>
          <t>MRE</t>
        </is>
      </c>
      <c r="N96" s="11" t="inlineStr"/>
      <c r="O96" s="11" t="inlineStr"/>
      <c r="P96" s="11" t="inlineStr"/>
      <c r="Q96" s="11" t="inlineStr"/>
      <c r="R96" s="11" t="inlineStr"/>
      <c r="S96" s="11" t="inlineStr"/>
    </row>
    <row r="97">
      <c r="B97" s="13" t="inlineStr">
        <is>
          <t>TR2(c)</t>
        </is>
      </c>
      <c r="C97" s="8" t="inlineStr"/>
      <c r="D97" s="8" t="inlineStr"/>
      <c r="E97" s="18" t="inlineStr">
        <is>
          <t>SDG 10 - Reduced inequality</t>
        </is>
      </c>
      <c r="F97" s="8" t="inlineStr">
        <is>
          <t>#</t>
        </is>
      </c>
      <c r="G97" s="14" t="n"/>
      <c r="H97" s="14" t="n"/>
      <c r="I97" s="14" t="n"/>
      <c r="J97" s="14" t="n">
        <v>1032</v>
      </c>
      <c r="K97" s="15" t="n"/>
      <c r="L97" s="8" t="inlineStr">
        <is>
          <t>Data held</t>
        </is>
      </c>
      <c r="M97" s="8" t="inlineStr">
        <is>
          <t>MRE</t>
        </is>
      </c>
      <c r="N97" s="11" t="inlineStr"/>
      <c r="O97" s="11" t="inlineStr"/>
      <c r="P97" s="11" t="inlineStr"/>
      <c r="Q97" s="11" t="inlineStr"/>
      <c r="R97" s="11" t="inlineStr"/>
      <c r="S97" s="11" t="inlineStr"/>
    </row>
    <row r="98">
      <c r="B98" s="13" t="inlineStr">
        <is>
          <t>TR2(c)</t>
        </is>
      </c>
      <c r="C98" s="8" t="inlineStr"/>
      <c r="D98" s="8" t="inlineStr"/>
      <c r="E98" s="18" t="inlineStr">
        <is>
          <t>SDG 11 - Sustainable cities and communities</t>
        </is>
      </c>
      <c r="F98" s="8" t="inlineStr">
        <is>
          <t>#</t>
        </is>
      </c>
      <c r="G98" s="14" t="n"/>
      <c r="H98" s="14" t="n"/>
      <c r="I98" s="14" t="n"/>
      <c r="J98" s="14" t="n">
        <v>400</v>
      </c>
      <c r="K98" s="15" t="n"/>
      <c r="L98" s="8" t="inlineStr">
        <is>
          <t>Data held</t>
        </is>
      </c>
      <c r="M98" s="8" t="inlineStr">
        <is>
          <t>MRE</t>
        </is>
      </c>
      <c r="N98" s="11" t="inlineStr"/>
      <c r="O98" s="11" t="inlineStr"/>
      <c r="P98" s="11" t="inlineStr"/>
      <c r="Q98" s="11" t="inlineStr"/>
      <c r="R98" s="11" t="inlineStr"/>
      <c r="S98" s="11" t="inlineStr"/>
    </row>
    <row r="99">
      <c r="B99" s="13" t="inlineStr">
        <is>
          <t>TR2(c)</t>
        </is>
      </c>
      <c r="C99" s="8" t="inlineStr"/>
      <c r="D99" s="8" t="inlineStr"/>
      <c r="E99" s="18" t="inlineStr">
        <is>
          <t>SDG 12 - Responsible consumption and production</t>
        </is>
      </c>
      <c r="F99" s="8" t="inlineStr">
        <is>
          <t>#</t>
        </is>
      </c>
      <c r="G99" s="14" t="n"/>
      <c r="H99" s="14" t="n"/>
      <c r="I99" s="14" t="n"/>
      <c r="J99" s="14" t="n">
        <v>224</v>
      </c>
      <c r="K99" s="15" t="n"/>
      <c r="L99" s="8" t="inlineStr">
        <is>
          <t>Data held</t>
        </is>
      </c>
      <c r="M99" s="8" t="inlineStr">
        <is>
          <t>MRE</t>
        </is>
      </c>
      <c r="N99" s="11" t="inlineStr"/>
      <c r="O99" s="11" t="inlineStr"/>
      <c r="P99" s="11" t="inlineStr"/>
      <c r="Q99" s="11" t="inlineStr"/>
      <c r="R99" s="11" t="inlineStr"/>
      <c r="S99" s="11" t="inlineStr"/>
    </row>
    <row r="100">
      <c r="B100" s="13" t="inlineStr">
        <is>
          <t>TR2(c)</t>
        </is>
      </c>
      <c r="C100" s="8" t="inlineStr"/>
      <c r="D100" s="8" t="inlineStr"/>
      <c r="E100" s="18" t="inlineStr">
        <is>
          <t>SDG 13 - Climate action</t>
        </is>
      </c>
      <c r="F100" s="8" t="inlineStr">
        <is>
          <t>#</t>
        </is>
      </c>
      <c r="G100" s="14" t="n"/>
      <c r="H100" s="14" t="n"/>
      <c r="I100" s="14" t="n"/>
      <c r="J100" s="14" t="n">
        <v>9639</v>
      </c>
      <c r="K100" s="15" t="n"/>
      <c r="L100" s="8" t="inlineStr">
        <is>
          <t>Data held</t>
        </is>
      </c>
      <c r="M100" s="8" t="inlineStr">
        <is>
          <t>MRE</t>
        </is>
      </c>
      <c r="N100" s="11" t="inlineStr"/>
      <c r="O100" s="11" t="inlineStr"/>
      <c r="P100" s="11" t="inlineStr"/>
      <c r="Q100" s="11" t="inlineStr"/>
      <c r="R100" s="11" t="inlineStr"/>
      <c r="S100" s="11" t="inlineStr"/>
    </row>
    <row r="101">
      <c r="B101" s="13" t="inlineStr">
        <is>
          <t>TR2(c)</t>
        </is>
      </c>
      <c r="C101" s="8" t="inlineStr"/>
      <c r="D101" s="8" t="inlineStr"/>
      <c r="E101" s="18" t="inlineStr">
        <is>
          <t>SDG 14 - Life below water</t>
        </is>
      </c>
      <c r="F101" s="8" t="inlineStr">
        <is>
          <t>#</t>
        </is>
      </c>
      <c r="G101" s="14" t="n"/>
      <c r="H101" s="14" t="n"/>
      <c r="I101" s="14" t="n"/>
      <c r="J101" s="14" t="n">
        <v>1503</v>
      </c>
      <c r="K101" s="15" t="n"/>
      <c r="L101" s="8" t="inlineStr">
        <is>
          <t>Data held</t>
        </is>
      </c>
      <c r="M101" s="8" t="inlineStr">
        <is>
          <t>MRE</t>
        </is>
      </c>
      <c r="N101" s="11" t="inlineStr"/>
      <c r="O101" s="11" t="inlineStr"/>
      <c r="P101" s="11" t="inlineStr"/>
      <c r="Q101" s="11" t="inlineStr"/>
      <c r="R101" s="11" t="inlineStr"/>
      <c r="S101" s="11" t="inlineStr"/>
    </row>
    <row r="102">
      <c r="B102" s="13" t="inlineStr">
        <is>
          <t>TR2(c)</t>
        </is>
      </c>
      <c r="C102" s="8" t="inlineStr"/>
      <c r="D102" s="8" t="inlineStr"/>
      <c r="E102" s="18" t="inlineStr">
        <is>
          <t>SDG 15 - Life on land</t>
        </is>
      </c>
      <c r="F102" s="8" t="inlineStr">
        <is>
          <t>#</t>
        </is>
      </c>
      <c r="G102" s="14" t="n"/>
      <c r="H102" s="14" t="n"/>
      <c r="I102" s="14" t="n"/>
      <c r="J102" s="14" t="n">
        <v>2844</v>
      </c>
      <c r="K102" s="15" t="n"/>
      <c r="L102" s="8" t="inlineStr">
        <is>
          <t>Data held</t>
        </is>
      </c>
      <c r="M102" s="8" t="inlineStr">
        <is>
          <t>MRE</t>
        </is>
      </c>
      <c r="N102" s="11" t="inlineStr"/>
      <c r="O102" s="11" t="inlineStr"/>
      <c r="P102" s="11" t="inlineStr"/>
      <c r="Q102" s="11" t="inlineStr"/>
      <c r="R102" s="11" t="inlineStr"/>
      <c r="S102" s="11" t="inlineStr"/>
    </row>
    <row r="103">
      <c r="B103" s="13" t="inlineStr">
        <is>
          <t>TR2(c)</t>
        </is>
      </c>
      <c r="C103" s="8" t="inlineStr"/>
      <c r="D103" s="8" t="inlineStr"/>
      <c r="E103" s="18" t="inlineStr">
        <is>
          <t>SDG 16 - Peace, justice and strong institutions</t>
        </is>
      </c>
      <c r="F103" s="8" t="inlineStr">
        <is>
          <t>#</t>
        </is>
      </c>
      <c r="G103" s="14" t="n"/>
      <c r="H103" s="14" t="n"/>
      <c r="I103" s="14" t="n"/>
      <c r="J103" s="14" t="n">
        <v>916</v>
      </c>
      <c r="K103" s="15" t="n"/>
      <c r="L103" s="8" t="inlineStr">
        <is>
          <t>Data held</t>
        </is>
      </c>
      <c r="M103" s="8" t="inlineStr">
        <is>
          <t>MRE</t>
        </is>
      </c>
      <c r="N103" s="11" t="inlineStr"/>
      <c r="O103" s="11" t="inlineStr"/>
      <c r="P103" s="11" t="inlineStr"/>
      <c r="Q103" s="11" t="inlineStr"/>
      <c r="R103" s="11" t="inlineStr"/>
      <c r="S103" s="11" t="inlineStr"/>
    </row>
    <row r="104">
      <c r="B104" s="13" t="inlineStr">
        <is>
          <t>TR2(c)</t>
        </is>
      </c>
      <c r="C104" s="8" t="inlineStr"/>
      <c r="D104" s="8" t="inlineStr"/>
      <c r="E104" s="18" t="inlineStr">
        <is>
          <t>SDG 17 - Partnerships</t>
        </is>
      </c>
      <c r="F104" s="8" t="inlineStr">
        <is>
          <t>#</t>
        </is>
      </c>
      <c r="G104" s="14" t="n"/>
      <c r="H104" s="14" t="n"/>
      <c r="I104" s="14" t="n"/>
      <c r="J104" s="14" t="n">
        <v>0</v>
      </c>
      <c r="K104" s="15" t="n"/>
      <c r="L104" s="8" t="inlineStr">
        <is>
          <t>Data held</t>
        </is>
      </c>
      <c r="M104" s="8" t="inlineStr">
        <is>
          <t>MRE</t>
        </is>
      </c>
      <c r="N104" s="11" t="inlineStr"/>
      <c r="O104" s="11" t="inlineStr"/>
      <c r="P104" s="11" t="inlineStr"/>
      <c r="Q104" s="11" t="inlineStr"/>
      <c r="R104" s="11" t="inlineStr"/>
      <c r="S104" s="11" t="inlineStr"/>
    </row>
    <row r="105">
      <c r="B105" s="13" t="inlineStr">
        <is>
          <t>TR3(b)</t>
        </is>
      </c>
      <c r="C105" s="8" t="inlineStr">
        <is>
          <t>Transformational Research</t>
        </is>
      </c>
      <c r="D105" s="8" t="inlineStr">
        <is>
          <t>Demonstrated examples of more sustainable research practices in laboratories, fieldwork, procurement, travel or infrastructure use</t>
        </is>
      </c>
      <c r="E105" s="8" t="inlineStr">
        <is>
          <t>Laboratories achieveng Green Lab Ceritifcation</t>
        </is>
      </c>
      <c r="F105" s="8" t="inlineStr">
        <is>
          <t>#</t>
        </is>
      </c>
      <c r="G105" s="14" t="n"/>
      <c r="H105" s="14" t="n"/>
      <c r="I105" s="14" t="n"/>
      <c r="J105" s="14" t="n"/>
      <c r="K105" s="15" t="n"/>
      <c r="L105" s="8" t="inlineStr">
        <is>
          <t>No data yet</t>
        </is>
      </c>
      <c r="M105" s="8" t="inlineStr">
        <is>
          <t>MRE</t>
        </is>
      </c>
      <c r="N105" s="11" t="inlineStr"/>
      <c r="O105" s="11" t="inlineStr"/>
      <c r="P105" s="11" t="inlineStr"/>
      <c r="Q105" s="11" t="inlineStr"/>
      <c r="R105" s="11" t="inlineStr"/>
      <c r="S105" s="11" t="inlineStr"/>
    </row>
    <row r="106">
      <c r="B106" s="13" t="inlineStr">
        <is>
          <t>TR3(b)</t>
        </is>
      </c>
      <c r="C106" s="8" t="inlineStr"/>
      <c r="D106" s="8" t="inlineStr"/>
      <c r="E106" s="8" t="inlineStr">
        <is>
          <t>New Sustainable Activities</t>
        </is>
      </c>
      <c r="F106" s="8" t="inlineStr">
        <is>
          <t>#</t>
        </is>
      </c>
      <c r="G106" s="14" t="n"/>
      <c r="H106" s="14" t="n"/>
      <c r="I106" s="14" t="n"/>
      <c r="J106" s="14" t="n"/>
      <c r="K106" s="15" t="n"/>
      <c r="L106" s="8" t="inlineStr">
        <is>
          <t>No data yet</t>
        </is>
      </c>
      <c r="M106" s="8" t="inlineStr">
        <is>
          <t>MRE</t>
        </is>
      </c>
      <c r="N106" s="11" t="inlineStr"/>
      <c r="O106" s="11" t="inlineStr"/>
      <c r="P106" s="11" t="inlineStr"/>
      <c r="Q106" s="11" t="inlineStr"/>
      <c r="R106" s="11" t="inlineStr"/>
      <c r="S106" s="11" t="inlineStr"/>
    </row>
    <row r="107">
      <c r="B107" s="13" t="inlineStr">
        <is>
          <t>TR3(b)</t>
        </is>
      </c>
      <c r="C107" s="8" t="inlineStr"/>
      <c r="D107" s="8" t="inlineStr"/>
      <c r="E107" s="8" t="inlineStr">
        <is>
          <t>Sustainable Fieldworks</t>
        </is>
      </c>
      <c r="F107" s="8" t="inlineStr">
        <is>
          <t>#</t>
        </is>
      </c>
      <c r="G107" s="14" t="n"/>
      <c r="H107" s="14" t="n"/>
      <c r="I107" s="14" t="n"/>
      <c r="J107" s="14" t="n"/>
      <c r="K107" s="15" t="n"/>
      <c r="L107" s="8" t="inlineStr">
        <is>
          <t>No data yet</t>
        </is>
      </c>
      <c r="M107" s="8" t="inlineStr">
        <is>
          <t>MRE</t>
        </is>
      </c>
      <c r="N107" s="11" t="inlineStr"/>
      <c r="O107" s="11" t="inlineStr"/>
      <c r="P107" s="11" t="inlineStr"/>
      <c r="Q107" s="11" t="inlineStr"/>
      <c r="R107" s="11" t="inlineStr"/>
      <c r="S107" s="11" t="inlineStr"/>
    </row>
    <row r="108">
      <c r="B108" s="13" t="inlineStr">
        <is>
          <t>CL1(a)</t>
        </is>
      </c>
      <c r="C108" s="8" t="inlineStr">
        <is>
          <t>Climate Leadership</t>
        </is>
      </c>
      <c r="D108" s="8" t="inlineStr">
        <is>
          <t>Annual GHG Inventory demonstrateds carbon emission reductions, including maintaining procurement of 100% renewable electricities for all scope 2 sources</t>
        </is>
      </c>
      <c r="E108" s="8" t="inlineStr">
        <is>
          <t>Gross Total Greenhouse Gas Emissions</t>
        </is>
      </c>
      <c r="F108" s="8" t="inlineStr">
        <is>
          <t>tCO2e</t>
        </is>
      </c>
      <c r="G108" s="14" t="n"/>
      <c r="H108" s="14" t="n">
        <v>241128</v>
      </c>
      <c r="I108" s="14" t="n">
        <v>220239</v>
      </c>
      <c r="J108" s="14" t="n">
        <v>170705</v>
      </c>
      <c r="K108" s="15" t="n"/>
      <c r="L108" s="8" t="inlineStr">
        <is>
          <t>Data held</t>
        </is>
      </c>
      <c r="M108" s="8" t="inlineStr">
        <is>
          <t>ESG</t>
        </is>
      </c>
      <c r="N108" s="11" t="inlineStr"/>
      <c r="O108" s="11" t="inlineStr"/>
      <c r="P108" s="11" t="inlineStr"/>
      <c r="Q108" s="11" t="inlineStr"/>
      <c r="R108" s="11" t="inlineStr"/>
      <c r="S108" s="11" t="inlineStr"/>
    </row>
    <row r="109">
      <c r="B109" s="13" t="inlineStr">
        <is>
          <t>CL1(a)</t>
        </is>
      </c>
      <c r="C109" s="8" t="inlineStr"/>
      <c r="D109" s="8" t="inlineStr"/>
      <c r="E109" s="18" t="inlineStr">
        <is>
          <t>Direct Scope 1 emissions</t>
        </is>
      </c>
      <c r="F109" s="8" t="inlineStr">
        <is>
          <t>tCO2e</t>
        </is>
      </c>
      <c r="G109" s="14" t="n"/>
      <c r="H109" s="14" t="n">
        <v>16665</v>
      </c>
      <c r="I109" s="14" t="n">
        <v>15567</v>
      </c>
      <c r="J109" s="14" t="n">
        <v>16484.01</v>
      </c>
      <c r="K109" s="15" t="n"/>
      <c r="L109" s="8" t="inlineStr">
        <is>
          <t>Data held</t>
        </is>
      </c>
      <c r="M109" s="8" t="inlineStr">
        <is>
          <t>ESG</t>
        </is>
      </c>
      <c r="N109" s="11" t="inlineStr"/>
      <c r="O109" s="11" t="inlineStr"/>
      <c r="P109" s="11" t="inlineStr"/>
      <c r="Q109" s="11" t="inlineStr"/>
      <c r="R109" s="11" t="inlineStr"/>
      <c r="S109" s="11" t="inlineStr"/>
    </row>
    <row r="110">
      <c r="B110" s="13" t="inlineStr">
        <is>
          <t>CL1(a)</t>
        </is>
      </c>
      <c r="C110" s="8" t="inlineStr"/>
      <c r="D110" s="8" t="inlineStr"/>
      <c r="E110" s="19" t="inlineStr">
        <is>
          <t>Stationary energy (gaseous fuels)</t>
        </is>
      </c>
      <c r="F110" s="8" t="inlineStr">
        <is>
          <t>tCO2e</t>
        </is>
      </c>
      <c r="G110" s="14" t="n"/>
      <c r="H110" s="14" t="n">
        <v>14192</v>
      </c>
      <c r="I110" s="14" t="n">
        <v>13662</v>
      </c>
      <c r="J110" s="14" t="n">
        <v>13800</v>
      </c>
      <c r="K110" s="15" t="n"/>
      <c r="L110" s="8" t="inlineStr">
        <is>
          <t>Data held</t>
        </is>
      </c>
      <c r="M110" s="8" t="inlineStr">
        <is>
          <t>ESG</t>
        </is>
      </c>
      <c r="N110" s="11" t="inlineStr"/>
      <c r="O110" s="11" t="inlineStr"/>
      <c r="P110" s="11" t="inlineStr"/>
      <c r="Q110" s="11" t="inlineStr"/>
      <c r="R110" s="11" t="inlineStr"/>
      <c r="S110" s="11" t="inlineStr"/>
    </row>
    <row r="111">
      <c r="B111" s="13" t="inlineStr">
        <is>
          <t>CL1(a)</t>
        </is>
      </c>
      <c r="C111" s="8" t="inlineStr"/>
      <c r="D111" s="8" t="inlineStr"/>
      <c r="E111" s="19" t="inlineStr">
        <is>
          <t>Refrigerants</t>
        </is>
      </c>
      <c r="F111" s="8" t="inlineStr">
        <is>
          <t>tCO2e</t>
        </is>
      </c>
      <c r="G111" s="14" t="n"/>
      <c r="H111" s="14" t="n">
        <v>1928</v>
      </c>
      <c r="I111" s="14" t="n">
        <v>1531</v>
      </c>
      <c r="J111" s="14" t="n">
        <v>2244</v>
      </c>
      <c r="K111" s="15" t="n"/>
      <c r="L111" s="8" t="inlineStr">
        <is>
          <t>Data held</t>
        </is>
      </c>
      <c r="M111" s="8" t="inlineStr">
        <is>
          <t>ESG</t>
        </is>
      </c>
      <c r="N111" s="11" t="inlineStr"/>
      <c r="O111" s="11" t="inlineStr"/>
      <c r="P111" s="11" t="inlineStr"/>
      <c r="Q111" s="11" t="inlineStr"/>
      <c r="R111" s="11" t="inlineStr"/>
      <c r="S111" s="11" t="inlineStr"/>
    </row>
    <row r="112">
      <c r="B112" s="13" t="inlineStr">
        <is>
          <t>CL1(a)</t>
        </is>
      </c>
      <c r="C112" s="8" t="inlineStr"/>
      <c r="D112" s="8" t="inlineStr"/>
      <c r="E112" s="19" t="inlineStr">
        <is>
          <t>Transport (land and sea)</t>
        </is>
      </c>
      <c r="F112" s="8" t="inlineStr">
        <is>
          <t>tCO2e</t>
        </is>
      </c>
      <c r="G112" s="14" t="n"/>
      <c r="H112" s="14" t="n">
        <v>390</v>
      </c>
      <c r="I112" s="14" t="n">
        <v>344</v>
      </c>
      <c r="J112" s="14" t="n">
        <v>432</v>
      </c>
      <c r="K112" s="15" t="n"/>
      <c r="L112" s="8" t="inlineStr">
        <is>
          <t>Data held</t>
        </is>
      </c>
      <c r="M112" s="8" t="inlineStr">
        <is>
          <t>ESG</t>
        </is>
      </c>
      <c r="N112" s="11" t="inlineStr"/>
      <c r="O112" s="11" t="inlineStr"/>
      <c r="P112" s="11" t="inlineStr"/>
      <c r="Q112" s="11" t="inlineStr"/>
      <c r="R112" s="11" t="inlineStr"/>
      <c r="S112" s="11" t="inlineStr"/>
    </row>
    <row r="113">
      <c r="B113" s="13" t="inlineStr">
        <is>
          <t>CL1(a)</t>
        </is>
      </c>
      <c r="C113" s="8" t="inlineStr"/>
      <c r="D113" s="8" t="inlineStr"/>
      <c r="E113" s="19" t="inlineStr">
        <is>
          <t>Stationary energy (LPG)</t>
        </is>
      </c>
      <c r="F113" s="8" t="inlineStr">
        <is>
          <t>tCO2e</t>
        </is>
      </c>
      <c r="G113" s="14" t="n"/>
      <c r="H113" s="14" t="n">
        <v>156</v>
      </c>
      <c r="I113" s="14" t="n">
        <v>30</v>
      </c>
      <c r="J113" s="14" t="n">
        <v>0.01</v>
      </c>
      <c r="K113" s="15" t="n"/>
      <c r="L113" s="8" t="inlineStr">
        <is>
          <t>Data held</t>
        </is>
      </c>
      <c r="M113" s="8" t="inlineStr">
        <is>
          <t>ESG</t>
        </is>
      </c>
      <c r="N113" s="11" t="inlineStr"/>
      <c r="O113" s="11" t="inlineStr"/>
      <c r="P113" s="11" t="inlineStr"/>
      <c r="Q113" s="11" t="inlineStr"/>
      <c r="R113" s="11" t="inlineStr"/>
      <c r="S113" s="11" t="inlineStr"/>
    </row>
    <row r="114">
      <c r="B114" s="13" t="inlineStr">
        <is>
          <t>CL1(a)</t>
        </is>
      </c>
      <c r="C114" s="8" t="inlineStr"/>
      <c r="D114" s="8" t="inlineStr"/>
      <c r="E114" s="19" t="inlineStr">
        <is>
          <t>Electricity (Market-Based)</t>
        </is>
      </c>
      <c r="F114" s="8" t="inlineStr">
        <is>
          <t>tCO2e</t>
        </is>
      </c>
      <c r="G114" s="14" t="n"/>
      <c r="H114" s="14" t="n">
        <v>0</v>
      </c>
      <c r="I114" s="14" t="n">
        <v>0</v>
      </c>
      <c r="J114" s="14" t="n">
        <v>0</v>
      </c>
      <c r="K114" s="15" t="n"/>
      <c r="L114" s="8" t="inlineStr">
        <is>
          <t>Data held</t>
        </is>
      </c>
      <c r="M114" s="8" t="inlineStr">
        <is>
          <t>ESG</t>
        </is>
      </c>
      <c r="N114" s="11" t="inlineStr"/>
      <c r="O114" s="11" t="inlineStr"/>
      <c r="P114" s="11" t="inlineStr"/>
      <c r="Q114" s="11" t="inlineStr"/>
      <c r="R114" s="11" t="inlineStr"/>
      <c r="S114" s="11" t="inlineStr"/>
    </row>
    <row r="115">
      <c r="B115" s="13" t="inlineStr">
        <is>
          <t>CL1(a)</t>
        </is>
      </c>
      <c r="C115" s="8" t="inlineStr"/>
      <c r="D115" s="8" t="inlineStr"/>
      <c r="E115" s="19" t="inlineStr">
        <is>
          <t>Professional services</t>
        </is>
      </c>
      <c r="F115" s="8" t="inlineStr">
        <is>
          <t>tCO2e</t>
        </is>
      </c>
      <c r="G115" s="14" t="n"/>
      <c r="H115" s="14" t="n">
        <v>0</v>
      </c>
      <c r="I115" s="14" t="n">
        <v>0</v>
      </c>
      <c r="J115" s="14" t="n">
        <v>0</v>
      </c>
      <c r="K115" s="15" t="n"/>
      <c r="L115" s="8" t="inlineStr">
        <is>
          <t>Data held</t>
        </is>
      </c>
      <c r="M115" s="8" t="inlineStr">
        <is>
          <t>ESG</t>
        </is>
      </c>
      <c r="N115" s="11" t="inlineStr"/>
      <c r="O115" s="11" t="inlineStr"/>
      <c r="P115" s="11" t="inlineStr"/>
      <c r="Q115" s="11" t="inlineStr"/>
      <c r="R115" s="11" t="inlineStr"/>
      <c r="S115" s="11" t="inlineStr"/>
    </row>
    <row r="116">
      <c r="B116" s="13" t="inlineStr">
        <is>
          <t>CL1(a)</t>
        </is>
      </c>
      <c r="C116" s="8" t="inlineStr"/>
      <c r="D116" s="8" t="inlineStr"/>
      <c r="E116" s="19" t="inlineStr">
        <is>
          <t>Construction materials and services</t>
        </is>
      </c>
      <c r="F116" s="8" t="inlineStr">
        <is>
          <t>tCO2e</t>
        </is>
      </c>
      <c r="G116" s="14" t="n"/>
      <c r="H116" s="14" t="n">
        <v>0</v>
      </c>
      <c r="I116" s="14" t="n">
        <v>0</v>
      </c>
      <c r="J116" s="14" t="n">
        <v>0</v>
      </c>
      <c r="K116" s="15" t="n"/>
      <c r="L116" s="8" t="inlineStr">
        <is>
          <t>Data held</t>
        </is>
      </c>
      <c r="M116" s="8" t="inlineStr">
        <is>
          <t>ESG</t>
        </is>
      </c>
      <c r="N116" s="11" t="inlineStr"/>
      <c r="O116" s="11" t="inlineStr"/>
      <c r="P116" s="11" t="inlineStr"/>
      <c r="Q116" s="11" t="inlineStr"/>
      <c r="R116" s="11" t="inlineStr"/>
      <c r="S116" s="11" t="inlineStr"/>
    </row>
    <row r="117">
      <c r="B117" s="13" t="inlineStr">
        <is>
          <t>CL1(a)</t>
        </is>
      </c>
      <c r="C117" s="8" t="inlineStr"/>
      <c r="D117" s="8" t="inlineStr"/>
      <c r="E117" s="19" t="inlineStr">
        <is>
          <t>Transport (air travel)</t>
        </is>
      </c>
      <c r="F117" s="8" t="inlineStr">
        <is>
          <t>tCO2e</t>
        </is>
      </c>
      <c r="G117" s="14" t="n"/>
      <c r="H117" s="14" t="n">
        <v>0</v>
      </c>
      <c r="I117" s="14" t="n">
        <v>0</v>
      </c>
      <c r="J117" s="14" t="n">
        <v>8</v>
      </c>
      <c r="K117" s="15" t="n"/>
      <c r="L117" s="8" t="inlineStr">
        <is>
          <t>Data held</t>
        </is>
      </c>
      <c r="M117" s="8" t="inlineStr">
        <is>
          <t>ESG</t>
        </is>
      </c>
      <c r="N117" s="11" t="inlineStr"/>
      <c r="O117" s="11" t="inlineStr"/>
      <c r="P117" s="11" t="inlineStr"/>
      <c r="Q117" s="11" t="inlineStr"/>
      <c r="R117" s="11" t="inlineStr"/>
      <c r="S117" s="11" t="inlineStr"/>
    </row>
    <row r="118">
      <c r="B118" s="13" t="inlineStr">
        <is>
          <t>CL1(a)</t>
        </is>
      </c>
      <c r="C118" s="8" t="inlineStr"/>
      <c r="D118" s="8" t="inlineStr"/>
      <c r="E118" s="19" t="inlineStr">
        <is>
          <t>ICT services and equipment</t>
        </is>
      </c>
      <c r="F118" s="8" t="inlineStr">
        <is>
          <t>tCO2e</t>
        </is>
      </c>
      <c r="G118" s="14" t="n"/>
      <c r="H118" s="14" t="n">
        <v>0</v>
      </c>
      <c r="I118" s="14" t="n">
        <v>0</v>
      </c>
      <c r="J118" s="14" t="n">
        <v>0</v>
      </c>
      <c r="K118" s="15" t="n"/>
      <c r="L118" s="8" t="inlineStr">
        <is>
          <t>Data held</t>
        </is>
      </c>
      <c r="M118" s="8" t="inlineStr">
        <is>
          <t>ESG</t>
        </is>
      </c>
      <c r="N118" s="11" t="inlineStr"/>
      <c r="O118" s="11" t="inlineStr"/>
      <c r="P118" s="11" t="inlineStr"/>
      <c r="Q118" s="11" t="inlineStr"/>
      <c r="R118" s="11" t="inlineStr"/>
      <c r="S118" s="11" t="inlineStr"/>
    </row>
    <row r="119">
      <c r="B119" s="13" t="inlineStr">
        <is>
          <t>CL1(a)</t>
        </is>
      </c>
      <c r="C119" s="8" t="inlineStr"/>
      <c r="D119" s="8" t="inlineStr"/>
      <c r="E119" s="19" t="inlineStr">
        <is>
          <t>Products</t>
        </is>
      </c>
      <c r="F119" s="8" t="inlineStr">
        <is>
          <t>tCO2e</t>
        </is>
      </c>
      <c r="G119" s="14" t="n"/>
      <c r="H119" s="14" t="n">
        <v>0</v>
      </c>
      <c r="I119" s="14" t="n">
        <v>0</v>
      </c>
      <c r="J119" s="14" t="n">
        <v>0</v>
      </c>
      <c r="K119" s="15" t="n"/>
      <c r="L119" s="8" t="inlineStr">
        <is>
          <t>Data held</t>
        </is>
      </c>
      <c r="M119" s="8" t="inlineStr">
        <is>
          <t>ESG</t>
        </is>
      </c>
      <c r="N119" s="11" t="inlineStr"/>
      <c r="O119" s="11" t="inlineStr"/>
      <c r="P119" s="11" t="inlineStr"/>
      <c r="Q119" s="11" t="inlineStr"/>
      <c r="R119" s="11" t="inlineStr"/>
      <c r="S119" s="11" t="inlineStr"/>
    </row>
    <row r="120">
      <c r="B120" s="13" t="inlineStr">
        <is>
          <t>CL1(a)</t>
        </is>
      </c>
      <c r="C120" s="8" t="inlineStr"/>
      <c r="D120" s="8" t="inlineStr"/>
      <c r="E120" s="19" t="inlineStr">
        <is>
          <t>Food</t>
        </is>
      </c>
      <c r="F120" s="8" t="inlineStr">
        <is>
          <t>tCO2e</t>
        </is>
      </c>
      <c r="G120" s="14" t="n"/>
      <c r="H120" s="14" t="n">
        <v>0</v>
      </c>
      <c r="I120" s="14" t="n">
        <v>0</v>
      </c>
      <c r="J120" s="14" t="n">
        <v>0</v>
      </c>
      <c r="K120" s="15" t="n"/>
      <c r="L120" s="8" t="inlineStr">
        <is>
          <t>Data held</t>
        </is>
      </c>
      <c r="M120" s="8" t="inlineStr">
        <is>
          <t>ESG</t>
        </is>
      </c>
      <c r="N120" s="11" t="inlineStr"/>
      <c r="O120" s="11" t="inlineStr"/>
      <c r="P120" s="11" t="inlineStr"/>
      <c r="Q120" s="11" t="inlineStr"/>
      <c r="R120" s="11" t="inlineStr"/>
      <c r="S120" s="11" t="inlineStr"/>
    </row>
    <row r="121">
      <c r="B121" s="13" t="inlineStr">
        <is>
          <t>CL1(a)</t>
        </is>
      </c>
      <c r="C121" s="8" t="inlineStr"/>
      <c r="D121" s="8" t="inlineStr"/>
      <c r="E121" s="19" t="inlineStr">
        <is>
          <t>Office equipment and supplies</t>
        </is>
      </c>
      <c r="F121" s="8" t="inlineStr">
        <is>
          <t>tCO2e</t>
        </is>
      </c>
      <c r="G121" s="14" t="n"/>
      <c r="H121" s="14" t="n">
        <v>0</v>
      </c>
      <c r="I121" s="14" t="n">
        <v>0</v>
      </c>
      <c r="J121" s="14" t="n">
        <v>0</v>
      </c>
      <c r="K121" s="15" t="n"/>
      <c r="L121" s="8" t="inlineStr">
        <is>
          <t>Data held</t>
        </is>
      </c>
      <c r="M121" s="8" t="inlineStr">
        <is>
          <t>ESG</t>
        </is>
      </c>
      <c r="N121" s="11" t="inlineStr"/>
      <c r="O121" s="11" t="inlineStr"/>
      <c r="P121" s="11" t="inlineStr"/>
      <c r="Q121" s="11" t="inlineStr"/>
      <c r="R121" s="11" t="inlineStr"/>
      <c r="S121" s="11" t="inlineStr"/>
    </row>
    <row r="122">
      <c r="B122" s="13" t="inlineStr">
        <is>
          <t>CL1(a)</t>
        </is>
      </c>
      <c r="C122" s="8" t="inlineStr"/>
      <c r="D122" s="8" t="inlineStr"/>
      <c r="E122" s="19" t="inlineStr">
        <is>
          <t>Accommodation and facilities</t>
        </is>
      </c>
      <c r="F122" s="8" t="inlineStr">
        <is>
          <t>tCO2e</t>
        </is>
      </c>
      <c r="G122" s="14" t="n"/>
      <c r="H122" s="14" t="n">
        <v>0</v>
      </c>
      <c r="I122" s="14" t="n">
        <v>0</v>
      </c>
      <c r="J122" s="14" t="n">
        <v>0</v>
      </c>
      <c r="K122" s="15" t="n"/>
      <c r="L122" s="8" t="inlineStr">
        <is>
          <t>Data held</t>
        </is>
      </c>
      <c r="M122" s="8" t="inlineStr">
        <is>
          <t>ESG</t>
        </is>
      </c>
      <c r="N122" s="11" t="inlineStr"/>
      <c r="O122" s="11" t="inlineStr"/>
      <c r="P122" s="11" t="inlineStr"/>
      <c r="Q122" s="11" t="inlineStr"/>
      <c r="R122" s="11" t="inlineStr"/>
      <c r="S122" s="11" t="inlineStr"/>
    </row>
    <row r="123">
      <c r="B123" s="13" t="inlineStr">
        <is>
          <t>CL1(a)</t>
        </is>
      </c>
      <c r="C123" s="8" t="inlineStr"/>
      <c r="D123" s="8" t="inlineStr"/>
      <c r="E123" s="19" t="inlineStr">
        <is>
          <t>Working from home</t>
        </is>
      </c>
      <c r="F123" s="8" t="inlineStr">
        <is>
          <t>tCO2e</t>
        </is>
      </c>
      <c r="G123" s="14" t="n"/>
      <c r="H123" s="14" t="n">
        <v>0</v>
      </c>
      <c r="I123" s="14" t="n">
        <v>0</v>
      </c>
      <c r="J123" s="14" t="n">
        <v>0</v>
      </c>
      <c r="K123" s="15" t="n"/>
      <c r="L123" s="8" t="inlineStr">
        <is>
          <t>Data held</t>
        </is>
      </c>
      <c r="M123" s="8" t="inlineStr">
        <is>
          <t>ESG</t>
        </is>
      </c>
      <c r="N123" s="11" t="inlineStr"/>
      <c r="O123" s="11" t="inlineStr"/>
      <c r="P123" s="11" t="inlineStr"/>
      <c r="Q123" s="11" t="inlineStr"/>
      <c r="R123" s="11" t="inlineStr"/>
      <c r="S123" s="11" t="inlineStr"/>
    </row>
    <row r="124">
      <c r="B124" s="13" t="inlineStr">
        <is>
          <t>CL1(a)</t>
        </is>
      </c>
      <c r="C124" s="8" t="inlineStr"/>
      <c r="D124" s="8" t="inlineStr"/>
      <c r="E124" s="19" t="inlineStr">
        <is>
          <t>Waste</t>
        </is>
      </c>
      <c r="F124" s="8" t="inlineStr">
        <is>
          <t>tCO2e</t>
        </is>
      </c>
      <c r="G124" s="14" t="n"/>
      <c r="H124" s="14" t="n">
        <v>0</v>
      </c>
      <c r="I124" s="14" t="n">
        <v>0</v>
      </c>
      <c r="J124" s="14" t="n">
        <v>0</v>
      </c>
      <c r="K124" s="15" t="n"/>
      <c r="L124" s="8" t="inlineStr">
        <is>
          <t>Data held</t>
        </is>
      </c>
      <c r="M124" s="8" t="inlineStr">
        <is>
          <t>ESG</t>
        </is>
      </c>
      <c r="N124" s="11" t="inlineStr"/>
      <c r="O124" s="11" t="inlineStr"/>
      <c r="P124" s="11" t="inlineStr"/>
      <c r="Q124" s="11" t="inlineStr"/>
      <c r="R124" s="11" t="inlineStr"/>
      <c r="S124" s="11" t="inlineStr"/>
    </row>
    <row r="125">
      <c r="B125" s="13" t="inlineStr">
        <is>
          <t>CL1(a)</t>
        </is>
      </c>
      <c r="C125" s="8" t="inlineStr"/>
      <c r="D125" s="8" t="inlineStr"/>
      <c r="E125" s="19" t="inlineStr">
        <is>
          <t>Cleaning and chemicals</t>
        </is>
      </c>
      <c r="F125" s="8" t="inlineStr">
        <is>
          <t>tCO2e</t>
        </is>
      </c>
      <c r="G125" s="14" t="n"/>
      <c r="H125" s="14" t="n">
        <v>0</v>
      </c>
      <c r="I125" s="14" t="n">
        <v>0</v>
      </c>
      <c r="J125" s="14" t="n">
        <v>0</v>
      </c>
      <c r="K125" s="15" t="n"/>
      <c r="L125" s="8" t="inlineStr">
        <is>
          <t>Data held</t>
        </is>
      </c>
      <c r="M125" s="8" t="inlineStr">
        <is>
          <t>ESG</t>
        </is>
      </c>
      <c r="N125" s="11" t="inlineStr"/>
      <c r="O125" s="11" t="inlineStr"/>
      <c r="P125" s="11" t="inlineStr"/>
      <c r="Q125" s="11" t="inlineStr"/>
      <c r="R125" s="11" t="inlineStr"/>
      <c r="S125" s="11" t="inlineStr"/>
    </row>
    <row r="126">
      <c r="B126" s="13" t="inlineStr">
        <is>
          <t>CL1(a)</t>
        </is>
      </c>
      <c r="C126" s="8" t="inlineStr"/>
      <c r="D126" s="8" t="inlineStr"/>
      <c r="E126" s="19" t="inlineStr">
        <is>
          <t>Water</t>
        </is>
      </c>
      <c r="F126" s="8" t="inlineStr">
        <is>
          <t>tCO2e</t>
        </is>
      </c>
      <c r="G126" s="14" t="n"/>
      <c r="H126" s="14" t="n">
        <v>0</v>
      </c>
      <c r="I126" s="14" t="n">
        <v>0</v>
      </c>
      <c r="J126" s="14" t="n">
        <v>0</v>
      </c>
      <c r="K126" s="15" t="n"/>
      <c r="L126" s="8" t="inlineStr">
        <is>
          <t>Data held</t>
        </is>
      </c>
      <c r="M126" s="8" t="inlineStr">
        <is>
          <t>ESG</t>
        </is>
      </c>
      <c r="N126" s="11" t="inlineStr"/>
      <c r="O126" s="11" t="inlineStr"/>
      <c r="P126" s="11" t="inlineStr"/>
      <c r="Q126" s="11" t="inlineStr"/>
      <c r="R126" s="11" t="inlineStr"/>
      <c r="S126" s="11" t="inlineStr"/>
    </row>
    <row r="127">
      <c r="B127" s="13" t="inlineStr">
        <is>
          <t>CL1(a)</t>
        </is>
      </c>
      <c r="C127" s="8" t="inlineStr"/>
      <c r="D127" s="8" t="inlineStr"/>
      <c r="E127" s="19" t="inlineStr">
        <is>
          <t>Postage, courier and freight</t>
        </is>
      </c>
      <c r="F127" s="8" t="inlineStr">
        <is>
          <t>tCO2e</t>
        </is>
      </c>
      <c r="G127" s="14" t="n"/>
      <c r="H127" s="14" t="n">
        <v>0</v>
      </c>
      <c r="I127" s="14" t="n">
        <v>0</v>
      </c>
      <c r="J127" s="14" t="n">
        <v>0</v>
      </c>
      <c r="K127" s="15" t="n"/>
      <c r="L127" s="8" t="inlineStr">
        <is>
          <t>Data held</t>
        </is>
      </c>
      <c r="M127" s="8" t="inlineStr">
        <is>
          <t>ESG</t>
        </is>
      </c>
      <c r="N127" s="11" t="inlineStr"/>
      <c r="O127" s="11" t="inlineStr"/>
      <c r="P127" s="11" t="inlineStr"/>
      <c r="Q127" s="11" t="inlineStr"/>
      <c r="R127" s="11" t="inlineStr"/>
      <c r="S127" s="11" t="inlineStr"/>
    </row>
    <row r="128">
      <c r="B128" s="13" t="inlineStr">
        <is>
          <t>CL1(a)</t>
        </is>
      </c>
      <c r="C128" s="8" t="inlineStr"/>
      <c r="D128" s="8" t="inlineStr"/>
      <c r="E128" s="19" t="inlineStr">
        <is>
          <t>Machinery and vehicles</t>
        </is>
      </c>
      <c r="F128" s="8" t="inlineStr">
        <is>
          <t>tCO2e</t>
        </is>
      </c>
      <c r="G128" s="14" t="n"/>
      <c r="H128" s="14" t="n">
        <v>0</v>
      </c>
      <c r="I128" s="14" t="n">
        <v>0</v>
      </c>
      <c r="J128" s="14" t="n">
        <v>0</v>
      </c>
      <c r="K128" s="15" t="n"/>
      <c r="L128" s="8" t="inlineStr">
        <is>
          <t>Data held</t>
        </is>
      </c>
      <c r="M128" s="8" t="inlineStr">
        <is>
          <t>ESG</t>
        </is>
      </c>
      <c r="N128" s="11" t="inlineStr"/>
      <c r="O128" s="11" t="inlineStr"/>
      <c r="P128" s="11" t="inlineStr"/>
      <c r="Q128" s="11" t="inlineStr"/>
      <c r="R128" s="11" t="inlineStr"/>
      <c r="S128" s="11" t="inlineStr"/>
    </row>
    <row r="129">
      <c r="B129" s="13" t="inlineStr">
        <is>
          <t>CL1(a)</t>
        </is>
      </c>
      <c r="C129" s="8" t="inlineStr"/>
      <c r="D129" s="8" t="inlineStr"/>
      <c r="E129" s="19" t="inlineStr">
        <is>
          <t>Horticulture and agriculture</t>
        </is>
      </c>
      <c r="F129" s="8" t="inlineStr">
        <is>
          <t>tCO2e</t>
        </is>
      </c>
      <c r="G129" s="14" t="n"/>
      <c r="H129" s="14" t="n">
        <v>0</v>
      </c>
      <c r="I129" s="14" t="n">
        <v>0</v>
      </c>
      <c r="J129" s="14" t="n">
        <v>0</v>
      </c>
      <c r="K129" s="15" t="n"/>
      <c r="L129" s="8" t="inlineStr">
        <is>
          <t>Data held</t>
        </is>
      </c>
      <c r="M129" s="8" t="inlineStr">
        <is>
          <t>ESG</t>
        </is>
      </c>
      <c r="N129" s="11" t="inlineStr"/>
      <c r="O129" s="11" t="inlineStr"/>
      <c r="P129" s="11" t="inlineStr"/>
      <c r="Q129" s="11" t="inlineStr"/>
      <c r="R129" s="11" t="inlineStr"/>
      <c r="S129" s="11" t="inlineStr"/>
    </row>
    <row r="130">
      <c r="B130" s="13" t="inlineStr">
        <is>
          <t>CL1(a)</t>
        </is>
      </c>
      <c r="C130" s="8" t="inlineStr"/>
      <c r="D130" s="8" t="inlineStr"/>
      <c r="E130" s="19" t="inlineStr">
        <is>
          <t>Roads and landscape</t>
        </is>
      </c>
      <c r="F130" s="8" t="inlineStr">
        <is>
          <t>tCO2e</t>
        </is>
      </c>
      <c r="G130" s="14" t="n"/>
      <c r="H130" s="14" t="n">
        <v>0</v>
      </c>
      <c r="I130" s="14" t="n">
        <v>0</v>
      </c>
      <c r="J130" s="14" t="n">
        <v>0</v>
      </c>
      <c r="K130" s="15" t="n"/>
      <c r="L130" s="8" t="inlineStr">
        <is>
          <t>Data held</t>
        </is>
      </c>
      <c r="M130" s="8" t="inlineStr">
        <is>
          <t>ESG</t>
        </is>
      </c>
      <c r="N130" s="11" t="inlineStr"/>
      <c r="O130" s="11" t="inlineStr"/>
      <c r="P130" s="11" t="inlineStr"/>
      <c r="Q130" s="11" t="inlineStr"/>
      <c r="R130" s="11" t="inlineStr"/>
      <c r="S130" s="11" t="inlineStr"/>
    </row>
    <row r="131">
      <c r="B131" s="13" t="inlineStr">
        <is>
          <t>CL1(a)</t>
        </is>
      </c>
      <c r="C131" s="8" t="inlineStr"/>
      <c r="D131" s="8" t="inlineStr"/>
      <c r="E131" s="19" t="inlineStr">
        <is>
          <t>Other</t>
        </is>
      </c>
      <c r="F131" s="8" t="inlineStr">
        <is>
          <t>tCO2e</t>
        </is>
      </c>
      <c r="G131" s="14" t="n"/>
      <c r="H131" s="14" t="n">
        <v>0</v>
      </c>
      <c r="I131" s="14" t="n">
        <v>0</v>
      </c>
      <c r="J131" s="14" t="n">
        <v>0</v>
      </c>
      <c r="K131" s="15" t="n"/>
      <c r="L131" s="8" t="inlineStr">
        <is>
          <t>Data held</t>
        </is>
      </c>
      <c r="M131" s="8" t="inlineStr">
        <is>
          <t>ESG</t>
        </is>
      </c>
      <c r="N131" s="11" t="inlineStr"/>
      <c r="O131" s="11" t="inlineStr"/>
      <c r="P131" s="11" t="inlineStr"/>
      <c r="Q131" s="11" t="inlineStr"/>
      <c r="R131" s="11" t="inlineStr"/>
      <c r="S131" s="11" t="inlineStr"/>
    </row>
    <row r="132">
      <c r="B132" s="13" t="inlineStr">
        <is>
          <t>CL1(a)</t>
        </is>
      </c>
      <c r="C132" s="8" t="inlineStr"/>
      <c r="D132" s="8" t="inlineStr"/>
      <c r="E132" s="18" t="inlineStr">
        <is>
          <t>Indirect Scope 2 emissions</t>
        </is>
      </c>
      <c r="F132" s="8" t="inlineStr">
        <is>
          <t>tCO2e</t>
        </is>
      </c>
      <c r="G132" s="14" t="n"/>
      <c r="H132" s="14" t="n">
        <v>31414</v>
      </c>
      <c r="I132" s="14" t="n">
        <v>29098</v>
      </c>
      <c r="J132" s="14" t="n">
        <v>0</v>
      </c>
      <c r="K132" s="15" t="n"/>
      <c r="L132" s="8" t="inlineStr">
        <is>
          <t>Data held</t>
        </is>
      </c>
      <c r="M132" s="8" t="inlineStr">
        <is>
          <t>ESG</t>
        </is>
      </c>
      <c r="N132" s="11" t="inlineStr"/>
      <c r="O132" s="11" t="inlineStr"/>
      <c r="P132" s="11" t="inlineStr"/>
      <c r="Q132" s="11" t="inlineStr"/>
      <c r="R132" s="11" t="inlineStr"/>
      <c r="S132" s="11" t="inlineStr"/>
    </row>
    <row r="133">
      <c r="B133" s="13" t="inlineStr">
        <is>
          <t>CL1(a)</t>
        </is>
      </c>
      <c r="C133" s="8" t="inlineStr"/>
      <c r="D133" s="8" t="inlineStr"/>
      <c r="E133" s="19" t="inlineStr">
        <is>
          <t>Stationary energy (gaseous fuels)</t>
        </is>
      </c>
      <c r="F133" s="8" t="inlineStr">
        <is>
          <t>tCO2e</t>
        </is>
      </c>
      <c r="G133" s="14" t="n"/>
      <c r="H133" s="14" t="n">
        <v>0</v>
      </c>
      <c r="I133" s="14" t="n">
        <v>0</v>
      </c>
      <c r="J133" s="14" t="n">
        <v>0</v>
      </c>
      <c r="K133" s="15" t="n"/>
      <c r="L133" s="8" t="inlineStr">
        <is>
          <t>Data held</t>
        </is>
      </c>
      <c r="M133" s="8" t="inlineStr">
        <is>
          <t>ESG</t>
        </is>
      </c>
      <c r="N133" s="11" t="inlineStr"/>
      <c r="O133" s="11" t="inlineStr"/>
      <c r="P133" s="11" t="inlineStr"/>
      <c r="Q133" s="11" t="inlineStr"/>
      <c r="R133" s="11" t="inlineStr"/>
      <c r="S133" s="11" t="inlineStr"/>
    </row>
    <row r="134">
      <c r="B134" s="13" t="inlineStr">
        <is>
          <t>CL1(a)</t>
        </is>
      </c>
      <c r="C134" s="8" t="inlineStr"/>
      <c r="D134" s="8" t="inlineStr"/>
      <c r="E134" s="19" t="inlineStr">
        <is>
          <t>Refrigerants</t>
        </is>
      </c>
      <c r="F134" s="8" t="inlineStr">
        <is>
          <t>tCO2e</t>
        </is>
      </c>
      <c r="G134" s="14" t="n"/>
      <c r="H134" s="14" t="n">
        <v>0</v>
      </c>
      <c r="I134" s="14" t="n">
        <v>0</v>
      </c>
      <c r="J134" s="14" t="n">
        <v>0</v>
      </c>
      <c r="K134" s="15" t="n"/>
      <c r="L134" s="8" t="inlineStr">
        <is>
          <t>Data held</t>
        </is>
      </c>
      <c r="M134" s="8" t="inlineStr">
        <is>
          <t>ESG</t>
        </is>
      </c>
      <c r="N134" s="11" t="inlineStr"/>
      <c r="O134" s="11" t="inlineStr"/>
      <c r="P134" s="11" t="inlineStr"/>
      <c r="Q134" s="11" t="inlineStr"/>
      <c r="R134" s="11" t="inlineStr"/>
      <c r="S134" s="11" t="inlineStr"/>
    </row>
    <row r="135">
      <c r="B135" s="13" t="inlineStr">
        <is>
          <t>CL1(a)</t>
        </is>
      </c>
      <c r="C135" s="8" t="inlineStr"/>
      <c r="D135" s="8" t="inlineStr"/>
      <c r="E135" s="19" t="inlineStr">
        <is>
          <t>Transport (land and sea)</t>
        </is>
      </c>
      <c r="F135" s="8" t="inlineStr">
        <is>
          <t>tCO2e</t>
        </is>
      </c>
      <c r="G135" s="14" t="n"/>
      <c r="H135" s="14" t="n">
        <v>0</v>
      </c>
      <c r="I135" s="14" t="n">
        <v>0</v>
      </c>
      <c r="J135" s="14" t="n">
        <v>0</v>
      </c>
      <c r="K135" s="15" t="n"/>
      <c r="L135" s="8" t="inlineStr">
        <is>
          <t>Data held</t>
        </is>
      </c>
      <c r="M135" s="8" t="inlineStr">
        <is>
          <t>ESG</t>
        </is>
      </c>
      <c r="N135" s="11" t="inlineStr"/>
      <c r="O135" s="11" t="inlineStr"/>
      <c r="P135" s="11" t="inlineStr"/>
      <c r="Q135" s="11" t="inlineStr"/>
      <c r="R135" s="11" t="inlineStr"/>
      <c r="S135" s="11" t="inlineStr"/>
    </row>
    <row r="136">
      <c r="B136" s="13" t="inlineStr">
        <is>
          <t>CL1(a)</t>
        </is>
      </c>
      <c r="C136" s="8" t="inlineStr"/>
      <c r="D136" s="8" t="inlineStr"/>
      <c r="E136" s="19" t="inlineStr">
        <is>
          <t>Stationary energy (LPG)</t>
        </is>
      </c>
      <c r="F136" s="8" t="inlineStr">
        <is>
          <t>tCO2e</t>
        </is>
      </c>
      <c r="G136" s="14" t="n"/>
      <c r="H136" s="14" t="n">
        <v>0</v>
      </c>
      <c r="I136" s="14" t="n">
        <v>0</v>
      </c>
      <c r="J136" s="14" t="n">
        <v>0</v>
      </c>
      <c r="K136" s="15" t="n"/>
      <c r="L136" s="8" t="inlineStr">
        <is>
          <t>Data held</t>
        </is>
      </c>
      <c r="M136" s="8" t="inlineStr">
        <is>
          <t>ESG</t>
        </is>
      </c>
      <c r="N136" s="11" t="inlineStr"/>
      <c r="O136" s="11" t="inlineStr"/>
      <c r="P136" s="11" t="inlineStr"/>
      <c r="Q136" s="11" t="inlineStr"/>
      <c r="R136" s="11" t="inlineStr"/>
      <c r="S136" s="11" t="inlineStr"/>
    </row>
    <row r="137">
      <c r="B137" s="13" t="inlineStr">
        <is>
          <t>CL1(a)</t>
        </is>
      </c>
      <c r="C137" s="8" t="inlineStr"/>
      <c r="D137" s="8" t="inlineStr"/>
      <c r="E137" s="19" t="inlineStr">
        <is>
          <t>Electricity (Market-Based)</t>
        </is>
      </c>
      <c r="F137" s="8" t="inlineStr">
        <is>
          <t>tCO2e</t>
        </is>
      </c>
      <c r="G137" s="14" t="n"/>
      <c r="H137" s="14" t="n">
        <v>31414</v>
      </c>
      <c r="I137" s="14" t="n">
        <v>29098</v>
      </c>
      <c r="J137" s="14" t="n">
        <v>0</v>
      </c>
      <c r="K137" s="15" t="n"/>
      <c r="L137" s="8" t="inlineStr">
        <is>
          <t>Data held</t>
        </is>
      </c>
      <c r="M137" s="8" t="inlineStr">
        <is>
          <t>ESG</t>
        </is>
      </c>
      <c r="N137" s="11" t="inlineStr"/>
      <c r="O137" s="11" t="inlineStr"/>
      <c r="P137" s="11" t="inlineStr"/>
      <c r="Q137" s="11" t="inlineStr"/>
      <c r="R137" s="11" t="inlineStr"/>
      <c r="S137" s="11" t="inlineStr"/>
    </row>
    <row r="138">
      <c r="B138" s="13" t="inlineStr">
        <is>
          <t>CL1(a)</t>
        </is>
      </c>
      <c r="C138" s="8" t="inlineStr"/>
      <c r="D138" s="8" t="inlineStr"/>
      <c r="E138" s="19" t="inlineStr">
        <is>
          <t>Professional services</t>
        </is>
      </c>
      <c r="F138" s="8" t="inlineStr">
        <is>
          <t>tCO2e</t>
        </is>
      </c>
      <c r="G138" s="14" t="n"/>
      <c r="H138" s="14" t="n">
        <v>0</v>
      </c>
      <c r="I138" s="14" t="n">
        <v>0</v>
      </c>
      <c r="J138" s="14" t="n">
        <v>0</v>
      </c>
      <c r="K138" s="15" t="n"/>
      <c r="L138" s="8" t="inlineStr">
        <is>
          <t>Data held</t>
        </is>
      </c>
      <c r="M138" s="8" t="inlineStr">
        <is>
          <t>ESG</t>
        </is>
      </c>
      <c r="N138" s="11" t="inlineStr"/>
      <c r="O138" s="11" t="inlineStr"/>
      <c r="P138" s="11" t="inlineStr"/>
      <c r="Q138" s="11" t="inlineStr"/>
      <c r="R138" s="11" t="inlineStr"/>
      <c r="S138" s="11" t="inlineStr"/>
    </row>
    <row r="139">
      <c r="B139" s="13" t="inlineStr">
        <is>
          <t>CL1(a)</t>
        </is>
      </c>
      <c r="C139" s="8" t="inlineStr"/>
      <c r="D139" s="8" t="inlineStr"/>
      <c r="E139" s="19" t="inlineStr">
        <is>
          <t>Construction materials and services</t>
        </is>
      </c>
      <c r="F139" s="8" t="inlineStr">
        <is>
          <t>tCO2e</t>
        </is>
      </c>
      <c r="G139" s="14" t="n"/>
      <c r="H139" s="14" t="n">
        <v>0</v>
      </c>
      <c r="I139" s="14" t="n">
        <v>0</v>
      </c>
      <c r="J139" s="14" t="n">
        <v>0</v>
      </c>
      <c r="K139" s="15" t="n"/>
      <c r="L139" s="8" t="inlineStr">
        <is>
          <t>Data held</t>
        </is>
      </c>
      <c r="M139" s="8" t="inlineStr">
        <is>
          <t>ESG</t>
        </is>
      </c>
      <c r="N139" s="11" t="inlineStr"/>
      <c r="O139" s="11" t="inlineStr"/>
      <c r="P139" s="11" t="inlineStr"/>
      <c r="Q139" s="11" t="inlineStr"/>
      <c r="R139" s="11" t="inlineStr"/>
      <c r="S139" s="11" t="inlineStr"/>
    </row>
    <row r="140">
      <c r="B140" s="13" t="inlineStr">
        <is>
          <t>CL1(a)</t>
        </is>
      </c>
      <c r="C140" s="8" t="inlineStr"/>
      <c r="D140" s="8" t="inlineStr"/>
      <c r="E140" s="19" t="inlineStr">
        <is>
          <t>Transport (air travel)</t>
        </is>
      </c>
      <c r="F140" s="8" t="inlineStr">
        <is>
          <t>tCO2e</t>
        </is>
      </c>
      <c r="G140" s="14" t="n"/>
      <c r="H140" s="14" t="n">
        <v>0</v>
      </c>
      <c r="I140" s="14" t="n">
        <v>0</v>
      </c>
      <c r="J140" s="14" t="n">
        <v>0</v>
      </c>
      <c r="K140" s="15" t="n"/>
      <c r="L140" s="8" t="inlineStr">
        <is>
          <t>Data held</t>
        </is>
      </c>
      <c r="M140" s="8" t="inlineStr">
        <is>
          <t>ESG</t>
        </is>
      </c>
      <c r="N140" s="11" t="inlineStr"/>
      <c r="O140" s="11" t="inlineStr"/>
      <c r="P140" s="11" t="inlineStr"/>
      <c r="Q140" s="11" t="inlineStr"/>
      <c r="R140" s="11" t="inlineStr"/>
      <c r="S140" s="11" t="inlineStr"/>
    </row>
    <row r="141">
      <c r="B141" s="13" t="inlineStr">
        <is>
          <t>CL1(a)</t>
        </is>
      </c>
      <c r="C141" s="8" t="inlineStr"/>
      <c r="D141" s="8" t="inlineStr"/>
      <c r="E141" s="19" t="inlineStr">
        <is>
          <t>ICT services and equipment</t>
        </is>
      </c>
      <c r="F141" s="8" t="inlineStr">
        <is>
          <t>tCO2e</t>
        </is>
      </c>
      <c r="G141" s="14" t="n"/>
      <c r="H141" s="14" t="n">
        <v>0</v>
      </c>
      <c r="I141" s="14" t="n">
        <v>0</v>
      </c>
      <c r="J141" s="14" t="n">
        <v>0</v>
      </c>
      <c r="K141" s="15" t="n"/>
      <c r="L141" s="8" t="inlineStr">
        <is>
          <t>Data held</t>
        </is>
      </c>
      <c r="M141" s="8" t="inlineStr">
        <is>
          <t>ESG</t>
        </is>
      </c>
      <c r="N141" s="11" t="inlineStr"/>
      <c r="O141" s="11" t="inlineStr"/>
      <c r="P141" s="11" t="inlineStr"/>
      <c r="Q141" s="11" t="inlineStr"/>
      <c r="R141" s="11" t="inlineStr"/>
      <c r="S141" s="11" t="inlineStr"/>
    </row>
    <row r="142">
      <c r="B142" s="13" t="inlineStr">
        <is>
          <t>CL1(a)</t>
        </is>
      </c>
      <c r="C142" s="8" t="inlineStr"/>
      <c r="D142" s="8" t="inlineStr"/>
      <c r="E142" s="19" t="inlineStr">
        <is>
          <t>Products</t>
        </is>
      </c>
      <c r="F142" s="8" t="inlineStr">
        <is>
          <t>tCO2e</t>
        </is>
      </c>
      <c r="G142" s="14" t="n"/>
      <c r="H142" s="14" t="n">
        <v>0</v>
      </c>
      <c r="I142" s="14" t="n">
        <v>0</v>
      </c>
      <c r="J142" s="14" t="n">
        <v>0</v>
      </c>
      <c r="K142" s="15" t="n"/>
      <c r="L142" s="8" t="inlineStr">
        <is>
          <t>Data held</t>
        </is>
      </c>
      <c r="M142" s="8" t="inlineStr">
        <is>
          <t>ESG</t>
        </is>
      </c>
      <c r="N142" s="11" t="inlineStr"/>
      <c r="O142" s="11" t="inlineStr"/>
      <c r="P142" s="11" t="inlineStr"/>
      <c r="Q142" s="11" t="inlineStr"/>
      <c r="R142" s="11" t="inlineStr"/>
      <c r="S142" s="11" t="inlineStr"/>
    </row>
    <row r="143">
      <c r="B143" s="13" t="inlineStr">
        <is>
          <t>CL1(a)</t>
        </is>
      </c>
      <c r="C143" s="8" t="inlineStr"/>
      <c r="D143" s="8" t="inlineStr"/>
      <c r="E143" s="19" t="inlineStr">
        <is>
          <t>Food</t>
        </is>
      </c>
      <c r="F143" s="8" t="inlineStr">
        <is>
          <t>tCO2e</t>
        </is>
      </c>
      <c r="G143" s="14" t="n"/>
      <c r="H143" s="14" t="n">
        <v>0</v>
      </c>
      <c r="I143" s="14" t="n">
        <v>0</v>
      </c>
      <c r="J143" s="14" t="n">
        <v>0</v>
      </c>
      <c r="K143" s="15" t="n"/>
      <c r="L143" s="8" t="inlineStr">
        <is>
          <t>Data held</t>
        </is>
      </c>
      <c r="M143" s="8" t="inlineStr">
        <is>
          <t>ESG</t>
        </is>
      </c>
      <c r="N143" s="11" t="inlineStr"/>
      <c r="O143" s="11" t="inlineStr"/>
      <c r="P143" s="11" t="inlineStr"/>
      <c r="Q143" s="11" t="inlineStr"/>
      <c r="R143" s="11" t="inlineStr"/>
      <c r="S143" s="11" t="inlineStr"/>
    </row>
    <row r="144">
      <c r="B144" s="13" t="inlineStr">
        <is>
          <t>CL1(a)</t>
        </is>
      </c>
      <c r="C144" s="8" t="inlineStr"/>
      <c r="D144" s="8" t="inlineStr"/>
      <c r="E144" s="19" t="inlineStr">
        <is>
          <t>Office equipment and supplies</t>
        </is>
      </c>
      <c r="F144" s="8" t="inlineStr">
        <is>
          <t>tCO2e</t>
        </is>
      </c>
      <c r="G144" s="14" t="n"/>
      <c r="H144" s="14" t="n">
        <v>0</v>
      </c>
      <c r="I144" s="14" t="n">
        <v>0</v>
      </c>
      <c r="J144" s="14" t="n">
        <v>0</v>
      </c>
      <c r="K144" s="15" t="n"/>
      <c r="L144" s="8" t="inlineStr">
        <is>
          <t>Data held</t>
        </is>
      </c>
      <c r="M144" s="8" t="inlineStr">
        <is>
          <t>ESG</t>
        </is>
      </c>
      <c r="N144" s="11" t="inlineStr"/>
      <c r="O144" s="11" t="inlineStr"/>
      <c r="P144" s="11" t="inlineStr"/>
      <c r="Q144" s="11" t="inlineStr"/>
      <c r="R144" s="11" t="inlineStr"/>
      <c r="S144" s="11" t="inlineStr"/>
    </row>
    <row r="145">
      <c r="B145" s="13" t="inlineStr">
        <is>
          <t>CL1(a)</t>
        </is>
      </c>
      <c r="C145" s="8" t="inlineStr"/>
      <c r="D145" s="8" t="inlineStr"/>
      <c r="E145" s="19" t="inlineStr">
        <is>
          <t>Accommodation and facilities</t>
        </is>
      </c>
      <c r="F145" s="8" t="inlineStr">
        <is>
          <t>tCO2e</t>
        </is>
      </c>
      <c r="G145" s="14" t="n"/>
      <c r="H145" s="14" t="n">
        <v>0</v>
      </c>
      <c r="I145" s="14" t="n">
        <v>0</v>
      </c>
      <c r="J145" s="14" t="n">
        <v>0</v>
      </c>
      <c r="K145" s="15" t="n"/>
      <c r="L145" s="8" t="inlineStr">
        <is>
          <t>Data held</t>
        </is>
      </c>
      <c r="M145" s="8" t="inlineStr">
        <is>
          <t>ESG</t>
        </is>
      </c>
      <c r="N145" s="11" t="inlineStr"/>
      <c r="O145" s="11" t="inlineStr"/>
      <c r="P145" s="11" t="inlineStr"/>
      <c r="Q145" s="11" t="inlineStr"/>
      <c r="R145" s="11" t="inlineStr"/>
      <c r="S145" s="11" t="inlineStr"/>
    </row>
    <row r="146">
      <c r="B146" s="13" t="inlineStr">
        <is>
          <t>CL1(a)</t>
        </is>
      </c>
      <c r="C146" s="8" t="inlineStr"/>
      <c r="D146" s="8" t="inlineStr"/>
      <c r="E146" s="19" t="inlineStr">
        <is>
          <t>Working from home</t>
        </is>
      </c>
      <c r="F146" s="8" t="inlineStr">
        <is>
          <t>tCO2e</t>
        </is>
      </c>
      <c r="G146" s="14" t="n"/>
      <c r="H146" s="14" t="n">
        <v>0</v>
      </c>
      <c r="I146" s="14" t="n">
        <v>0</v>
      </c>
      <c r="J146" s="14" t="n">
        <v>0</v>
      </c>
      <c r="K146" s="15" t="n"/>
      <c r="L146" s="8" t="inlineStr">
        <is>
          <t>Data held</t>
        </is>
      </c>
      <c r="M146" s="8" t="inlineStr">
        <is>
          <t>ESG</t>
        </is>
      </c>
      <c r="N146" s="11" t="inlineStr"/>
      <c r="O146" s="11" t="inlineStr"/>
      <c r="P146" s="11" t="inlineStr"/>
      <c r="Q146" s="11" t="inlineStr"/>
      <c r="R146" s="11" t="inlineStr"/>
      <c r="S146" s="11" t="inlineStr"/>
    </row>
    <row r="147">
      <c r="B147" s="13" t="inlineStr">
        <is>
          <t>CL1(a)</t>
        </is>
      </c>
      <c r="C147" s="8" t="inlineStr"/>
      <c r="D147" s="8" t="inlineStr"/>
      <c r="E147" s="19" t="inlineStr">
        <is>
          <t>Waste</t>
        </is>
      </c>
      <c r="F147" s="8" t="inlineStr">
        <is>
          <t>tCO2e</t>
        </is>
      </c>
      <c r="G147" s="14" t="n"/>
      <c r="H147" s="14" t="n">
        <v>0</v>
      </c>
      <c r="I147" s="14" t="n">
        <v>0</v>
      </c>
      <c r="J147" s="14" t="n">
        <v>0</v>
      </c>
      <c r="K147" s="15" t="n"/>
      <c r="L147" s="8" t="inlineStr">
        <is>
          <t>Data held</t>
        </is>
      </c>
      <c r="M147" s="8" t="inlineStr">
        <is>
          <t>ESG</t>
        </is>
      </c>
      <c r="N147" s="11" t="inlineStr"/>
      <c r="O147" s="11" t="inlineStr"/>
      <c r="P147" s="11" t="inlineStr"/>
      <c r="Q147" s="11" t="inlineStr"/>
      <c r="R147" s="11" t="inlineStr"/>
      <c r="S147" s="11" t="inlineStr"/>
    </row>
    <row r="148">
      <c r="B148" s="13" t="inlineStr">
        <is>
          <t>CL1(a)</t>
        </is>
      </c>
      <c r="C148" s="8" t="inlineStr"/>
      <c r="D148" s="8" t="inlineStr"/>
      <c r="E148" s="19" t="inlineStr">
        <is>
          <t>Cleaning and chemicals</t>
        </is>
      </c>
      <c r="F148" s="8" t="inlineStr">
        <is>
          <t>tCO2e</t>
        </is>
      </c>
      <c r="G148" s="14" t="n"/>
      <c r="H148" s="14" t="n">
        <v>0</v>
      </c>
      <c r="I148" s="14" t="n">
        <v>0</v>
      </c>
      <c r="J148" s="14" t="n">
        <v>0</v>
      </c>
      <c r="K148" s="15" t="n"/>
      <c r="L148" s="8" t="inlineStr">
        <is>
          <t>Data held</t>
        </is>
      </c>
      <c r="M148" s="8" t="inlineStr">
        <is>
          <t>ESG</t>
        </is>
      </c>
      <c r="N148" s="11" t="inlineStr"/>
      <c r="O148" s="11" t="inlineStr"/>
      <c r="P148" s="11" t="inlineStr"/>
      <c r="Q148" s="11" t="inlineStr"/>
      <c r="R148" s="11" t="inlineStr"/>
      <c r="S148" s="11" t="inlineStr"/>
    </row>
    <row r="149">
      <c r="B149" s="13" t="inlineStr">
        <is>
          <t>CL1(a)</t>
        </is>
      </c>
      <c r="C149" s="8" t="inlineStr"/>
      <c r="D149" s="8" t="inlineStr"/>
      <c r="E149" s="19" t="inlineStr">
        <is>
          <t>Water</t>
        </is>
      </c>
      <c r="F149" s="8" t="inlineStr">
        <is>
          <t>tCO2e</t>
        </is>
      </c>
      <c r="G149" s="14" t="n"/>
      <c r="H149" s="14" t="n">
        <v>0</v>
      </c>
      <c r="I149" s="14" t="n">
        <v>0</v>
      </c>
      <c r="J149" s="14" t="n">
        <v>0</v>
      </c>
      <c r="K149" s="15" t="n"/>
      <c r="L149" s="8" t="inlineStr">
        <is>
          <t>Data held</t>
        </is>
      </c>
      <c r="M149" s="8" t="inlineStr">
        <is>
          <t>ESG</t>
        </is>
      </c>
      <c r="N149" s="11" t="inlineStr"/>
      <c r="O149" s="11" t="inlineStr"/>
      <c r="P149" s="11" t="inlineStr"/>
      <c r="Q149" s="11" t="inlineStr"/>
      <c r="R149" s="11" t="inlineStr"/>
      <c r="S149" s="11" t="inlineStr"/>
    </row>
    <row r="150">
      <c r="B150" s="13" t="inlineStr">
        <is>
          <t>CL1(a)</t>
        </is>
      </c>
      <c r="C150" s="8" t="inlineStr"/>
      <c r="D150" s="8" t="inlineStr"/>
      <c r="E150" s="19" t="inlineStr">
        <is>
          <t>Postage, courier and freight</t>
        </is>
      </c>
      <c r="F150" s="8" t="inlineStr">
        <is>
          <t>tCO2e</t>
        </is>
      </c>
      <c r="G150" s="14" t="n"/>
      <c r="H150" s="14" t="n">
        <v>0</v>
      </c>
      <c r="I150" s="14" t="n">
        <v>0</v>
      </c>
      <c r="J150" s="14" t="n">
        <v>0</v>
      </c>
      <c r="K150" s="15" t="n"/>
      <c r="L150" s="8" t="inlineStr">
        <is>
          <t>Data held</t>
        </is>
      </c>
      <c r="M150" s="8" t="inlineStr">
        <is>
          <t>ESG</t>
        </is>
      </c>
      <c r="N150" s="11" t="inlineStr"/>
      <c r="O150" s="11" t="inlineStr"/>
      <c r="P150" s="11" t="inlineStr"/>
      <c r="Q150" s="11" t="inlineStr"/>
      <c r="R150" s="11" t="inlineStr"/>
      <c r="S150" s="11" t="inlineStr"/>
    </row>
    <row r="151">
      <c r="B151" s="13" t="inlineStr">
        <is>
          <t>CL1(a)</t>
        </is>
      </c>
      <c r="C151" s="8" t="inlineStr"/>
      <c r="D151" s="8" t="inlineStr"/>
      <c r="E151" s="19" t="inlineStr">
        <is>
          <t>Machinery and vehicles</t>
        </is>
      </c>
      <c r="F151" s="8" t="inlineStr">
        <is>
          <t>tCO2e</t>
        </is>
      </c>
      <c r="G151" s="14" t="n"/>
      <c r="H151" s="14" t="n">
        <v>0</v>
      </c>
      <c r="I151" s="14" t="n">
        <v>0</v>
      </c>
      <c r="J151" s="14" t="n">
        <v>0</v>
      </c>
      <c r="K151" s="15" t="n"/>
      <c r="L151" s="8" t="inlineStr">
        <is>
          <t>Data held</t>
        </is>
      </c>
      <c r="M151" s="8" t="inlineStr">
        <is>
          <t>ESG</t>
        </is>
      </c>
      <c r="N151" s="11" t="inlineStr"/>
      <c r="O151" s="11" t="inlineStr"/>
      <c r="P151" s="11" t="inlineStr"/>
      <c r="Q151" s="11" t="inlineStr"/>
      <c r="R151" s="11" t="inlineStr"/>
      <c r="S151" s="11" t="inlineStr"/>
    </row>
    <row r="152">
      <c r="B152" s="13" t="inlineStr">
        <is>
          <t>CL1(a)</t>
        </is>
      </c>
      <c r="C152" s="8" t="inlineStr"/>
      <c r="D152" s="8" t="inlineStr"/>
      <c r="E152" s="19" t="inlineStr">
        <is>
          <t>Horticulture and agriculture</t>
        </is>
      </c>
      <c r="F152" s="8" t="inlineStr">
        <is>
          <t>tCO2e</t>
        </is>
      </c>
      <c r="G152" s="14" t="n"/>
      <c r="H152" s="14" t="n">
        <v>0</v>
      </c>
      <c r="I152" s="14" t="n">
        <v>0</v>
      </c>
      <c r="J152" s="14" t="n">
        <v>0</v>
      </c>
      <c r="K152" s="15" t="n"/>
      <c r="L152" s="8" t="inlineStr">
        <is>
          <t>Data held</t>
        </is>
      </c>
      <c r="M152" s="8" t="inlineStr">
        <is>
          <t>ESG</t>
        </is>
      </c>
      <c r="N152" s="11" t="inlineStr"/>
      <c r="O152" s="11" t="inlineStr"/>
      <c r="P152" s="11" t="inlineStr"/>
      <c r="Q152" s="11" t="inlineStr"/>
      <c r="R152" s="11" t="inlineStr"/>
      <c r="S152" s="11" t="inlineStr"/>
    </row>
    <row r="153">
      <c r="B153" s="13" t="inlineStr">
        <is>
          <t>CL1(a)</t>
        </is>
      </c>
      <c r="C153" s="8" t="inlineStr"/>
      <c r="D153" s="8" t="inlineStr"/>
      <c r="E153" s="19" t="inlineStr">
        <is>
          <t>Roads and landscape</t>
        </is>
      </c>
      <c r="F153" s="8" t="inlineStr">
        <is>
          <t>tCO2e</t>
        </is>
      </c>
      <c r="G153" s="14" t="n"/>
      <c r="H153" s="14" t="n">
        <v>0</v>
      </c>
      <c r="I153" s="14" t="n">
        <v>0</v>
      </c>
      <c r="J153" s="14" t="n">
        <v>0</v>
      </c>
      <c r="K153" s="15" t="n"/>
      <c r="L153" s="8" t="inlineStr">
        <is>
          <t>Data held</t>
        </is>
      </c>
      <c r="M153" s="8" t="inlineStr">
        <is>
          <t>ESG</t>
        </is>
      </c>
      <c r="N153" s="11" t="inlineStr"/>
      <c r="O153" s="11" t="inlineStr"/>
      <c r="P153" s="11" t="inlineStr"/>
      <c r="Q153" s="11" t="inlineStr"/>
      <c r="R153" s="11" t="inlineStr"/>
      <c r="S153" s="11" t="inlineStr"/>
    </row>
    <row r="154">
      <c r="B154" s="13" t="inlineStr">
        <is>
          <t>CL1(a)</t>
        </is>
      </c>
      <c r="C154" s="8" t="inlineStr"/>
      <c r="D154" s="8" t="inlineStr"/>
      <c r="E154" s="19" t="inlineStr">
        <is>
          <t>Other</t>
        </is>
      </c>
      <c r="F154" s="8" t="inlineStr">
        <is>
          <t>tCO2e</t>
        </is>
      </c>
      <c r="G154" s="14" t="n"/>
      <c r="H154" s="14" t="n">
        <v>0</v>
      </c>
      <c r="I154" s="14" t="n">
        <v>0</v>
      </c>
      <c r="J154" s="14" t="n">
        <v>0</v>
      </c>
      <c r="K154" s="15" t="n"/>
      <c r="L154" s="8" t="inlineStr">
        <is>
          <t>Data held</t>
        </is>
      </c>
      <c r="M154" s="8" t="inlineStr">
        <is>
          <t>ESG</t>
        </is>
      </c>
      <c r="N154" s="11" t="inlineStr"/>
      <c r="O154" s="11" t="inlineStr"/>
      <c r="P154" s="11" t="inlineStr"/>
      <c r="Q154" s="11" t="inlineStr"/>
      <c r="R154" s="11" t="inlineStr"/>
      <c r="S154" s="11" t="inlineStr"/>
    </row>
    <row r="155">
      <c r="B155" s="13" t="inlineStr">
        <is>
          <t>CL1(a)</t>
        </is>
      </c>
      <c r="C155" s="8" t="inlineStr"/>
      <c r="D155" s="8" t="inlineStr"/>
      <c r="E155" s="18" t="inlineStr">
        <is>
          <t>Indirect Scope 3 emissions</t>
        </is>
      </c>
      <c r="F155" s="8" t="inlineStr">
        <is>
          <t>tCO2e</t>
        </is>
      </c>
      <c r="G155" s="14" t="n"/>
      <c r="H155" s="14" t="n">
        <v>193049</v>
      </c>
      <c r="I155" s="14" t="n">
        <v>175574</v>
      </c>
      <c r="J155" s="14" t="n">
        <v>154222</v>
      </c>
      <c r="K155" s="15" t="n"/>
      <c r="L155" s="8" t="inlineStr">
        <is>
          <t>Data held</t>
        </is>
      </c>
      <c r="M155" s="8" t="inlineStr">
        <is>
          <t>ESG</t>
        </is>
      </c>
      <c r="N155" s="11" t="inlineStr"/>
      <c r="O155" s="11" t="inlineStr"/>
      <c r="P155" s="11" t="inlineStr"/>
      <c r="Q155" s="11" t="inlineStr"/>
      <c r="R155" s="11" t="inlineStr"/>
      <c r="S155" s="11" t="inlineStr"/>
    </row>
    <row r="156">
      <c r="B156" s="13" t="inlineStr">
        <is>
          <t>CL1(a)</t>
        </is>
      </c>
      <c r="C156" s="8" t="inlineStr"/>
      <c r="D156" s="8" t="inlineStr"/>
      <c r="E156" s="19" t="inlineStr">
        <is>
          <t>Stationary energy (gaseous fuels)</t>
        </is>
      </c>
      <c r="F156" s="8" t="inlineStr">
        <is>
          <t>tCO2e</t>
        </is>
      </c>
      <c r="G156" s="14" t="n"/>
      <c r="H156" s="14" t="n">
        <v>1102</v>
      </c>
      <c r="I156" s="14" t="n">
        <v>1061</v>
      </c>
      <c r="J156" s="14" t="n">
        <v>2315</v>
      </c>
      <c r="K156" s="15" t="n"/>
      <c r="L156" s="8" t="inlineStr">
        <is>
          <t>Data held</t>
        </is>
      </c>
      <c r="M156" s="8" t="inlineStr">
        <is>
          <t>ESG</t>
        </is>
      </c>
      <c r="N156" s="11" t="inlineStr"/>
      <c r="O156" s="11" t="inlineStr"/>
      <c r="P156" s="11" t="inlineStr"/>
      <c r="Q156" s="11" t="inlineStr"/>
      <c r="R156" s="11" t="inlineStr"/>
      <c r="S156" s="11" t="inlineStr"/>
    </row>
    <row r="157">
      <c r="B157" s="13" t="inlineStr">
        <is>
          <t>CL1(a)</t>
        </is>
      </c>
      <c r="C157" s="8" t="inlineStr"/>
      <c r="D157" s="8" t="inlineStr"/>
      <c r="E157" s="19" t="inlineStr">
        <is>
          <t>Refrigerants</t>
        </is>
      </c>
      <c r="F157" s="8" t="inlineStr">
        <is>
          <t>tCO2e</t>
        </is>
      </c>
      <c r="G157" s="14" t="n"/>
      <c r="H157" s="14" t="n"/>
      <c r="I157" s="14" t="n"/>
      <c r="J157" s="14" t="n">
        <v>80</v>
      </c>
      <c r="K157" s="15" t="n"/>
      <c r="L157" s="8" t="inlineStr">
        <is>
          <t>Data held</t>
        </is>
      </c>
      <c r="M157" s="8" t="inlineStr">
        <is>
          <t>ESG</t>
        </is>
      </c>
      <c r="N157" s="11" t="inlineStr"/>
      <c r="O157" s="11" t="inlineStr"/>
      <c r="P157" s="11" t="inlineStr"/>
      <c r="Q157" s="11" t="inlineStr"/>
      <c r="R157" s="11" t="inlineStr"/>
      <c r="S157" s="11" t="inlineStr"/>
    </row>
    <row r="158">
      <c r="B158" s="13" t="inlineStr">
        <is>
          <t>CL1(a)</t>
        </is>
      </c>
      <c r="C158" s="8" t="inlineStr"/>
      <c r="D158" s="8" t="inlineStr"/>
      <c r="E158" s="19" t="inlineStr">
        <is>
          <t>Transport (land and sea)</t>
        </is>
      </c>
      <c r="F158" s="8" t="inlineStr">
        <is>
          <t>tCO2e</t>
        </is>
      </c>
      <c r="G158" s="14" t="n"/>
      <c r="H158" s="14" t="n">
        <v>7394</v>
      </c>
      <c r="I158" s="14" t="n">
        <v>5564</v>
      </c>
      <c r="J158" s="14" t="n">
        <v>5461</v>
      </c>
      <c r="K158" s="15" t="n"/>
      <c r="L158" s="8" t="inlineStr">
        <is>
          <t>Data held</t>
        </is>
      </c>
      <c r="M158" s="8" t="inlineStr">
        <is>
          <t>ESG</t>
        </is>
      </c>
      <c r="N158" s="11" t="inlineStr"/>
      <c r="O158" s="11" t="inlineStr"/>
      <c r="P158" s="11" t="inlineStr"/>
      <c r="Q158" s="11" t="inlineStr"/>
      <c r="R158" s="11" t="inlineStr"/>
      <c r="S158" s="11" t="inlineStr"/>
    </row>
    <row r="159">
      <c r="B159" s="13" t="inlineStr">
        <is>
          <t>CL1(a)</t>
        </is>
      </c>
      <c r="C159" s="8" t="inlineStr"/>
      <c r="D159" s="8" t="inlineStr"/>
      <c r="E159" s="19" t="inlineStr">
        <is>
          <t>Stationary energy (LPG)</t>
        </is>
      </c>
      <c r="F159" s="8" t="inlineStr">
        <is>
          <t>tCO2e</t>
        </is>
      </c>
      <c r="G159" s="14" t="n"/>
      <c r="H159" s="14" t="n">
        <v>52</v>
      </c>
      <c r="I159" s="14" t="n">
        <v>10</v>
      </c>
      <c r="J159" s="14" t="n">
        <v>0</v>
      </c>
      <c r="K159" s="15" t="n"/>
      <c r="L159" s="8" t="inlineStr">
        <is>
          <t>Data held</t>
        </is>
      </c>
      <c r="M159" s="8" t="inlineStr">
        <is>
          <t>ESG</t>
        </is>
      </c>
      <c r="N159" s="11" t="inlineStr"/>
      <c r="O159" s="11" t="inlineStr"/>
      <c r="P159" s="11" t="inlineStr"/>
      <c r="Q159" s="11" t="inlineStr"/>
      <c r="R159" s="11" t="inlineStr"/>
      <c r="S159" s="11" t="inlineStr"/>
    </row>
    <row r="160">
      <c r="B160" s="13" t="inlineStr">
        <is>
          <t>CL1(a)</t>
        </is>
      </c>
      <c r="C160" s="8" t="inlineStr"/>
      <c r="D160" s="8" t="inlineStr"/>
      <c r="E160" s="19" t="inlineStr">
        <is>
          <t>Electricity (Market-Based)</t>
        </is>
      </c>
      <c r="F160" s="8" t="inlineStr">
        <is>
          <t>tCO2e</t>
        </is>
      </c>
      <c r="G160" s="14" t="n"/>
      <c r="H160" s="14" t="n">
        <v>3878</v>
      </c>
      <c r="I160" s="14" t="n">
        <v>3592</v>
      </c>
      <c r="J160" s="14" t="n">
        <v>4644</v>
      </c>
      <c r="K160" s="15" t="n"/>
      <c r="L160" s="8" t="inlineStr">
        <is>
          <t>Data held</t>
        </is>
      </c>
      <c r="M160" s="8" t="inlineStr">
        <is>
          <t>ESG</t>
        </is>
      </c>
      <c r="N160" s="11" t="inlineStr"/>
      <c r="O160" s="11" t="inlineStr"/>
      <c r="P160" s="11" t="inlineStr"/>
      <c r="Q160" s="11" t="inlineStr"/>
      <c r="R160" s="11" t="inlineStr"/>
      <c r="S160" s="11" t="inlineStr"/>
    </row>
    <row r="161">
      <c r="B161" s="13" t="inlineStr">
        <is>
          <t>CL1(a)</t>
        </is>
      </c>
      <c r="C161" s="8" t="inlineStr"/>
      <c r="D161" s="8" t="inlineStr"/>
      <c r="E161" s="19" t="inlineStr">
        <is>
          <t>Professional services</t>
        </is>
      </c>
      <c r="F161" s="8" t="inlineStr">
        <is>
          <t>tCO2e</t>
        </is>
      </c>
      <c r="G161" s="14" t="n"/>
      <c r="H161" s="14" t="n">
        <v>58053</v>
      </c>
      <c r="I161" s="14" t="n">
        <v>69377</v>
      </c>
      <c r="J161" s="14" t="n">
        <v>69347</v>
      </c>
      <c r="K161" s="15" t="n"/>
      <c r="L161" s="8" t="inlineStr">
        <is>
          <t>Data held</t>
        </is>
      </c>
      <c r="M161" s="8" t="inlineStr">
        <is>
          <t>ESG</t>
        </is>
      </c>
      <c r="N161" s="11" t="inlineStr"/>
      <c r="O161" s="11" t="inlineStr"/>
      <c r="P161" s="11" t="inlineStr"/>
      <c r="Q161" s="11" t="inlineStr"/>
      <c r="R161" s="11" t="inlineStr"/>
      <c r="S161" s="11" t="inlineStr"/>
    </row>
    <row r="162">
      <c r="B162" s="13" t="inlineStr">
        <is>
          <t>CL1(a)</t>
        </is>
      </c>
      <c r="C162" s="8" t="inlineStr"/>
      <c r="D162" s="8" t="inlineStr"/>
      <c r="E162" s="19" t="inlineStr">
        <is>
          <t>Construction materials and services</t>
        </is>
      </c>
      <c r="F162" s="8" t="inlineStr">
        <is>
          <t>tCO2e</t>
        </is>
      </c>
      <c r="G162" s="14" t="n"/>
      <c r="H162" s="14" t="n">
        <v>27169</v>
      </c>
      <c r="I162" s="14" t="n">
        <v>20601</v>
      </c>
      <c r="J162" s="14" t="n">
        <v>15830</v>
      </c>
      <c r="K162" s="15" t="n"/>
      <c r="L162" s="8" t="inlineStr">
        <is>
          <t>Data held</t>
        </is>
      </c>
      <c r="M162" s="8" t="inlineStr">
        <is>
          <t>ESG</t>
        </is>
      </c>
      <c r="N162" s="11" t="inlineStr"/>
      <c r="O162" s="11" t="inlineStr"/>
      <c r="P162" s="11" t="inlineStr"/>
      <c r="Q162" s="11" t="inlineStr"/>
      <c r="R162" s="11" t="inlineStr"/>
      <c r="S162" s="11" t="inlineStr"/>
    </row>
    <row r="163">
      <c r="B163" s="13" t="inlineStr">
        <is>
          <t>CL1(a)</t>
        </is>
      </c>
      <c r="C163" s="8" t="inlineStr"/>
      <c r="D163" s="8" t="inlineStr"/>
      <c r="E163" s="19" t="inlineStr">
        <is>
          <t>Transport (air travel)</t>
        </is>
      </c>
      <c r="F163" s="8" t="inlineStr">
        <is>
          <t>tCO2e</t>
        </is>
      </c>
      <c r="G163" s="14" t="n"/>
      <c r="H163" s="14" t="n">
        <v>33556</v>
      </c>
      <c r="I163" s="14" t="n">
        <v>22092</v>
      </c>
      <c r="J163" s="14" t="n">
        <v>20055</v>
      </c>
      <c r="K163" s="15" t="n"/>
      <c r="L163" s="8" t="inlineStr">
        <is>
          <t>Data held</t>
        </is>
      </c>
      <c r="M163" s="8" t="inlineStr">
        <is>
          <t>ESG</t>
        </is>
      </c>
      <c r="N163" s="11" t="inlineStr"/>
      <c r="O163" s="11" t="inlineStr"/>
      <c r="P163" s="11" t="inlineStr"/>
      <c r="Q163" s="11" t="inlineStr"/>
      <c r="R163" s="11" t="inlineStr"/>
      <c r="S163" s="11" t="inlineStr"/>
    </row>
    <row r="164">
      <c r="B164" s="13" t="inlineStr">
        <is>
          <t>CL1(a)</t>
        </is>
      </c>
      <c r="C164" s="8" t="inlineStr"/>
      <c r="D164" s="8" t="inlineStr"/>
      <c r="E164" s="19" t="inlineStr">
        <is>
          <t>ICT services and equipment</t>
        </is>
      </c>
      <c r="F164" s="8" t="inlineStr">
        <is>
          <t>tCO2e</t>
        </is>
      </c>
      <c r="G164" s="14" t="n"/>
      <c r="H164" s="14" t="n">
        <v>13849</v>
      </c>
      <c r="I164" s="14" t="n">
        <v>20458</v>
      </c>
      <c r="J164" s="14" t="n">
        <v>7239</v>
      </c>
      <c r="K164" s="15" t="n"/>
      <c r="L164" s="8" t="inlineStr">
        <is>
          <t>Data held</t>
        </is>
      </c>
      <c r="M164" s="8" t="inlineStr">
        <is>
          <t>ESG</t>
        </is>
      </c>
      <c r="N164" s="11" t="inlineStr"/>
      <c r="O164" s="11" t="inlineStr"/>
      <c r="P164" s="11" t="inlineStr"/>
      <c r="Q164" s="11" t="inlineStr"/>
      <c r="R164" s="11" t="inlineStr"/>
      <c r="S164" s="11" t="inlineStr"/>
    </row>
    <row r="165">
      <c r="B165" s="13" t="inlineStr">
        <is>
          <t>CL1(a)</t>
        </is>
      </c>
      <c r="C165" s="8" t="inlineStr"/>
      <c r="D165" s="8" t="inlineStr"/>
      <c r="E165" s="19" t="inlineStr">
        <is>
          <t>Products</t>
        </is>
      </c>
      <c r="F165" s="8" t="inlineStr">
        <is>
          <t>tCO2e</t>
        </is>
      </c>
      <c r="G165" s="14" t="n"/>
      <c r="H165" s="14" t="n">
        <v>12048</v>
      </c>
      <c r="I165" s="14" t="n">
        <v>11820</v>
      </c>
      <c r="J165" s="14" t="n">
        <v>8012</v>
      </c>
      <c r="K165" s="15" t="n"/>
      <c r="L165" s="8" t="inlineStr">
        <is>
          <t>Data held</t>
        </is>
      </c>
      <c r="M165" s="8" t="inlineStr">
        <is>
          <t>ESG</t>
        </is>
      </c>
      <c r="N165" s="11" t="inlineStr"/>
      <c r="O165" s="11" t="inlineStr"/>
      <c r="P165" s="11" t="inlineStr"/>
      <c r="Q165" s="11" t="inlineStr"/>
      <c r="R165" s="11" t="inlineStr"/>
      <c r="S165" s="11" t="inlineStr"/>
    </row>
    <row r="166">
      <c r="B166" s="13" t="inlineStr">
        <is>
          <t>CL1(a)</t>
        </is>
      </c>
      <c r="C166" s="8" t="inlineStr"/>
      <c r="D166" s="8" t="inlineStr"/>
      <c r="E166" s="19" t="inlineStr">
        <is>
          <t>Food</t>
        </is>
      </c>
      <c r="F166" s="8" t="inlineStr">
        <is>
          <t>tCO2e</t>
        </is>
      </c>
      <c r="G166" s="14" t="n"/>
      <c r="H166" s="14" t="n">
        <v>5769</v>
      </c>
      <c r="I166" s="14" t="n">
        <v>6203</v>
      </c>
      <c r="J166" s="14" t="n">
        <v>4055</v>
      </c>
      <c r="K166" s="15" t="n"/>
      <c r="L166" s="8" t="inlineStr">
        <is>
          <t>Data held</t>
        </is>
      </c>
      <c r="M166" s="8" t="inlineStr">
        <is>
          <t>ESG</t>
        </is>
      </c>
      <c r="N166" s="11" t="inlineStr"/>
      <c r="O166" s="11" t="inlineStr"/>
      <c r="P166" s="11" t="inlineStr"/>
      <c r="Q166" s="11" t="inlineStr"/>
      <c r="R166" s="11" t="inlineStr"/>
      <c r="S166" s="11" t="inlineStr"/>
    </row>
    <row r="167">
      <c r="B167" s="13" t="inlineStr">
        <is>
          <t>CL1(a)</t>
        </is>
      </c>
      <c r="C167" s="8" t="inlineStr"/>
      <c r="D167" s="8" t="inlineStr"/>
      <c r="E167" s="19" t="inlineStr">
        <is>
          <t>Office equipment and supplies</t>
        </is>
      </c>
      <c r="F167" s="8" t="inlineStr">
        <is>
          <t>tCO2e</t>
        </is>
      </c>
      <c r="G167" s="14" t="n"/>
      <c r="H167" s="14" t="n">
        <v>13961</v>
      </c>
      <c r="I167" s="14" t="n">
        <v>3893</v>
      </c>
      <c r="J167" s="14" t="n">
        <v>3536</v>
      </c>
      <c r="K167" s="15" t="n"/>
      <c r="L167" s="8" t="inlineStr">
        <is>
          <t>Data held</t>
        </is>
      </c>
      <c r="M167" s="8" t="inlineStr">
        <is>
          <t>ESG</t>
        </is>
      </c>
      <c r="N167" s="11" t="inlineStr"/>
      <c r="O167" s="11" t="inlineStr"/>
      <c r="P167" s="11" t="inlineStr"/>
      <c r="Q167" s="11" t="inlineStr"/>
      <c r="R167" s="11" t="inlineStr"/>
      <c r="S167" s="11" t="inlineStr"/>
    </row>
    <row r="168">
      <c r="B168" s="13" t="inlineStr">
        <is>
          <t>CL1(a)</t>
        </is>
      </c>
      <c r="C168" s="8" t="inlineStr"/>
      <c r="D168" s="8" t="inlineStr"/>
      <c r="E168" s="19" t="inlineStr">
        <is>
          <t>Accommodation and facilities</t>
        </is>
      </c>
      <c r="F168" s="8" t="inlineStr">
        <is>
          <t>tCO2e</t>
        </is>
      </c>
      <c r="G168" s="14" t="n"/>
      <c r="H168" s="14" t="n">
        <v>1649</v>
      </c>
      <c r="I168" s="14" t="n">
        <v>2412</v>
      </c>
      <c r="J168" s="14" t="n">
        <v>1552</v>
      </c>
      <c r="K168" s="15" t="n"/>
      <c r="L168" s="8" t="inlineStr">
        <is>
          <t>Data held</t>
        </is>
      </c>
      <c r="M168" s="8" t="inlineStr">
        <is>
          <t>ESG</t>
        </is>
      </c>
      <c r="N168" s="11" t="inlineStr"/>
      <c r="O168" s="11" t="inlineStr"/>
      <c r="P168" s="11" t="inlineStr"/>
      <c r="Q168" s="11" t="inlineStr"/>
      <c r="R168" s="11" t="inlineStr"/>
      <c r="S168" s="11" t="inlineStr"/>
    </row>
    <row r="169">
      <c r="B169" s="13" t="inlineStr">
        <is>
          <t>CL1(a)</t>
        </is>
      </c>
      <c r="C169" s="8" t="inlineStr"/>
      <c r="D169" s="8" t="inlineStr"/>
      <c r="E169" s="19" t="inlineStr">
        <is>
          <t>Working from home</t>
        </is>
      </c>
      <c r="F169" s="8" t="inlineStr">
        <is>
          <t>tCO2e</t>
        </is>
      </c>
      <c r="G169" s="14" t="n"/>
      <c r="H169" s="14" t="n">
        <v>3204</v>
      </c>
      <c r="I169" s="14" t="n">
        <v>2582</v>
      </c>
      <c r="J169" s="14" t="n">
        <v>2607</v>
      </c>
      <c r="K169" s="15" t="n"/>
      <c r="L169" s="8" t="inlineStr">
        <is>
          <t>Data held</t>
        </is>
      </c>
      <c r="M169" s="8" t="inlineStr">
        <is>
          <t>ESG</t>
        </is>
      </c>
      <c r="N169" s="11" t="inlineStr"/>
      <c r="O169" s="11" t="inlineStr"/>
      <c r="P169" s="11" t="inlineStr"/>
      <c r="Q169" s="11" t="inlineStr"/>
      <c r="R169" s="11" t="inlineStr"/>
      <c r="S169" s="11" t="inlineStr"/>
    </row>
    <row r="170">
      <c r="B170" s="13" t="inlineStr">
        <is>
          <t>CL1(a)</t>
        </is>
      </c>
      <c r="C170" s="8" t="inlineStr"/>
      <c r="D170" s="8" t="inlineStr"/>
      <c r="E170" s="19" t="inlineStr">
        <is>
          <t>Waste</t>
        </is>
      </c>
      <c r="F170" s="8" t="inlineStr">
        <is>
          <t>tCO2e</t>
        </is>
      </c>
      <c r="G170" s="14" t="n"/>
      <c r="H170" s="14" t="n">
        <v>2460</v>
      </c>
      <c r="I170" s="14" t="n">
        <v>2265</v>
      </c>
      <c r="J170" s="14" t="n">
        <v>2275</v>
      </c>
      <c r="K170" s="15" t="n"/>
      <c r="L170" s="8" t="inlineStr">
        <is>
          <t>Data held</t>
        </is>
      </c>
      <c r="M170" s="8" t="inlineStr">
        <is>
          <t>ESG</t>
        </is>
      </c>
      <c r="N170" s="11" t="inlineStr"/>
      <c r="O170" s="11" t="inlineStr"/>
      <c r="P170" s="11" t="inlineStr"/>
      <c r="Q170" s="11" t="inlineStr"/>
      <c r="R170" s="11" t="inlineStr"/>
      <c r="S170" s="11" t="inlineStr"/>
    </row>
    <row r="171">
      <c r="B171" s="13" t="inlineStr">
        <is>
          <t>CL1(a)</t>
        </is>
      </c>
      <c r="C171" s="8" t="inlineStr"/>
      <c r="D171" s="8" t="inlineStr"/>
      <c r="E171" s="19" t="inlineStr">
        <is>
          <t>Cleaning and chemicals</t>
        </is>
      </c>
      <c r="F171" s="8" t="inlineStr">
        <is>
          <t>tCO2e</t>
        </is>
      </c>
      <c r="G171" s="14" t="n"/>
      <c r="H171" s="14" t="n">
        <v>1995</v>
      </c>
      <c r="I171" s="14" t="n">
        <v>930</v>
      </c>
      <c r="J171" s="14" t="n">
        <v>1673</v>
      </c>
      <c r="K171" s="15" t="n"/>
      <c r="L171" s="8" t="inlineStr">
        <is>
          <t>Data held</t>
        </is>
      </c>
      <c r="M171" s="8" t="inlineStr">
        <is>
          <t>ESG</t>
        </is>
      </c>
      <c r="N171" s="11" t="inlineStr"/>
      <c r="O171" s="11" t="inlineStr"/>
      <c r="P171" s="11" t="inlineStr"/>
      <c r="Q171" s="11" t="inlineStr"/>
      <c r="R171" s="11" t="inlineStr"/>
      <c r="S171" s="11" t="inlineStr"/>
    </row>
    <row r="172">
      <c r="B172" s="13" t="inlineStr">
        <is>
          <t>CL1(a)</t>
        </is>
      </c>
      <c r="C172" s="8" t="inlineStr"/>
      <c r="D172" s="8" t="inlineStr"/>
      <c r="E172" s="19" t="inlineStr">
        <is>
          <t>Water</t>
        </is>
      </c>
      <c r="F172" s="8" t="inlineStr">
        <is>
          <t>tCO2e</t>
        </is>
      </c>
      <c r="G172" s="14" t="n"/>
      <c r="H172" s="14" t="n">
        <v>801</v>
      </c>
      <c r="I172" s="14" t="n">
        <v>1068</v>
      </c>
      <c r="J172" s="14" t="n">
        <v>1048</v>
      </c>
      <c r="K172" s="15" t="n"/>
      <c r="L172" s="8" t="inlineStr">
        <is>
          <t>Data held</t>
        </is>
      </c>
      <c r="M172" s="8" t="inlineStr">
        <is>
          <t>ESG</t>
        </is>
      </c>
      <c r="N172" s="11" t="inlineStr"/>
      <c r="O172" s="11" t="inlineStr"/>
      <c r="P172" s="11" t="inlineStr"/>
      <c r="Q172" s="11" t="inlineStr"/>
      <c r="R172" s="11" t="inlineStr"/>
      <c r="S172" s="11" t="inlineStr"/>
    </row>
    <row r="173">
      <c r="B173" s="13" t="inlineStr">
        <is>
          <t>CL1(a)</t>
        </is>
      </c>
      <c r="C173" s="8" t="inlineStr"/>
      <c r="D173" s="8" t="inlineStr"/>
      <c r="E173" s="19" t="inlineStr">
        <is>
          <t>Postage, courier and freight</t>
        </is>
      </c>
      <c r="F173" s="8" t="inlineStr">
        <is>
          <t>tCO2e</t>
        </is>
      </c>
      <c r="G173" s="14" t="n"/>
      <c r="H173" s="14" t="n">
        <v>791</v>
      </c>
      <c r="I173" s="14" t="n">
        <v>1138</v>
      </c>
      <c r="J173" s="14" t="n">
        <v>2320</v>
      </c>
      <c r="K173" s="15" t="n"/>
      <c r="L173" s="8" t="inlineStr">
        <is>
          <t>Data held</t>
        </is>
      </c>
      <c r="M173" s="8" t="inlineStr">
        <is>
          <t>ESG</t>
        </is>
      </c>
      <c r="N173" s="11" t="inlineStr"/>
      <c r="O173" s="11" t="inlineStr"/>
      <c r="P173" s="11" t="inlineStr"/>
      <c r="Q173" s="11" t="inlineStr"/>
      <c r="R173" s="11" t="inlineStr"/>
      <c r="S173" s="11" t="inlineStr"/>
    </row>
    <row r="174">
      <c r="B174" s="13" t="inlineStr">
        <is>
          <t>CL1(a)</t>
        </is>
      </c>
      <c r="C174" s="8" t="inlineStr"/>
      <c r="D174" s="8" t="inlineStr"/>
      <c r="E174" s="19" t="inlineStr">
        <is>
          <t>Machinery and vehicles</t>
        </is>
      </c>
      <c r="F174" s="8" t="inlineStr">
        <is>
          <t>tCO2e</t>
        </is>
      </c>
      <c r="G174" s="14" t="n"/>
      <c r="H174" s="14" t="n">
        <v>1142</v>
      </c>
      <c r="I174" s="14" t="n">
        <v>448</v>
      </c>
      <c r="J174" s="14" t="n">
        <v>1939</v>
      </c>
      <c r="K174" s="15" t="n"/>
      <c r="L174" s="8" t="inlineStr">
        <is>
          <t>Data held</t>
        </is>
      </c>
      <c r="M174" s="8" t="inlineStr">
        <is>
          <t>ESG</t>
        </is>
      </c>
      <c r="N174" s="11" t="inlineStr"/>
      <c r="O174" s="11" t="inlineStr"/>
      <c r="P174" s="11" t="inlineStr"/>
      <c r="Q174" s="11" t="inlineStr"/>
      <c r="R174" s="11" t="inlineStr"/>
      <c r="S174" s="11" t="inlineStr"/>
    </row>
    <row r="175">
      <c r="B175" s="13" t="inlineStr">
        <is>
          <t>CL1(a)</t>
        </is>
      </c>
      <c r="C175" s="8" t="inlineStr"/>
      <c r="D175" s="8" t="inlineStr"/>
      <c r="E175" s="19" t="inlineStr">
        <is>
          <t>Horticulture and agriculture</t>
        </is>
      </c>
      <c r="F175" s="8" t="inlineStr">
        <is>
          <t>tCO2e</t>
        </is>
      </c>
      <c r="G175" s="14" t="n"/>
      <c r="H175" s="14" t="n">
        <v>1682</v>
      </c>
      <c r="I175" s="14" t="n">
        <v>58</v>
      </c>
      <c r="J175" s="14" t="n">
        <v>314</v>
      </c>
      <c r="K175" s="15" t="n"/>
      <c r="L175" s="8" t="inlineStr">
        <is>
          <t>Data held</t>
        </is>
      </c>
      <c r="M175" s="8" t="inlineStr">
        <is>
          <t>ESG</t>
        </is>
      </c>
      <c r="N175" s="11" t="inlineStr"/>
      <c r="O175" s="11" t="inlineStr"/>
      <c r="P175" s="11" t="inlineStr"/>
      <c r="Q175" s="11" t="inlineStr"/>
      <c r="R175" s="11" t="inlineStr"/>
      <c r="S175" s="11" t="inlineStr"/>
    </row>
    <row r="176">
      <c r="B176" s="13" t="inlineStr">
        <is>
          <t>CL1(a)</t>
        </is>
      </c>
      <c r="C176" s="8" t="inlineStr"/>
      <c r="D176" s="8" t="inlineStr"/>
      <c r="E176" s="19" t="inlineStr">
        <is>
          <t>Roads and landscape</t>
        </is>
      </c>
      <c r="F176" s="8" t="inlineStr">
        <is>
          <t>tCO2e</t>
        </is>
      </c>
      <c r="G176" s="14" t="n"/>
      <c r="H176" s="14" t="n">
        <v>0</v>
      </c>
      <c r="I176" s="14" t="n">
        <v>0</v>
      </c>
      <c r="J176" s="14" t="n">
        <v>0</v>
      </c>
      <c r="K176" s="15" t="n"/>
      <c r="L176" s="8" t="inlineStr">
        <is>
          <t>Data held</t>
        </is>
      </c>
      <c r="M176" s="8" t="inlineStr">
        <is>
          <t>ESG</t>
        </is>
      </c>
      <c r="N176" s="11" t="inlineStr"/>
      <c r="O176" s="11" t="inlineStr"/>
      <c r="P176" s="11" t="inlineStr"/>
      <c r="Q176" s="11" t="inlineStr"/>
      <c r="R176" s="11" t="inlineStr"/>
      <c r="S176" s="11" t="inlineStr"/>
    </row>
    <row r="177">
      <c r="B177" s="13" t="inlineStr">
        <is>
          <t>CL1(a)</t>
        </is>
      </c>
      <c r="C177" s="8" t="inlineStr"/>
      <c r="D177" s="8" t="inlineStr"/>
      <c r="E177" s="19" t="inlineStr">
        <is>
          <t>Other</t>
        </is>
      </c>
      <c r="F177" s="8" t="inlineStr">
        <is>
          <t>tCO2e</t>
        </is>
      </c>
      <c r="G177" s="14" t="n"/>
      <c r="H177" s="14" t="n">
        <v>2492</v>
      </c>
      <c r="I177" s="14" t="n">
        <v>0</v>
      </c>
      <c r="J177" s="14" t="n">
        <v>0</v>
      </c>
      <c r="K177" s="15" t="n"/>
      <c r="L177" s="8" t="inlineStr">
        <is>
          <t>Data held</t>
        </is>
      </c>
      <c r="M177" s="8" t="inlineStr">
        <is>
          <t>ESG</t>
        </is>
      </c>
      <c r="N177" s="11" t="inlineStr"/>
      <c r="O177" s="11" t="inlineStr"/>
      <c r="P177" s="11" t="inlineStr"/>
      <c r="Q177" s="11" t="inlineStr"/>
      <c r="R177" s="11" t="inlineStr"/>
      <c r="S177" s="11" t="inlineStr"/>
    </row>
    <row r="178">
      <c r="B178" s="13" t="inlineStr">
        <is>
          <t>CL1(a)</t>
        </is>
      </c>
      <c r="C178" s="8" t="inlineStr"/>
      <c r="D178" s="8" t="inlineStr"/>
      <c r="E178" s="8" t="inlineStr">
        <is>
          <t>Total Carbon offsets</t>
        </is>
      </c>
      <c r="F178" s="8" t="inlineStr">
        <is>
          <t>tCO2e</t>
        </is>
      </c>
      <c r="G178" s="14" t="n"/>
      <c r="H178" s="14" t="n">
        <v>68852</v>
      </c>
      <c r="I178" s="14" t="n">
        <v>54782</v>
      </c>
      <c r="J178" s="14" t="n">
        <v>170705</v>
      </c>
      <c r="K178" s="15" t="n"/>
      <c r="L178" s="8" t="inlineStr">
        <is>
          <t>Data held</t>
        </is>
      </c>
      <c r="M178" s="8" t="inlineStr">
        <is>
          <t>ESG</t>
        </is>
      </c>
      <c r="N178" s="11" t="inlineStr"/>
      <c r="O178" s="11" t="inlineStr"/>
      <c r="P178" s="11" t="inlineStr"/>
      <c r="Q178" s="11" t="inlineStr"/>
      <c r="R178" s="11" t="inlineStr"/>
      <c r="S178" s="11" t="inlineStr"/>
    </row>
    <row r="179">
      <c r="B179" s="13" t="inlineStr">
        <is>
          <t>CL1(a)</t>
        </is>
      </c>
      <c r="C179" s="8" t="inlineStr"/>
      <c r="D179" s="8" t="inlineStr"/>
      <c r="E179" s="18" t="inlineStr">
        <is>
          <t>Carbon offsets for scope 1</t>
        </is>
      </c>
      <c r="F179" s="8" t="inlineStr">
        <is>
          <t>tCO2e</t>
        </is>
      </c>
      <c r="G179" s="14" t="n"/>
      <c r="H179" s="14" t="inlineStr">
        <is>
          <t>N/A</t>
        </is>
      </c>
      <c r="I179" s="14" t="inlineStr">
        <is>
          <t>N/A</t>
        </is>
      </c>
      <c r="J179" s="14" t="n">
        <v>16485</v>
      </c>
      <c r="K179" s="15" t="n"/>
      <c r="L179" s="8" t="inlineStr">
        <is>
          <t>Data held</t>
        </is>
      </c>
      <c r="M179" s="8" t="inlineStr">
        <is>
          <t>ESG</t>
        </is>
      </c>
      <c r="N179" s="11" t="inlineStr"/>
      <c r="O179" s="11" t="inlineStr"/>
      <c r="P179" s="11" t="inlineStr"/>
      <c r="Q179" s="11" t="inlineStr"/>
      <c r="R179" s="11" t="inlineStr"/>
      <c r="S179" s="11" t="inlineStr"/>
    </row>
    <row r="180">
      <c r="B180" s="13" t="inlineStr">
        <is>
          <t>CL1(a)</t>
        </is>
      </c>
      <c r="C180" s="8" t="inlineStr"/>
      <c r="D180" s="8" t="inlineStr"/>
      <c r="E180" s="18" t="inlineStr">
        <is>
          <t>Carbon offsets for scope 2</t>
        </is>
      </c>
      <c r="F180" s="8" t="inlineStr">
        <is>
          <t>tCO2e</t>
        </is>
      </c>
      <c r="G180" s="14" t="n"/>
      <c r="H180" s="14" t="inlineStr">
        <is>
          <t>N/A</t>
        </is>
      </c>
      <c r="I180" s="14" t="inlineStr">
        <is>
          <t>N/A</t>
        </is>
      </c>
      <c r="J180" s="14" t="n">
        <v>0</v>
      </c>
      <c r="K180" s="15" t="n"/>
      <c r="L180" s="8" t="inlineStr">
        <is>
          <t>Data held</t>
        </is>
      </c>
      <c r="M180" s="8" t="inlineStr">
        <is>
          <t>ESG</t>
        </is>
      </c>
      <c r="N180" s="11" t="inlineStr"/>
      <c r="O180" s="11" t="inlineStr"/>
      <c r="P180" s="11" t="inlineStr"/>
      <c r="Q180" s="11" t="inlineStr"/>
      <c r="R180" s="11" t="inlineStr"/>
      <c r="S180" s="11" t="inlineStr"/>
    </row>
    <row r="181">
      <c r="B181" s="13" t="inlineStr">
        <is>
          <t>CL1(a)</t>
        </is>
      </c>
      <c r="C181" s="8" t="inlineStr"/>
      <c r="D181" s="8" t="inlineStr"/>
      <c r="E181" s="18" t="inlineStr">
        <is>
          <t>Carbon offsets for scope 3</t>
        </is>
      </c>
      <c r="F181" s="8" t="inlineStr">
        <is>
          <t>tCO2e</t>
        </is>
      </c>
      <c r="G181" s="14" t="n"/>
      <c r="H181" s="14" t="inlineStr">
        <is>
          <t>N/A</t>
        </is>
      </c>
      <c r="I181" s="14" t="inlineStr">
        <is>
          <t>N/A</t>
        </is>
      </c>
      <c r="J181" s="14" t="n">
        <v>154220</v>
      </c>
      <c r="K181" s="15" t="n"/>
      <c r="L181" s="8" t="inlineStr">
        <is>
          <t>Data held</t>
        </is>
      </c>
      <c r="M181" s="8" t="inlineStr">
        <is>
          <t>ESG</t>
        </is>
      </c>
      <c r="N181" s="11" t="inlineStr"/>
      <c r="O181" s="11" t="inlineStr"/>
      <c r="P181" s="11" t="inlineStr"/>
      <c r="Q181" s="11" t="inlineStr"/>
      <c r="R181" s="11" t="inlineStr"/>
      <c r="S181" s="11" t="inlineStr"/>
    </row>
    <row r="182">
      <c r="B182" s="13" t="inlineStr">
        <is>
          <t>CL1(a)</t>
        </is>
      </c>
      <c r="C182" s="8" t="inlineStr"/>
      <c r="D182" s="8" t="inlineStr"/>
      <c r="E182" s="8" t="inlineStr">
        <is>
          <t>Net total emissions</t>
        </is>
      </c>
      <c r="F182" s="8" t="inlineStr">
        <is>
          <t>tCO2e</t>
        </is>
      </c>
      <c r="G182" s="14" t="n"/>
      <c r="H182" s="14" t="n">
        <v>172276</v>
      </c>
      <c r="I182" s="14" t="n">
        <v>165457</v>
      </c>
      <c r="J182" s="14" t="n">
        <v>0</v>
      </c>
      <c r="K182" s="15" t="n"/>
      <c r="L182" s="8" t="inlineStr">
        <is>
          <t>Data held</t>
        </is>
      </c>
      <c r="M182" s="8" t="inlineStr">
        <is>
          <t>ESG</t>
        </is>
      </c>
      <c r="N182" s="11" t="inlineStr"/>
      <c r="O182" s="11" t="inlineStr"/>
      <c r="P182" s="11" t="inlineStr"/>
      <c r="Q182" s="11" t="inlineStr"/>
      <c r="R182" s="11" t="inlineStr"/>
      <c r="S182" s="11" t="inlineStr"/>
    </row>
    <row r="183">
      <c r="B183" s="13" t="inlineStr">
        <is>
          <t>CL1(a)</t>
        </is>
      </c>
      <c r="C183" s="8" t="inlineStr"/>
      <c r="D183" s="8" t="inlineStr"/>
      <c r="E183" s="8" t="inlineStr">
        <is>
          <t>Total Electricity Usage</t>
        </is>
      </c>
      <c r="F183" s="8" t="inlineStr">
        <is>
          <t>MWh</t>
        </is>
      </c>
      <c r="G183" s="14" t="n"/>
      <c r="H183" s="14" t="n">
        <v>115156</v>
      </c>
      <c r="I183" s="14" t="n">
        <v>117811</v>
      </c>
      <c r="J183" s="14" t="n">
        <v>119826</v>
      </c>
      <c r="K183" s="15" t="n"/>
      <c r="L183" s="8" t="inlineStr">
        <is>
          <t>Data held</t>
        </is>
      </c>
      <c r="M183" s="8" t="inlineStr">
        <is>
          <t>ESG</t>
        </is>
      </c>
      <c r="N183" s="11" t="inlineStr"/>
      <c r="O183" s="11" t="inlineStr"/>
      <c r="P183" s="11" t="inlineStr"/>
      <c r="Q183" s="11" t="inlineStr"/>
      <c r="R183" s="11" t="inlineStr"/>
      <c r="S183" s="11" t="inlineStr"/>
    </row>
    <row r="184">
      <c r="B184" s="13" t="inlineStr">
        <is>
          <t>CL1(a)</t>
        </is>
      </c>
      <c r="C184" s="8" t="inlineStr"/>
      <c r="D184" s="8" t="inlineStr"/>
      <c r="E184" s="8" t="inlineStr">
        <is>
          <t>Total on-campus solar</t>
        </is>
      </c>
      <c r="F184" s="8" t="inlineStr">
        <is>
          <t>MWh</t>
        </is>
      </c>
      <c r="G184" s="14" t="n"/>
      <c r="H184" s="14" t="n">
        <v>3439</v>
      </c>
      <c r="I184" s="14" t="n">
        <v>3795</v>
      </c>
      <c r="J184" s="14" t="n">
        <v>3879</v>
      </c>
      <c r="K184" s="15" t="n"/>
      <c r="L184" s="8" t="inlineStr">
        <is>
          <t>Data held</t>
        </is>
      </c>
      <c r="M184" s="8" t="inlineStr">
        <is>
          <t>ESG</t>
        </is>
      </c>
      <c r="N184" s="11" t="inlineStr"/>
      <c r="O184" s="11" t="inlineStr"/>
      <c r="P184" s="11" t="inlineStr"/>
      <c r="Q184" s="11" t="inlineStr"/>
      <c r="R184" s="11" t="inlineStr"/>
      <c r="S184" s="11" t="inlineStr"/>
    </row>
    <row r="185">
      <c r="B185" s="13" t="inlineStr">
        <is>
          <t>CL1(a)</t>
        </is>
      </c>
      <c r="C185" s="8" t="inlineStr"/>
      <c r="D185" s="8" t="inlineStr"/>
      <c r="E185" s="8" t="inlineStr">
        <is>
          <t>Total grid (incl. affiliates)</t>
        </is>
      </c>
      <c r="F185" s="8" t="inlineStr">
        <is>
          <t>#</t>
        </is>
      </c>
      <c r="G185" s="14" t="n"/>
      <c r="H185" s="14" t="n">
        <v>111717</v>
      </c>
      <c r="I185" s="14" t="n">
        <v>114016</v>
      </c>
      <c r="J185" s="14" t="n">
        <v>115947</v>
      </c>
      <c r="K185" s="15" t="n"/>
      <c r="L185" s="8" t="inlineStr">
        <is>
          <t>Data held</t>
        </is>
      </c>
      <c r="M185" s="8" t="inlineStr">
        <is>
          <t>ESG</t>
        </is>
      </c>
      <c r="N185" s="11" t="inlineStr"/>
      <c r="O185" s="11" t="inlineStr"/>
      <c r="P185" s="11" t="inlineStr"/>
      <c r="Q185" s="11" t="inlineStr"/>
      <c r="R185" s="11" t="inlineStr"/>
      <c r="S185" s="11" t="inlineStr"/>
    </row>
    <row r="186">
      <c r="B186" s="13" t="inlineStr">
        <is>
          <t>CL1(b)</t>
        </is>
      </c>
      <c r="C186" s="8" t="inlineStr">
        <is>
          <t>Climate Leadership</t>
        </is>
      </c>
      <c r="D186" s="8" t="inlineStr">
        <is>
          <t>Development of Greenhouse Gas Intensity metrics</t>
        </is>
      </c>
      <c r="E186" s="8" t="inlineStr">
        <is>
          <t>Net emissions /m2 GFA</t>
        </is>
      </c>
      <c r="F186" s="8" t="inlineStr">
        <is>
          <t>tCO2e / m²</t>
        </is>
      </c>
      <c r="G186" s="14" t="n"/>
      <c r="H186" s="14" t="n">
        <v>0.17</v>
      </c>
      <c r="I186" s="14" t="n">
        <v>0.16</v>
      </c>
      <c r="J186" s="14" t="n">
        <v>0</v>
      </c>
      <c r="K186" s="15" t="n"/>
      <c r="L186" s="8" t="inlineStr">
        <is>
          <t>Data held</t>
        </is>
      </c>
      <c r="M186" s="8" t="inlineStr">
        <is>
          <t>ESG</t>
        </is>
      </c>
      <c r="N186" s="11" t="inlineStr"/>
      <c r="O186" s="11" t="inlineStr"/>
      <c r="P186" s="11" t="inlineStr"/>
      <c r="Q186" s="11" t="inlineStr"/>
      <c r="R186" s="11" t="inlineStr"/>
      <c r="S186" s="11" t="inlineStr"/>
    </row>
    <row r="187">
      <c r="B187" s="13" t="inlineStr">
        <is>
          <t>CL1(b)</t>
        </is>
      </c>
      <c r="C187" s="8" t="inlineStr"/>
      <c r="D187" s="8" t="inlineStr"/>
      <c r="E187" s="8" t="inlineStr">
        <is>
          <t>Net emissions /FTE</t>
        </is>
      </c>
      <c r="F187" s="8" t="inlineStr">
        <is>
          <t>tCO2e / FTE</t>
        </is>
      </c>
      <c r="G187" s="14" t="n"/>
      <c r="H187" s="14" t="n">
        <v>16.39</v>
      </c>
      <c r="I187" s="14" t="n">
        <v>14.96</v>
      </c>
      <c r="J187" s="14" t="n">
        <v>0</v>
      </c>
      <c r="K187" s="15" t="n"/>
      <c r="L187" s="8" t="inlineStr">
        <is>
          <t>Data held</t>
        </is>
      </c>
      <c r="M187" s="8" t="inlineStr">
        <is>
          <t>ESG</t>
        </is>
      </c>
      <c r="N187" s="11" t="inlineStr"/>
      <c r="O187" s="11" t="inlineStr"/>
      <c r="P187" s="11" t="inlineStr"/>
      <c r="Q187" s="11" t="inlineStr"/>
      <c r="R187" s="11" t="inlineStr"/>
      <c r="S187" s="11" t="inlineStr"/>
    </row>
    <row r="188">
      <c r="B188" s="13" t="inlineStr">
        <is>
          <t>CL1(b)</t>
        </is>
      </c>
      <c r="C188" s="8" t="inlineStr"/>
      <c r="D188" s="8" t="inlineStr"/>
      <c r="E188" s="8" t="inlineStr">
        <is>
          <t>Net emissions /EFTSL</t>
        </is>
      </c>
      <c r="F188" s="8" t="inlineStr">
        <is>
          <t>tCO2e / EFTSL</t>
        </is>
      </c>
      <c r="G188" s="14" t="n"/>
      <c r="H188" s="14" t="n">
        <v>3.19</v>
      </c>
      <c r="I188" s="14" t="n">
        <v>2.86</v>
      </c>
      <c r="J188" s="14" t="n">
        <v>0</v>
      </c>
      <c r="K188" s="15" t="n"/>
      <c r="L188" s="8" t="inlineStr">
        <is>
          <t>Data held</t>
        </is>
      </c>
      <c r="M188" s="8" t="inlineStr">
        <is>
          <t>ESG</t>
        </is>
      </c>
      <c r="N188" s="11" t="inlineStr"/>
      <c r="O188" s="11" t="inlineStr"/>
      <c r="P188" s="11" t="inlineStr"/>
      <c r="Q188" s="11" t="inlineStr"/>
      <c r="R188" s="11" t="inlineStr"/>
      <c r="S188" s="11" t="inlineStr"/>
    </row>
    <row r="189">
      <c r="B189" s="13" t="inlineStr">
        <is>
          <t>CL1(b)</t>
        </is>
      </c>
      <c r="C189" s="8" t="inlineStr"/>
      <c r="D189" s="8" t="inlineStr"/>
      <c r="E189" s="8" t="inlineStr">
        <is>
          <t>Net emissions /(FTE + EFTSL)</t>
        </is>
      </c>
      <c r="F189" s="8" t="inlineStr">
        <is>
          <t>tCO2e / (FTE + EFTSL)</t>
        </is>
      </c>
      <c r="G189" s="14" t="n"/>
      <c r="H189" s="14" t="n">
        <v>2.67</v>
      </c>
      <c r="I189" s="14" t="n">
        <v>2.4</v>
      </c>
      <c r="J189" s="14" t="n">
        <v>0</v>
      </c>
      <c r="K189" s="15" t="n"/>
      <c r="L189" s="8" t="inlineStr">
        <is>
          <t>Data held</t>
        </is>
      </c>
      <c r="M189" s="8" t="inlineStr">
        <is>
          <t>ESG</t>
        </is>
      </c>
      <c r="N189" s="11" t="inlineStr"/>
      <c r="O189" s="11" t="inlineStr"/>
      <c r="P189" s="11" t="inlineStr"/>
      <c r="Q189" s="11" t="inlineStr"/>
      <c r="R189" s="11" t="inlineStr"/>
      <c r="S189" s="11" t="inlineStr"/>
    </row>
    <row r="190">
      <c r="B190" s="13" t="inlineStr">
        <is>
          <t>CL1(b)</t>
        </is>
      </c>
      <c r="C190" s="8" t="inlineStr"/>
      <c r="D190" s="8" t="inlineStr"/>
      <c r="E190" s="8" t="inlineStr">
        <is>
          <t>Gross emissions /m2 GFA</t>
        </is>
      </c>
      <c r="F190" s="8" t="inlineStr">
        <is>
          <t>tCO2e / m²</t>
        </is>
      </c>
      <c r="G190" s="14" t="n"/>
      <c r="H190" s="14" t="n">
        <v>0.23</v>
      </c>
      <c r="I190" s="14" t="n">
        <v>0.21</v>
      </c>
      <c r="J190" s="14" t="n">
        <v>0.16</v>
      </c>
      <c r="K190" s="15" t="n"/>
      <c r="L190" s="8" t="inlineStr">
        <is>
          <t>Data held</t>
        </is>
      </c>
      <c r="M190" s="8" t="inlineStr">
        <is>
          <t>ESG</t>
        </is>
      </c>
      <c r="N190" s="11" t="inlineStr"/>
      <c r="O190" s="11" t="inlineStr"/>
      <c r="P190" s="11" t="inlineStr"/>
      <c r="Q190" s="11" t="inlineStr"/>
      <c r="R190" s="11" t="inlineStr"/>
      <c r="S190" s="11" t="inlineStr"/>
    </row>
    <row r="191">
      <c r="B191" s="13" t="inlineStr">
        <is>
          <t>CL1(b)</t>
        </is>
      </c>
      <c r="C191" s="8" t="inlineStr"/>
      <c r="D191" s="8" t="inlineStr"/>
      <c r="E191" s="8" t="inlineStr">
        <is>
          <t>Gross emissions /FTE</t>
        </is>
      </c>
      <c r="F191" s="8" t="inlineStr">
        <is>
          <t>tCO2e / FTE</t>
        </is>
      </c>
      <c r="G191" s="14" t="n"/>
      <c r="H191" s="14" t="n">
        <v>23.13</v>
      </c>
      <c r="I191" s="14" t="n">
        <v>19.91</v>
      </c>
      <c r="J191" s="14" t="n">
        <v>15.3</v>
      </c>
      <c r="K191" s="15" t="n"/>
      <c r="L191" s="8" t="inlineStr">
        <is>
          <t>Data held</t>
        </is>
      </c>
      <c r="M191" s="8" t="inlineStr">
        <is>
          <t>ESG</t>
        </is>
      </c>
      <c r="N191" s="11" t="inlineStr"/>
      <c r="O191" s="11" t="inlineStr"/>
      <c r="P191" s="11" t="inlineStr"/>
      <c r="Q191" s="11" t="inlineStr"/>
      <c r="R191" s="11" t="inlineStr"/>
      <c r="S191" s="11" t="inlineStr"/>
    </row>
    <row r="192">
      <c r="B192" s="13" t="inlineStr">
        <is>
          <t>CL1(b)</t>
        </is>
      </c>
      <c r="C192" s="8" t="inlineStr"/>
      <c r="D192" s="8" t="inlineStr"/>
      <c r="E192" s="8" t="inlineStr">
        <is>
          <t>Gross emissions /EFTSL</t>
        </is>
      </c>
      <c r="F192" s="8" t="inlineStr">
        <is>
          <t>tCO2e / EFTSL</t>
        </is>
      </c>
      <c r="G192" s="14" t="n"/>
      <c r="H192" s="14" t="n">
        <v>4.51</v>
      </c>
      <c r="I192" s="14" t="n">
        <v>3.8</v>
      </c>
      <c r="J192" s="14" t="n">
        <v>2.94</v>
      </c>
      <c r="K192" s="15" t="n"/>
      <c r="L192" s="8" t="inlineStr">
        <is>
          <t>Data held</t>
        </is>
      </c>
      <c r="M192" s="8" t="inlineStr">
        <is>
          <t>ESG</t>
        </is>
      </c>
      <c r="N192" s="11" t="inlineStr"/>
      <c r="O192" s="11" t="inlineStr"/>
      <c r="P192" s="11" t="inlineStr"/>
      <c r="Q192" s="11" t="inlineStr"/>
      <c r="R192" s="11" t="inlineStr"/>
      <c r="S192" s="11" t="inlineStr"/>
    </row>
    <row r="193">
      <c r="B193" s="13" t="inlineStr">
        <is>
          <t>CL1(b)</t>
        </is>
      </c>
      <c r="C193" s="8" t="inlineStr"/>
      <c r="D193" s="8" t="inlineStr"/>
      <c r="E193" s="8" t="inlineStr">
        <is>
          <t>Gross emissions /(FTE + EFTSL)</t>
        </is>
      </c>
      <c r="F193" s="8" t="inlineStr">
        <is>
          <t>tCO2e / (FTE + EFTSL)</t>
        </is>
      </c>
      <c r="G193" s="14" t="n"/>
      <c r="H193" s="14" t="n">
        <v>3.77</v>
      </c>
      <c r="I193" s="14" t="n">
        <v>3.19</v>
      </c>
      <c r="J193" s="14" t="n">
        <v>2.46</v>
      </c>
      <c r="K193" s="15" t="n"/>
      <c r="L193" s="8" t="inlineStr">
        <is>
          <t>Data held</t>
        </is>
      </c>
      <c r="M193" s="8" t="inlineStr">
        <is>
          <t>ESG</t>
        </is>
      </c>
      <c r="N193" s="11" t="inlineStr"/>
      <c r="O193" s="11" t="inlineStr"/>
      <c r="P193" s="11" t="inlineStr"/>
      <c r="Q193" s="11" t="inlineStr"/>
      <c r="R193" s="11" t="inlineStr"/>
      <c r="S193" s="11" t="inlineStr"/>
    </row>
    <row r="194">
      <c r="B194" s="13" t="inlineStr">
        <is>
          <t>CL2(a)</t>
        </is>
      </c>
      <c r="C194" s="8" t="inlineStr">
        <is>
          <t>Climate Leadership</t>
        </is>
      </c>
      <c r="D194" s="8" t="inlineStr">
        <is>
          <t>By 2028, develop and document institutional mapping of research and education activities that are designed to contribute to global decarbonisation</t>
        </is>
      </c>
      <c r="E194" s="8" t="inlineStr">
        <is>
          <t>Number of relevant research projects/programs mapped</t>
        </is>
      </c>
      <c r="F194" s="8" t="inlineStr">
        <is>
          <t>#</t>
        </is>
      </c>
      <c r="G194" s="14" t="n"/>
      <c r="H194" s="14" t="n"/>
      <c r="I194" s="14" t="n"/>
      <c r="J194" s="14" t="n"/>
      <c r="K194" s="15" t="n"/>
      <c r="L194" s="8" t="inlineStr">
        <is>
          <t>No data yet</t>
        </is>
      </c>
      <c r="M194" s="8" t="inlineStr">
        <is>
          <t>SST</t>
        </is>
      </c>
      <c r="N194" s="11" t="inlineStr"/>
      <c r="O194" s="11" t="inlineStr"/>
      <c r="P194" s="11" t="inlineStr"/>
      <c r="Q194" s="11" t="inlineStr"/>
      <c r="R194" s="11" t="inlineStr"/>
      <c r="S194" s="11" t="inlineStr"/>
    </row>
    <row r="195">
      <c r="B195" s="13" t="inlineStr">
        <is>
          <t>CL2(a)</t>
        </is>
      </c>
      <c r="C195" s="8" t="inlineStr"/>
      <c r="D195" s="8" t="inlineStr"/>
      <c r="E195" s="8" t="inlineStr">
        <is>
          <t>Number of relevant subjects mapped</t>
        </is>
      </c>
      <c r="F195" s="8" t="inlineStr">
        <is>
          <t>#</t>
        </is>
      </c>
      <c r="G195" s="14" t="n"/>
      <c r="H195" s="14" t="n"/>
      <c r="I195" s="14" t="n"/>
      <c r="J195" s="14" t="n"/>
      <c r="K195" s="15" t="n"/>
      <c r="L195" s="8" t="inlineStr">
        <is>
          <t>No data yet</t>
        </is>
      </c>
      <c r="M195" s="8" t="inlineStr">
        <is>
          <t>SST</t>
        </is>
      </c>
      <c r="N195" s="11" t="inlineStr"/>
      <c r="O195" s="11" t="inlineStr"/>
      <c r="P195" s="11" t="inlineStr"/>
      <c r="Q195" s="11" t="inlineStr"/>
      <c r="R195" s="11" t="inlineStr"/>
      <c r="S195" s="11" t="inlineStr"/>
    </row>
    <row r="196">
      <c r="B196" s="13" t="inlineStr">
        <is>
          <t>CL2(b)</t>
        </is>
      </c>
      <c r="C196" s="8" t="inlineStr">
        <is>
          <t>Climate Leadership</t>
        </is>
      </c>
      <c r="D196" s="8" t="inlineStr">
        <is>
          <t>Prioritised pipeline of decarbonisation focused research and education opportunities aligned with University emissions reduction priorities from 2028</t>
        </is>
      </c>
      <c r="E196" s="8" t="inlineStr">
        <is>
          <t>Number of pipelined projects or research transitioned from opportunity to active</t>
        </is>
      </c>
      <c r="F196" s="8" t="inlineStr">
        <is>
          <t>#</t>
        </is>
      </c>
      <c r="G196" s="14" t="n"/>
      <c r="H196" s="14" t="n"/>
      <c r="I196" s="14" t="n"/>
      <c r="J196" s="14" t="n"/>
      <c r="K196" s="15" t="n"/>
      <c r="L196" s="8" t="inlineStr">
        <is>
          <t>No data yet</t>
        </is>
      </c>
      <c r="M196" s="8" t="inlineStr">
        <is>
          <t>SST</t>
        </is>
      </c>
      <c r="N196" s="11" t="inlineStr"/>
      <c r="O196" s="11" t="inlineStr"/>
      <c r="P196" s="11" t="inlineStr"/>
      <c r="Q196" s="11" t="inlineStr"/>
      <c r="R196" s="11" t="inlineStr"/>
      <c r="S196" s="11" t="inlineStr"/>
    </row>
    <row r="197">
      <c r="B197" s="13" t="inlineStr">
        <is>
          <t>CL2(c)</t>
        </is>
      </c>
      <c r="C197" s="8" t="inlineStr">
        <is>
          <t>Climate Leadership</t>
        </is>
      </c>
      <c r="D197" s="8" t="inlineStr">
        <is>
          <t>Ongoing communications that evidence the university's climate action, research and learning to inform policy, sector and community decarbonisation efforts</t>
        </is>
      </c>
      <c r="E197" s="8" t="inlineStr">
        <is>
          <t>Published documents, policy brief, and public engagement events</t>
        </is>
      </c>
      <c r="F197" s="8" t="inlineStr">
        <is>
          <t>#</t>
        </is>
      </c>
      <c r="G197" s="14" t="n"/>
      <c r="H197" s="14" t="n"/>
      <c r="I197" s="14" t="n"/>
      <c r="J197" s="14" t="n"/>
      <c r="K197" s="15" t="n"/>
      <c r="L197" s="8" t="inlineStr">
        <is>
          <t>No data yet</t>
        </is>
      </c>
      <c r="M197" s="8" t="inlineStr">
        <is>
          <t>SST</t>
        </is>
      </c>
      <c r="N197" s="11" t="inlineStr"/>
      <c r="O197" s="11" t="inlineStr"/>
      <c r="P197" s="11" t="inlineStr"/>
      <c r="Q197" s="11" t="inlineStr"/>
      <c r="R197" s="11" t="inlineStr"/>
      <c r="S197" s="11" t="inlineStr"/>
    </row>
    <row r="198">
      <c r="B198" s="13" t="inlineStr">
        <is>
          <t>CL2(c)</t>
        </is>
      </c>
      <c r="C198" s="8" t="inlineStr"/>
      <c r="D198" s="8" t="inlineStr"/>
      <c r="E198" s="8" t="inlineStr">
        <is>
          <t>Views of communication material</t>
        </is>
      </c>
      <c r="F198" s="8" t="inlineStr">
        <is>
          <t>#</t>
        </is>
      </c>
      <c r="G198" s="14" t="n"/>
      <c r="H198" s="14" t="n"/>
      <c r="I198" s="14" t="n"/>
      <c r="J198" s="14" t="n"/>
      <c r="K198" s="15" t="n"/>
      <c r="L198" s="8" t="inlineStr">
        <is>
          <t>No data yet</t>
        </is>
      </c>
      <c r="M198" s="8" t="inlineStr">
        <is>
          <t>SST</t>
        </is>
      </c>
      <c r="N198" s="11" t="inlineStr"/>
      <c r="O198" s="11" t="inlineStr"/>
      <c r="P198" s="11" t="inlineStr"/>
      <c r="Q198" s="11" t="inlineStr"/>
      <c r="R198" s="11" t="inlineStr"/>
      <c r="S198" s="11" t="inlineStr"/>
    </row>
    <row r="199">
      <c r="B199" s="16" t="inlineStr">
        <is>
          <t>CL3(a)</t>
        </is>
      </c>
      <c r="C199" s="16" t="inlineStr">
        <is>
          <t>Climate Leadership</t>
        </is>
      </c>
      <c r="D199" s="16" t="inlineStr">
        <is>
          <t>Maturity assessment of the University's preparedness for climate-related impacts and capability to respond</t>
        </is>
      </c>
      <c r="E199" s="16" t="inlineStr">
        <is>
          <t>Average Total Maturity Score</t>
        </is>
      </c>
      <c r="F199" s="16" t="inlineStr"/>
      <c r="G199" s="17" t="n"/>
      <c r="H199" s="17" t="n"/>
      <c r="I199" s="17" t="n"/>
      <c r="J199" s="17" t="n"/>
      <c r="K199" s="17" t="n"/>
      <c r="L199" s="16" t="inlineStr"/>
      <c r="M199" s="16" t="inlineStr"/>
      <c r="N199" s="16" t="inlineStr"/>
      <c r="O199" s="16" t="inlineStr"/>
      <c r="P199" s="16" t="inlineStr"/>
      <c r="Q199" s="16" t="inlineStr"/>
      <c r="R199" s="16" t="inlineStr"/>
      <c r="S199" s="16" t="inlineStr"/>
    </row>
    <row r="200">
      <c r="B200" s="13" t="inlineStr">
        <is>
          <t>CL3(a)</t>
        </is>
      </c>
      <c r="C200" s="8" t="inlineStr"/>
      <c r="D200" s="8" t="inlineStr"/>
      <c r="E200" s="18" t="inlineStr">
        <is>
          <t>Maturitu Score - Governance and strategy</t>
        </is>
      </c>
      <c r="F200" s="8" t="inlineStr"/>
      <c r="G200" s="14" t="n"/>
      <c r="H200" s="14" t="n"/>
      <c r="I200" s="14" t="n"/>
      <c r="J200" s="14" t="n"/>
      <c r="K200" s="15" t="n"/>
      <c r="L200" s="8" t="inlineStr">
        <is>
          <t>No data yet</t>
        </is>
      </c>
      <c r="M200" s="8" t="inlineStr">
        <is>
          <t>CI&amp;S</t>
        </is>
      </c>
      <c r="N200" s="11" t="inlineStr"/>
      <c r="O200" s="11" t="inlineStr"/>
      <c r="P200" s="11" t="inlineStr"/>
      <c r="Q200" s="11" t="inlineStr"/>
      <c r="R200" s="11" t="inlineStr"/>
      <c r="S200" s="11" t="inlineStr"/>
    </row>
    <row r="201">
      <c r="B201" s="13" t="inlineStr">
        <is>
          <t>CL3(a)</t>
        </is>
      </c>
      <c r="C201" s="8" t="inlineStr"/>
      <c r="D201" s="8" t="inlineStr"/>
      <c r="E201" s="18" t="inlineStr">
        <is>
          <t>Maturity Score - Health and safety</t>
        </is>
      </c>
      <c r="F201" s="8" t="inlineStr"/>
      <c r="G201" s="14" t="n"/>
      <c r="H201" s="14" t="n"/>
      <c r="I201" s="14" t="n"/>
      <c r="J201" s="14" t="n"/>
      <c r="K201" s="15" t="n"/>
      <c r="L201" s="8" t="inlineStr">
        <is>
          <t>No data yet</t>
        </is>
      </c>
      <c r="M201" s="8" t="inlineStr">
        <is>
          <t>CI&amp;S</t>
        </is>
      </c>
      <c r="N201" s="11" t="inlineStr"/>
      <c r="O201" s="11" t="inlineStr"/>
      <c r="P201" s="11" t="inlineStr"/>
      <c r="Q201" s="11" t="inlineStr"/>
      <c r="R201" s="11" t="inlineStr"/>
      <c r="S201" s="11" t="inlineStr"/>
    </row>
    <row r="202">
      <c r="B202" s="13" t="inlineStr">
        <is>
          <t>CL3(a)</t>
        </is>
      </c>
      <c r="C202" s="8" t="inlineStr"/>
      <c r="D202" s="8" t="inlineStr"/>
      <c r="E202" s="18" t="inlineStr">
        <is>
          <t>Maturity Score - Business continuity</t>
        </is>
      </c>
      <c r="F202" s="8" t="inlineStr"/>
      <c r="G202" s="14" t="n"/>
      <c r="H202" s="14" t="n"/>
      <c r="I202" s="14" t="n"/>
      <c r="J202" s="14" t="n"/>
      <c r="K202" s="15" t="n"/>
      <c r="L202" s="8" t="inlineStr">
        <is>
          <t>No data yet</t>
        </is>
      </c>
      <c r="M202" s="8" t="inlineStr">
        <is>
          <t>CI&amp;S</t>
        </is>
      </c>
      <c r="N202" s="11" t="inlineStr"/>
      <c r="O202" s="11" t="inlineStr"/>
      <c r="P202" s="11" t="inlineStr"/>
      <c r="Q202" s="11" t="inlineStr"/>
      <c r="R202" s="11" t="inlineStr"/>
      <c r="S202" s="11" t="inlineStr"/>
    </row>
    <row r="203">
      <c r="B203" s="13" t="inlineStr">
        <is>
          <t>CL3(a)</t>
        </is>
      </c>
      <c r="C203" s="8" t="inlineStr"/>
      <c r="D203" s="8" t="inlineStr"/>
      <c r="E203" s="18" t="inlineStr">
        <is>
          <t>Maturity Score - Emergency management and critical incidence management</t>
        </is>
      </c>
      <c r="F203" s="8" t="inlineStr"/>
      <c r="G203" s="14" t="n"/>
      <c r="H203" s="14" t="n"/>
      <c r="I203" s="14" t="n"/>
      <c r="J203" s="14" t="n"/>
      <c r="K203" s="15" t="n"/>
      <c r="L203" s="8" t="inlineStr">
        <is>
          <t>No data yet</t>
        </is>
      </c>
      <c r="M203" s="8" t="inlineStr">
        <is>
          <t>CI&amp;S</t>
        </is>
      </c>
      <c r="N203" s="11" t="inlineStr"/>
      <c r="O203" s="11" t="inlineStr"/>
      <c r="P203" s="11" t="inlineStr"/>
      <c r="Q203" s="11" t="inlineStr"/>
      <c r="R203" s="11" t="inlineStr"/>
      <c r="S203" s="11" t="inlineStr"/>
    </row>
    <row r="204">
      <c r="B204" s="13" t="inlineStr">
        <is>
          <t>CL3(a)</t>
        </is>
      </c>
      <c r="C204" s="8" t="inlineStr"/>
      <c r="D204" s="8" t="inlineStr"/>
      <c r="E204" s="18" t="inlineStr">
        <is>
          <t>Maturity Score - Estate and buildings</t>
        </is>
      </c>
      <c r="F204" s="8" t="inlineStr"/>
      <c r="G204" s="14" t="n"/>
      <c r="H204" s="14" t="n"/>
      <c r="I204" s="14" t="n"/>
      <c r="J204" s="14" t="n"/>
      <c r="K204" s="15" t="n"/>
      <c r="L204" s="8" t="inlineStr">
        <is>
          <t>No data yet</t>
        </is>
      </c>
      <c r="M204" s="8" t="inlineStr">
        <is>
          <t>CI&amp;S</t>
        </is>
      </c>
      <c r="N204" s="11" t="inlineStr"/>
      <c r="O204" s="11" t="inlineStr"/>
      <c r="P204" s="11" t="inlineStr"/>
      <c r="Q204" s="11" t="inlineStr"/>
      <c r="R204" s="11" t="inlineStr"/>
      <c r="S204" s="11" t="inlineStr"/>
    </row>
    <row r="205">
      <c r="B205" s="13" t="inlineStr">
        <is>
          <t>CL3(a)</t>
        </is>
      </c>
      <c r="C205" s="8" t="inlineStr"/>
      <c r="D205" s="8" t="inlineStr"/>
      <c r="E205" s="18" t="inlineStr">
        <is>
          <t>Maturity Score - Water management</t>
        </is>
      </c>
      <c r="F205" s="8" t="inlineStr"/>
      <c r="G205" s="14" t="n"/>
      <c r="H205" s="14" t="n"/>
      <c r="I205" s="14" t="n"/>
      <c r="J205" s="14" t="n"/>
      <c r="K205" s="15" t="n"/>
      <c r="L205" s="8" t="inlineStr">
        <is>
          <t>No data yet</t>
        </is>
      </c>
      <c r="M205" s="8" t="inlineStr">
        <is>
          <t>CI&amp;S</t>
        </is>
      </c>
      <c r="N205" s="11" t="inlineStr"/>
      <c r="O205" s="11" t="inlineStr"/>
      <c r="P205" s="11" t="inlineStr"/>
      <c r="Q205" s="11" t="inlineStr"/>
      <c r="R205" s="11" t="inlineStr"/>
      <c r="S205" s="11" t="inlineStr"/>
    </row>
    <row r="206">
      <c r="B206" s="13" t="inlineStr">
        <is>
          <t>CL3(a)</t>
        </is>
      </c>
      <c r="C206" s="8" t="inlineStr"/>
      <c r="D206" s="8" t="inlineStr"/>
      <c r="E206" s="18" t="inlineStr">
        <is>
          <t>Maturity Score - Financial planning and reporting</t>
        </is>
      </c>
      <c r="F206" s="8" t="inlineStr"/>
      <c r="G206" s="14" t="n"/>
      <c r="H206" s="14" t="n"/>
      <c r="I206" s="14" t="n"/>
      <c r="J206" s="14" t="n"/>
      <c r="K206" s="15" t="n"/>
      <c r="L206" s="8" t="inlineStr">
        <is>
          <t>No data yet</t>
        </is>
      </c>
      <c r="M206" s="8" t="inlineStr">
        <is>
          <t>CI&amp;S</t>
        </is>
      </c>
      <c r="N206" s="11" t="inlineStr"/>
      <c r="O206" s="11" t="inlineStr"/>
      <c r="P206" s="11" t="inlineStr"/>
      <c r="Q206" s="11" t="inlineStr"/>
      <c r="R206" s="11" t="inlineStr"/>
      <c r="S206" s="11" t="inlineStr"/>
    </row>
    <row r="207">
      <c r="B207" s="16" t="inlineStr">
        <is>
          <t>NB1(a)</t>
        </is>
      </c>
      <c r="C207" s="16" t="inlineStr">
        <is>
          <t>Nature and Biodiversity</t>
        </is>
      </c>
      <c r="D207" s="16" t="inlineStr">
        <is>
          <t>Monitoring of biodiversity metrics from the Biodiversity Baseline Data Project</t>
        </is>
      </c>
      <c r="E207" s="16" t="inlineStr">
        <is>
          <t>Parkville biodiversity metrics</t>
        </is>
      </c>
      <c r="F207" s="16" t="inlineStr"/>
      <c r="G207" s="17" t="n"/>
      <c r="H207" s="17" t="n"/>
      <c r="I207" s="17" t="n"/>
      <c r="J207" s="17" t="n"/>
      <c r="K207" s="17" t="n"/>
      <c r="L207" s="16" t="inlineStr"/>
      <c r="M207" s="16" t="inlineStr"/>
      <c r="N207" s="16" t="inlineStr"/>
      <c r="O207" s="16" t="inlineStr"/>
      <c r="P207" s="16" t="inlineStr"/>
      <c r="Q207" s="16" t="inlineStr"/>
      <c r="R207" s="16" t="inlineStr"/>
      <c r="S207" s="16" t="inlineStr"/>
    </row>
    <row r="208">
      <c r="B208" s="13" t="inlineStr">
        <is>
          <t>NB1(a)</t>
        </is>
      </c>
      <c r="C208" s="8" t="inlineStr"/>
      <c r="D208" s="8" t="inlineStr"/>
      <c r="E208" s="18" t="inlineStr">
        <is>
          <t>Plantable area (2018 Baseline)</t>
        </is>
      </c>
      <c r="F208" s="8" t="inlineStr">
        <is>
          <t>%</t>
        </is>
      </c>
      <c r="G208" s="14" t="n">
        <v>16</v>
      </c>
      <c r="H208" s="14" t="n"/>
      <c r="I208" s="14" t="n"/>
      <c r="J208" s="14" t="n"/>
      <c r="K208" s="15" t="n"/>
      <c r="L208" s="8" t="inlineStr">
        <is>
          <t>Data held</t>
        </is>
      </c>
      <c r="M208" s="8" t="inlineStr">
        <is>
          <t>ESG</t>
        </is>
      </c>
      <c r="N208" s="11" t="inlineStr"/>
      <c r="O208" s="11" t="inlineStr"/>
      <c r="P208" s="11" t="inlineStr"/>
      <c r="Q208" s="11" t="inlineStr"/>
      <c r="R208" s="11" t="inlineStr"/>
      <c r="S208" s="11" t="inlineStr"/>
    </row>
    <row r="209">
      <c r="B209" s="13" t="inlineStr">
        <is>
          <t>NB1(a)</t>
        </is>
      </c>
      <c r="C209" s="8" t="inlineStr"/>
      <c r="D209" s="8" t="inlineStr"/>
      <c r="E209" s="18" t="inlineStr">
        <is>
          <t>Number of 'Areas of Significance' (2020 Baseline)</t>
        </is>
      </c>
      <c r="F209" s="8" t="inlineStr">
        <is>
          <t>#</t>
        </is>
      </c>
      <c r="G209" s="14" t="n">
        <v>70</v>
      </c>
      <c r="H209" s="14" t="n"/>
      <c r="I209" s="14" t="n"/>
      <c r="J209" s="14" t="n"/>
      <c r="K209" s="15" t="n"/>
      <c r="L209" s="8" t="inlineStr">
        <is>
          <t>Data held</t>
        </is>
      </c>
      <c r="M209" s="8" t="inlineStr">
        <is>
          <t>ESG</t>
        </is>
      </c>
      <c r="N209" s="11" t="inlineStr"/>
      <c r="O209" s="11" t="inlineStr"/>
      <c r="P209" s="11" t="inlineStr"/>
      <c r="Q209" s="11" t="inlineStr"/>
      <c r="R209" s="11" t="inlineStr"/>
      <c r="S209" s="11" t="inlineStr"/>
    </row>
    <row r="210">
      <c r="B210" s="13" t="inlineStr">
        <is>
          <t>NB1(a)</t>
        </is>
      </c>
      <c r="C210" s="8" t="inlineStr"/>
      <c r="D210" s="8" t="inlineStr"/>
      <c r="E210" s="18" t="inlineStr">
        <is>
          <t>Number of understorey plant species (2024 Baseline)</t>
        </is>
      </c>
      <c r="F210" s="8" t="inlineStr">
        <is>
          <t>#</t>
        </is>
      </c>
      <c r="G210" s="14" t="n">
        <v>2177</v>
      </c>
      <c r="H210" s="14" t="n"/>
      <c r="I210" s="14" t="n"/>
      <c r="J210" s="14" t="n"/>
      <c r="K210" s="15" t="n"/>
      <c r="L210" s="8" t="inlineStr">
        <is>
          <t>Data held</t>
        </is>
      </c>
      <c r="M210" s="8" t="inlineStr">
        <is>
          <t>ESG</t>
        </is>
      </c>
      <c r="N210" s="11" t="inlineStr"/>
      <c r="O210" s="11" t="inlineStr"/>
      <c r="P210" s="11" t="inlineStr"/>
      <c r="Q210" s="11" t="inlineStr"/>
      <c r="R210" s="11" t="inlineStr"/>
      <c r="S210" s="11" t="inlineStr"/>
    </row>
    <row r="211">
      <c r="B211" s="13" t="inlineStr">
        <is>
          <t>NB1(a)</t>
        </is>
      </c>
      <c r="C211" s="8" t="inlineStr"/>
      <c r="D211" s="8" t="inlineStr"/>
      <c r="E211" s="18" t="inlineStr">
        <is>
          <t>Number of trees (2004 Baseline)</t>
        </is>
      </c>
      <c r="F211" s="8" t="inlineStr">
        <is>
          <t>#</t>
        </is>
      </c>
      <c r="G211" s="14" t="n">
        <v>2802</v>
      </c>
      <c r="H211" s="14" t="n"/>
      <c r="I211" s="14" t="n"/>
      <c r="J211" s="14" t="n">
        <v>2240</v>
      </c>
      <c r="K211" s="15" t="n"/>
      <c r="L211" s="8" t="inlineStr">
        <is>
          <t>Data held</t>
        </is>
      </c>
      <c r="M211" s="8" t="inlineStr">
        <is>
          <t>ESG</t>
        </is>
      </c>
      <c r="N211" s="11" t="inlineStr"/>
      <c r="O211" s="11" t="inlineStr"/>
      <c r="P211" s="11" t="inlineStr"/>
      <c r="Q211" s="11" t="inlineStr"/>
      <c r="R211" s="11" t="inlineStr"/>
      <c r="S211" s="11" t="inlineStr"/>
    </row>
    <row r="212">
      <c r="B212" s="13" t="inlineStr">
        <is>
          <t>NB1(a)</t>
        </is>
      </c>
      <c r="C212" s="8" t="inlineStr"/>
      <c r="D212" s="8" t="inlineStr"/>
      <c r="E212" s="18" t="inlineStr">
        <is>
          <t>Number of trees species (2004 Baseline)</t>
        </is>
      </c>
      <c r="F212" s="8" t="inlineStr">
        <is>
          <t>#</t>
        </is>
      </c>
      <c r="G212" s="14" t="n">
        <v>300</v>
      </c>
      <c r="H212" s="14" t="n"/>
      <c r="I212" s="14" t="n"/>
      <c r="J212" s="14" t="n"/>
      <c r="K212" s="15" t="n"/>
      <c r="L212" s="8" t="inlineStr">
        <is>
          <t>Data held</t>
        </is>
      </c>
      <c r="M212" s="8" t="inlineStr">
        <is>
          <t>ESG</t>
        </is>
      </c>
      <c r="N212" s="11" t="inlineStr"/>
      <c r="O212" s="11" t="inlineStr"/>
      <c r="P212" s="11" t="inlineStr"/>
      <c r="Q212" s="11" t="inlineStr"/>
      <c r="R212" s="11" t="inlineStr"/>
      <c r="S212" s="11" t="inlineStr"/>
    </row>
    <row r="213">
      <c r="B213" s="13" t="inlineStr">
        <is>
          <t>NB1(a)</t>
        </is>
      </c>
      <c r="C213" s="8" t="inlineStr"/>
      <c r="D213" s="8" t="inlineStr"/>
      <c r="E213" s="18" t="inlineStr">
        <is>
          <t>Tree canopy cover area (2018 Baseline)</t>
        </is>
      </c>
      <c r="F213" s="8" t="inlineStr">
        <is>
          <t>%</t>
        </is>
      </c>
      <c r="G213" s="14" t="n">
        <v>20</v>
      </c>
      <c r="H213" s="14" t="n"/>
      <c r="I213" s="14" t="n"/>
      <c r="J213" s="14" t="n"/>
      <c r="K213" s="15" t="n"/>
      <c r="L213" s="8" t="inlineStr">
        <is>
          <t>Data held</t>
        </is>
      </c>
      <c r="M213" s="8" t="inlineStr">
        <is>
          <t>ESG</t>
        </is>
      </c>
      <c r="N213" s="11" t="inlineStr"/>
      <c r="O213" s="11" t="inlineStr"/>
      <c r="P213" s="11" t="inlineStr"/>
      <c r="Q213" s="11" t="inlineStr"/>
      <c r="R213" s="11" t="inlineStr"/>
      <c r="S213" s="11" t="inlineStr"/>
    </row>
    <row r="214">
      <c r="B214" s="13" t="inlineStr">
        <is>
          <t>NB1(a)</t>
        </is>
      </c>
      <c r="C214" s="8" t="inlineStr"/>
      <c r="D214" s="8" t="inlineStr"/>
      <c r="E214" s="18" t="inlineStr">
        <is>
          <t>Number of fauna &amp; fungi species (2020 Baseline)</t>
        </is>
      </c>
      <c r="F214" s="8" t="inlineStr">
        <is>
          <t>#</t>
        </is>
      </c>
      <c r="G214" s="14" t="n">
        <v>690</v>
      </c>
      <c r="H214" s="14" t="n"/>
      <c r="I214" s="14" t="n"/>
      <c r="J214" s="14" t="n"/>
      <c r="K214" s="15" t="n"/>
      <c r="L214" s="8" t="inlineStr">
        <is>
          <t>Data held</t>
        </is>
      </c>
      <c r="M214" s="8" t="inlineStr">
        <is>
          <t>ESG</t>
        </is>
      </c>
      <c r="N214" s="11" t="inlineStr"/>
      <c r="O214" s="11" t="inlineStr"/>
      <c r="P214" s="11" t="inlineStr"/>
      <c r="Q214" s="11" t="inlineStr"/>
      <c r="R214" s="11" t="inlineStr"/>
      <c r="S214" s="11" t="inlineStr"/>
    </row>
    <row r="215">
      <c r="B215" s="13" t="inlineStr">
        <is>
          <t>NB1(a)</t>
        </is>
      </c>
      <c r="C215" s="8" t="inlineStr"/>
      <c r="D215" s="8" t="inlineStr"/>
      <c r="E215" s="19" t="inlineStr">
        <is>
          <t>Number of fauna species</t>
        </is>
      </c>
      <c r="F215" s="8" t="inlineStr">
        <is>
          <t>#</t>
        </is>
      </c>
      <c r="G215" s="14" t="n">
        <v>663</v>
      </c>
      <c r="H215" s="14" t="n"/>
      <c r="I215" s="14" t="n"/>
      <c r="J215" s="14" t="n"/>
      <c r="K215" s="15" t="n"/>
      <c r="L215" s="8" t="inlineStr">
        <is>
          <t>Data held</t>
        </is>
      </c>
      <c r="M215" s="8" t="inlineStr">
        <is>
          <t>ESG</t>
        </is>
      </c>
      <c r="N215" s="11" t="inlineStr"/>
      <c r="O215" s="11" t="inlineStr"/>
      <c r="P215" s="11" t="inlineStr"/>
      <c r="Q215" s="11" t="inlineStr"/>
      <c r="R215" s="11" t="inlineStr"/>
      <c r="S215" s="11" t="inlineStr"/>
    </row>
    <row r="216">
      <c r="B216" s="13" t="inlineStr">
        <is>
          <t>NB1(a)</t>
        </is>
      </c>
      <c r="C216" s="8" t="inlineStr"/>
      <c r="D216" s="8" t="inlineStr"/>
      <c r="E216" s="19" t="inlineStr">
        <is>
          <t>Number of fungi species</t>
        </is>
      </c>
      <c r="F216" s="8" t="inlineStr">
        <is>
          <t>#</t>
        </is>
      </c>
      <c r="G216" s="14" t="n">
        <v>27</v>
      </c>
      <c r="H216" s="14" t="n"/>
      <c r="I216" s="14" t="n"/>
      <c r="J216" s="14" t="n"/>
      <c r="K216" s="15" t="n"/>
      <c r="L216" s="8" t="inlineStr">
        <is>
          <t>Data held</t>
        </is>
      </c>
      <c r="M216" s="8" t="inlineStr">
        <is>
          <t>ESG</t>
        </is>
      </c>
      <c r="N216" s="11" t="inlineStr"/>
      <c r="O216" s="11" t="inlineStr"/>
      <c r="P216" s="11" t="inlineStr"/>
      <c r="Q216" s="11" t="inlineStr"/>
      <c r="R216" s="11" t="inlineStr"/>
      <c r="S216" s="11" t="inlineStr"/>
    </row>
    <row r="217">
      <c r="B217" s="16" t="inlineStr">
        <is>
          <t>NB1(a)</t>
        </is>
      </c>
      <c r="C217" s="16" t="inlineStr"/>
      <c r="D217" s="16" t="inlineStr"/>
      <c r="E217" s="16" t="inlineStr">
        <is>
          <t>Southbank biodiversity metrics</t>
        </is>
      </c>
      <c r="F217" s="16" t="inlineStr"/>
      <c r="G217" s="17" t="n"/>
      <c r="H217" s="17" t="n"/>
      <c r="I217" s="17" t="n"/>
      <c r="J217" s="17" t="n"/>
      <c r="K217" s="17" t="n"/>
      <c r="L217" s="16" t="inlineStr"/>
      <c r="M217" s="16" t="inlineStr"/>
      <c r="N217" s="16" t="inlineStr"/>
      <c r="O217" s="16" t="inlineStr"/>
      <c r="P217" s="16" t="inlineStr"/>
      <c r="Q217" s="16" t="inlineStr"/>
      <c r="R217" s="16" t="inlineStr"/>
      <c r="S217" s="16" t="inlineStr"/>
    </row>
    <row r="218">
      <c r="B218" s="13" t="inlineStr">
        <is>
          <t>NB1(a)</t>
        </is>
      </c>
      <c r="C218" s="8" t="inlineStr"/>
      <c r="D218" s="8" t="inlineStr"/>
      <c r="E218" s="18" t="inlineStr">
        <is>
          <t>Plantable area (2024 Baseline)</t>
        </is>
      </c>
      <c r="F218" s="8" t="inlineStr">
        <is>
          <t>%</t>
        </is>
      </c>
      <c r="G218" s="14" t="n">
        <v>12</v>
      </c>
      <c r="H218" s="14" t="n"/>
      <c r="I218" s="14" t="n"/>
      <c r="J218" s="14" t="n"/>
      <c r="K218" s="15" t="n"/>
      <c r="L218" s="8" t="inlineStr">
        <is>
          <t>Data held</t>
        </is>
      </c>
      <c r="M218" s="8" t="inlineStr">
        <is>
          <t>ESG</t>
        </is>
      </c>
      <c r="N218" s="11" t="inlineStr"/>
      <c r="O218" s="11" t="inlineStr"/>
      <c r="P218" s="11" t="inlineStr"/>
      <c r="Q218" s="11" t="inlineStr"/>
      <c r="R218" s="11" t="inlineStr"/>
      <c r="S218" s="11" t="inlineStr"/>
    </row>
    <row r="219">
      <c r="B219" s="13" t="inlineStr">
        <is>
          <t>NB1(a)</t>
        </is>
      </c>
      <c r="C219" s="8" t="inlineStr"/>
      <c r="D219" s="8" t="inlineStr"/>
      <c r="E219" s="18" t="inlineStr">
        <is>
          <t>Number of 'Areas of Significance' (2020 Baseline)</t>
        </is>
      </c>
      <c r="F219" s="8" t="inlineStr">
        <is>
          <t>#</t>
        </is>
      </c>
      <c r="G219" s="14" t="n">
        <v>12</v>
      </c>
      <c r="H219" s="14" t="n"/>
      <c r="I219" s="14" t="n"/>
      <c r="J219" s="14" t="n"/>
      <c r="K219" s="15" t="n"/>
      <c r="L219" s="8" t="inlineStr">
        <is>
          <t>Data held</t>
        </is>
      </c>
      <c r="M219" s="8" t="inlineStr">
        <is>
          <t>ESG</t>
        </is>
      </c>
      <c r="N219" s="11" t="inlineStr"/>
      <c r="O219" s="11" t="inlineStr"/>
      <c r="P219" s="11" t="inlineStr"/>
      <c r="Q219" s="11" t="inlineStr"/>
      <c r="R219" s="11" t="inlineStr"/>
      <c r="S219" s="11" t="inlineStr"/>
    </row>
    <row r="220">
      <c r="B220" s="13" t="inlineStr">
        <is>
          <t>NB1(a)</t>
        </is>
      </c>
      <c r="C220" s="8" t="inlineStr"/>
      <c r="D220" s="8" t="inlineStr"/>
      <c r="E220" s="18" t="inlineStr">
        <is>
          <t>Number of understorey plant species (2024 Baseline)</t>
        </is>
      </c>
      <c r="F220" s="8" t="inlineStr">
        <is>
          <t>#</t>
        </is>
      </c>
      <c r="G220" s="14" t="n">
        <v>138</v>
      </c>
      <c r="H220" s="14" t="n"/>
      <c r="I220" s="14" t="n"/>
      <c r="J220" s="14" t="n"/>
      <c r="K220" s="15" t="n"/>
      <c r="L220" s="8" t="inlineStr">
        <is>
          <t>Data held</t>
        </is>
      </c>
      <c r="M220" s="8" t="inlineStr">
        <is>
          <t>ESG</t>
        </is>
      </c>
      <c r="N220" s="11" t="inlineStr"/>
      <c r="O220" s="11" t="inlineStr"/>
      <c r="P220" s="11" t="inlineStr"/>
      <c r="Q220" s="11" t="inlineStr"/>
      <c r="R220" s="11" t="inlineStr"/>
      <c r="S220" s="11" t="inlineStr"/>
    </row>
    <row r="221">
      <c r="B221" s="13" t="inlineStr">
        <is>
          <t>NB1(a)</t>
        </is>
      </c>
      <c r="C221" s="8" t="inlineStr"/>
      <c r="D221" s="8" t="inlineStr"/>
      <c r="E221" s="18" t="inlineStr">
        <is>
          <t>Number of trees (2016 Baseline)</t>
        </is>
      </c>
      <c r="F221" s="8" t="inlineStr">
        <is>
          <t>#</t>
        </is>
      </c>
      <c r="G221" s="14" t="n">
        <v>159</v>
      </c>
      <c r="H221" s="14" t="n"/>
      <c r="I221" s="14" t="n"/>
      <c r="J221" s="14" t="n">
        <v>146</v>
      </c>
      <c r="K221" s="15" t="n"/>
      <c r="L221" s="8" t="inlineStr">
        <is>
          <t>Data held</t>
        </is>
      </c>
      <c r="M221" s="8" t="inlineStr">
        <is>
          <t>ESG</t>
        </is>
      </c>
      <c r="N221" s="11" t="inlineStr"/>
      <c r="O221" s="11" t="inlineStr"/>
      <c r="P221" s="11" t="inlineStr"/>
      <c r="Q221" s="11" t="inlineStr"/>
      <c r="R221" s="11" t="inlineStr"/>
      <c r="S221" s="11" t="inlineStr"/>
    </row>
    <row r="222">
      <c r="B222" s="13" t="inlineStr">
        <is>
          <t>NB1(a)</t>
        </is>
      </c>
      <c r="C222" s="8" t="inlineStr"/>
      <c r="D222" s="8" t="inlineStr"/>
      <c r="E222" s="18" t="inlineStr">
        <is>
          <t>Number of trees species (2016 Baseline)</t>
        </is>
      </c>
      <c r="F222" s="8" t="inlineStr">
        <is>
          <t>#</t>
        </is>
      </c>
      <c r="G222" s="14" t="n">
        <v>40</v>
      </c>
      <c r="H222" s="14" t="n"/>
      <c r="I222" s="14" t="n"/>
      <c r="J222" s="14" t="n"/>
      <c r="K222" s="15" t="n"/>
      <c r="L222" s="8" t="inlineStr">
        <is>
          <t>Data held</t>
        </is>
      </c>
      <c r="M222" s="8" t="inlineStr">
        <is>
          <t>ESG</t>
        </is>
      </c>
      <c r="N222" s="11" t="inlineStr"/>
      <c r="O222" s="11" t="inlineStr"/>
      <c r="P222" s="11" t="inlineStr"/>
      <c r="Q222" s="11" t="inlineStr"/>
      <c r="R222" s="11" t="inlineStr"/>
      <c r="S222" s="11" t="inlineStr"/>
    </row>
    <row r="223">
      <c r="B223" s="13" t="inlineStr">
        <is>
          <t>NB1(a)</t>
        </is>
      </c>
      <c r="C223" s="8" t="inlineStr"/>
      <c r="D223" s="8" t="inlineStr"/>
      <c r="E223" s="18" t="inlineStr">
        <is>
          <t>Tree canopy cover area (2018 Baseline)</t>
        </is>
      </c>
      <c r="F223" s="8" t="inlineStr">
        <is>
          <t>%</t>
        </is>
      </c>
      <c r="G223" s="14" t="n">
        <v>14</v>
      </c>
      <c r="H223" s="14" t="n"/>
      <c r="I223" s="14" t="n"/>
      <c r="J223" s="14" t="n"/>
      <c r="K223" s="15" t="n"/>
      <c r="L223" s="8" t="inlineStr">
        <is>
          <t>Data held</t>
        </is>
      </c>
      <c r="M223" s="8" t="inlineStr">
        <is>
          <t>ESG</t>
        </is>
      </c>
      <c r="N223" s="11" t="inlineStr"/>
      <c r="O223" s="11" t="inlineStr"/>
      <c r="P223" s="11" t="inlineStr"/>
      <c r="Q223" s="11" t="inlineStr"/>
      <c r="R223" s="11" t="inlineStr"/>
      <c r="S223" s="11" t="inlineStr"/>
    </row>
    <row r="224">
      <c r="B224" s="13" t="inlineStr">
        <is>
          <t>NB1(a)</t>
        </is>
      </c>
      <c r="C224" s="8" t="inlineStr"/>
      <c r="D224" s="8" t="inlineStr"/>
      <c r="E224" s="18" t="inlineStr">
        <is>
          <t>Number of fauna &amp; fungi species (2020 Baseline)</t>
        </is>
      </c>
      <c r="F224" s="8" t="inlineStr">
        <is>
          <t>#</t>
        </is>
      </c>
      <c r="G224" s="14" t="n">
        <v>459</v>
      </c>
      <c r="H224" s="14" t="n"/>
      <c r="I224" s="14" t="n"/>
      <c r="J224" s="14" t="n"/>
      <c r="K224" s="15" t="n"/>
      <c r="L224" s="8" t="inlineStr">
        <is>
          <t>Data held</t>
        </is>
      </c>
      <c r="M224" s="8" t="inlineStr">
        <is>
          <t>ESG</t>
        </is>
      </c>
      <c r="N224" s="11" t="inlineStr"/>
      <c r="O224" s="11" t="inlineStr"/>
      <c r="P224" s="11" t="inlineStr"/>
      <c r="Q224" s="11" t="inlineStr"/>
      <c r="R224" s="11" t="inlineStr"/>
      <c r="S224" s="11" t="inlineStr"/>
    </row>
    <row r="225">
      <c r="B225" s="13" t="inlineStr">
        <is>
          <t>NB1(a)</t>
        </is>
      </c>
      <c r="C225" s="8" t="inlineStr"/>
      <c r="D225" s="8" t="inlineStr"/>
      <c r="E225" s="19" t="inlineStr">
        <is>
          <t>Number of fauna species</t>
        </is>
      </c>
      <c r="F225" s="8" t="inlineStr">
        <is>
          <t>#</t>
        </is>
      </c>
      <c r="G225" s="14" t="n">
        <v>430</v>
      </c>
      <c r="H225" s="14" t="n"/>
      <c r="I225" s="14" t="n"/>
      <c r="J225" s="14" t="n"/>
      <c r="K225" s="15" t="n"/>
      <c r="L225" s="8" t="inlineStr">
        <is>
          <t>Data held</t>
        </is>
      </c>
      <c r="M225" s="8" t="inlineStr">
        <is>
          <t>ESG</t>
        </is>
      </c>
      <c r="N225" s="11" t="inlineStr"/>
      <c r="O225" s="11" t="inlineStr"/>
      <c r="P225" s="11" t="inlineStr"/>
      <c r="Q225" s="11" t="inlineStr"/>
      <c r="R225" s="11" t="inlineStr"/>
      <c r="S225" s="11" t="inlineStr"/>
    </row>
    <row r="226">
      <c r="B226" s="13" t="inlineStr">
        <is>
          <t>NB1(a)</t>
        </is>
      </c>
      <c r="C226" s="8" t="inlineStr"/>
      <c r="D226" s="8" t="inlineStr"/>
      <c r="E226" s="19" t="inlineStr">
        <is>
          <t>Number of fungi species</t>
        </is>
      </c>
      <c r="F226" s="8" t="inlineStr">
        <is>
          <t>#</t>
        </is>
      </c>
      <c r="G226" s="14" t="n">
        <v>29</v>
      </c>
      <c r="H226" s="14" t="n"/>
      <c r="I226" s="14" t="n"/>
      <c r="J226" s="14" t="n"/>
      <c r="K226" s="15" t="n"/>
      <c r="L226" s="8" t="inlineStr">
        <is>
          <t>Data held</t>
        </is>
      </c>
      <c r="M226" s="8" t="inlineStr">
        <is>
          <t>ESG</t>
        </is>
      </c>
      <c r="N226" s="11" t="inlineStr"/>
      <c r="O226" s="11" t="inlineStr"/>
      <c r="P226" s="11" t="inlineStr"/>
      <c r="Q226" s="11" t="inlineStr"/>
      <c r="R226" s="11" t="inlineStr"/>
      <c r="S226" s="11" t="inlineStr"/>
    </row>
    <row r="227">
      <c r="B227" s="16" t="inlineStr">
        <is>
          <t>NB1(a)</t>
        </is>
      </c>
      <c r="C227" s="16" t="inlineStr"/>
      <c r="D227" s="16" t="inlineStr"/>
      <c r="E227" s="16" t="inlineStr">
        <is>
          <t>Burnley biodiversity metrics</t>
        </is>
      </c>
      <c r="F227" s="16" t="inlineStr"/>
      <c r="G227" s="17" t="n"/>
      <c r="H227" s="17" t="n"/>
      <c r="I227" s="17" t="n"/>
      <c r="J227" s="17" t="n"/>
      <c r="K227" s="17" t="n"/>
      <c r="L227" s="16" t="inlineStr"/>
      <c r="M227" s="16" t="inlineStr"/>
      <c r="N227" s="16" t="inlineStr"/>
      <c r="O227" s="16" t="inlineStr"/>
      <c r="P227" s="16" t="inlineStr"/>
      <c r="Q227" s="16" t="inlineStr"/>
      <c r="R227" s="16" t="inlineStr"/>
      <c r="S227" s="16" t="inlineStr"/>
    </row>
    <row r="228">
      <c r="B228" s="13" t="inlineStr">
        <is>
          <t>NB1(a)</t>
        </is>
      </c>
      <c r="C228" s="8" t="inlineStr"/>
      <c r="D228" s="8" t="inlineStr"/>
      <c r="E228" s="18" t="inlineStr">
        <is>
          <t>Plantable area (2024 Baseline)</t>
        </is>
      </c>
      <c r="F228" s="8" t="inlineStr">
        <is>
          <t>%</t>
        </is>
      </c>
      <c r="G228" s="14" t="n">
        <v>63</v>
      </c>
      <c r="H228" s="14" t="n"/>
      <c r="I228" s="14" t="n"/>
      <c r="J228" s="14" t="n"/>
      <c r="K228" s="15" t="n"/>
      <c r="L228" s="8" t="inlineStr">
        <is>
          <t>Data held</t>
        </is>
      </c>
      <c r="M228" s="8" t="inlineStr">
        <is>
          <t>ESG</t>
        </is>
      </c>
      <c r="N228" s="11" t="inlineStr"/>
      <c r="O228" s="11" t="inlineStr"/>
      <c r="P228" s="11" t="inlineStr"/>
      <c r="Q228" s="11" t="inlineStr"/>
      <c r="R228" s="11" t="inlineStr"/>
      <c r="S228" s="11" t="inlineStr"/>
    </row>
    <row r="229">
      <c r="B229" s="13" t="inlineStr">
        <is>
          <t>NB1(a)</t>
        </is>
      </c>
      <c r="C229" s="8" t="inlineStr"/>
      <c r="D229" s="8" t="inlineStr"/>
      <c r="E229" s="18" t="inlineStr">
        <is>
          <t>Number of 'Areas of Significance' (2020 Baseline)</t>
        </is>
      </c>
      <c r="F229" s="8" t="inlineStr">
        <is>
          <t>#</t>
        </is>
      </c>
      <c r="G229" s="14" t="n">
        <v>24</v>
      </c>
      <c r="H229" s="14" t="n"/>
      <c r="I229" s="14" t="n"/>
      <c r="J229" s="14" t="n"/>
      <c r="K229" s="15" t="n"/>
      <c r="L229" s="8" t="inlineStr">
        <is>
          <t>Data held</t>
        </is>
      </c>
      <c r="M229" s="8" t="inlineStr">
        <is>
          <t>ESG</t>
        </is>
      </c>
      <c r="N229" s="11" t="inlineStr"/>
      <c r="O229" s="11" t="inlineStr"/>
      <c r="P229" s="11" t="inlineStr"/>
      <c r="Q229" s="11" t="inlineStr"/>
      <c r="R229" s="11" t="inlineStr"/>
      <c r="S229" s="11" t="inlineStr"/>
    </row>
    <row r="230">
      <c r="B230" s="13" t="inlineStr">
        <is>
          <t>NB1(a)</t>
        </is>
      </c>
      <c r="C230" s="8" t="inlineStr"/>
      <c r="D230" s="8" t="inlineStr"/>
      <c r="E230" s="18" t="inlineStr">
        <is>
          <t>Number of understorey plant species (2024 Baseline)</t>
        </is>
      </c>
      <c r="F230" s="8" t="inlineStr">
        <is>
          <t>#</t>
        </is>
      </c>
      <c r="G230" s="14" t="n">
        <v>1644</v>
      </c>
      <c r="H230" s="14" t="n"/>
      <c r="I230" s="14" t="n"/>
      <c r="J230" s="14" t="n"/>
      <c r="K230" s="15" t="n"/>
      <c r="L230" s="8" t="inlineStr">
        <is>
          <t>Data held</t>
        </is>
      </c>
      <c r="M230" s="8" t="inlineStr">
        <is>
          <t>ESG</t>
        </is>
      </c>
      <c r="N230" s="11" t="inlineStr"/>
      <c r="O230" s="11" t="inlineStr"/>
      <c r="P230" s="11" t="inlineStr"/>
      <c r="Q230" s="11" t="inlineStr"/>
      <c r="R230" s="11" t="inlineStr"/>
      <c r="S230" s="11" t="inlineStr"/>
    </row>
    <row r="231">
      <c r="B231" s="13" t="inlineStr">
        <is>
          <t>NB1(a)</t>
        </is>
      </c>
      <c r="C231" s="8" t="inlineStr"/>
      <c r="D231" s="8" t="inlineStr"/>
      <c r="E231" s="18" t="inlineStr">
        <is>
          <t>Number of trees (2016 Baseline)</t>
        </is>
      </c>
      <c r="F231" s="8" t="inlineStr">
        <is>
          <t>#</t>
        </is>
      </c>
      <c r="G231" s="14" t="n">
        <v>777</v>
      </c>
      <c r="H231" s="14" t="n"/>
      <c r="I231" s="14" t="n"/>
      <c r="J231" s="14" t="n">
        <v>785</v>
      </c>
      <c r="K231" s="15" t="n"/>
      <c r="L231" s="8" t="inlineStr">
        <is>
          <t>Data held</t>
        </is>
      </c>
      <c r="M231" s="8" t="inlineStr">
        <is>
          <t>ESG</t>
        </is>
      </c>
      <c r="N231" s="11" t="inlineStr"/>
      <c r="O231" s="11" t="inlineStr"/>
      <c r="P231" s="11" t="inlineStr"/>
      <c r="Q231" s="11" t="inlineStr"/>
      <c r="R231" s="11" t="inlineStr"/>
      <c r="S231" s="11" t="inlineStr"/>
    </row>
    <row r="232">
      <c r="B232" s="13" t="inlineStr">
        <is>
          <t>NB1(a)</t>
        </is>
      </c>
      <c r="C232" s="8" t="inlineStr"/>
      <c r="D232" s="8" t="inlineStr"/>
      <c r="E232" s="18" t="inlineStr">
        <is>
          <t>Number of trees species (2016 Baseline)</t>
        </is>
      </c>
      <c r="F232" s="8" t="inlineStr">
        <is>
          <t>#</t>
        </is>
      </c>
      <c r="G232" s="14" t="n">
        <v>298</v>
      </c>
      <c r="H232" s="14" t="n"/>
      <c r="I232" s="14" t="n"/>
      <c r="J232" s="14" t="n"/>
      <c r="K232" s="15" t="n"/>
      <c r="L232" s="8" t="inlineStr">
        <is>
          <t>Data held</t>
        </is>
      </c>
      <c r="M232" s="8" t="inlineStr">
        <is>
          <t>ESG</t>
        </is>
      </c>
      <c r="N232" s="11" t="inlineStr"/>
      <c r="O232" s="11" t="inlineStr"/>
      <c r="P232" s="11" t="inlineStr"/>
      <c r="Q232" s="11" t="inlineStr"/>
      <c r="R232" s="11" t="inlineStr"/>
      <c r="S232" s="11" t="inlineStr"/>
    </row>
    <row r="233">
      <c r="B233" s="13" t="inlineStr">
        <is>
          <t>NB1(a)</t>
        </is>
      </c>
      <c r="C233" s="8" t="inlineStr"/>
      <c r="D233" s="8" t="inlineStr"/>
      <c r="E233" s="18" t="inlineStr">
        <is>
          <t>Tree canopy cover area (2019 Baseline)</t>
        </is>
      </c>
      <c r="F233" s="8" t="inlineStr">
        <is>
          <t>%</t>
        </is>
      </c>
      <c r="G233" s="14" t="n">
        <v>31</v>
      </c>
      <c r="H233" s="14" t="n"/>
      <c r="I233" s="14" t="n"/>
      <c r="J233" s="14" t="n"/>
      <c r="K233" s="15" t="n"/>
      <c r="L233" s="8" t="inlineStr">
        <is>
          <t>Data held</t>
        </is>
      </c>
      <c r="M233" s="8" t="inlineStr">
        <is>
          <t>ESG</t>
        </is>
      </c>
      <c r="N233" s="11" t="inlineStr"/>
      <c r="O233" s="11" t="inlineStr"/>
      <c r="P233" s="11" t="inlineStr"/>
      <c r="Q233" s="11" t="inlineStr"/>
      <c r="R233" s="11" t="inlineStr"/>
      <c r="S233" s="11" t="inlineStr"/>
    </row>
    <row r="234">
      <c r="B234" s="13" t="inlineStr">
        <is>
          <t>NB1(a)</t>
        </is>
      </c>
      <c r="C234" s="8" t="inlineStr"/>
      <c r="D234" s="8" t="inlineStr"/>
      <c r="E234" s="18" t="inlineStr">
        <is>
          <t>Number of fauna &amp; fungi species (2020 Baseline)</t>
        </is>
      </c>
      <c r="F234" s="8" t="inlineStr">
        <is>
          <t>#</t>
        </is>
      </c>
      <c r="G234" s="14" t="n">
        <v>183</v>
      </c>
      <c r="H234" s="14" t="n"/>
      <c r="I234" s="14" t="n"/>
      <c r="J234" s="14" t="n"/>
      <c r="K234" s="15" t="n"/>
      <c r="L234" s="8" t="inlineStr">
        <is>
          <t>Data held</t>
        </is>
      </c>
      <c r="M234" s="8" t="inlineStr">
        <is>
          <t>ESG</t>
        </is>
      </c>
      <c r="N234" s="11" t="inlineStr"/>
      <c r="O234" s="11" t="inlineStr"/>
      <c r="P234" s="11" t="inlineStr"/>
      <c r="Q234" s="11" t="inlineStr"/>
      <c r="R234" s="11" t="inlineStr"/>
      <c r="S234" s="11" t="inlineStr"/>
    </row>
    <row r="235">
      <c r="B235" s="13" t="inlineStr">
        <is>
          <t>NB1(a)</t>
        </is>
      </c>
      <c r="C235" s="8" t="inlineStr"/>
      <c r="D235" s="8" t="inlineStr"/>
      <c r="E235" s="19" t="inlineStr">
        <is>
          <t>Number of fauna species</t>
        </is>
      </c>
      <c r="F235" s="8" t="inlineStr">
        <is>
          <t>#</t>
        </is>
      </c>
      <c r="G235" s="14" t="n">
        <v>170</v>
      </c>
      <c r="H235" s="14" t="n"/>
      <c r="I235" s="14" t="n"/>
      <c r="J235" s="14" t="n"/>
      <c r="K235" s="15" t="n"/>
      <c r="L235" s="8" t="inlineStr">
        <is>
          <t>Data held</t>
        </is>
      </c>
      <c r="M235" s="8" t="inlineStr">
        <is>
          <t>ESG</t>
        </is>
      </c>
      <c r="N235" s="11" t="inlineStr"/>
      <c r="O235" s="11" t="inlineStr"/>
      <c r="P235" s="11" t="inlineStr"/>
      <c r="Q235" s="11" t="inlineStr"/>
      <c r="R235" s="11" t="inlineStr"/>
      <c r="S235" s="11" t="inlineStr"/>
    </row>
    <row r="236">
      <c r="B236" s="13" t="inlineStr">
        <is>
          <t>NB1(a)</t>
        </is>
      </c>
      <c r="C236" s="8" t="inlineStr"/>
      <c r="D236" s="8" t="inlineStr"/>
      <c r="E236" s="19" t="inlineStr">
        <is>
          <t>Number of fungi species</t>
        </is>
      </c>
      <c r="F236" s="8" t="inlineStr">
        <is>
          <t>#</t>
        </is>
      </c>
      <c r="G236" s="14" t="n">
        <v>13</v>
      </c>
      <c r="H236" s="14" t="n"/>
      <c r="I236" s="14" t="n"/>
      <c r="J236" s="14" t="n"/>
      <c r="K236" s="15" t="n"/>
      <c r="L236" s="8" t="inlineStr">
        <is>
          <t>Data held</t>
        </is>
      </c>
      <c r="M236" s="8" t="inlineStr">
        <is>
          <t>ESG</t>
        </is>
      </c>
      <c r="N236" s="11" t="inlineStr"/>
      <c r="O236" s="11" t="inlineStr"/>
      <c r="P236" s="11" t="inlineStr"/>
      <c r="Q236" s="11" t="inlineStr"/>
      <c r="R236" s="11" t="inlineStr"/>
      <c r="S236" s="11" t="inlineStr"/>
    </row>
    <row r="237">
      <c r="B237" s="16" t="inlineStr">
        <is>
          <t>NB1(a)</t>
        </is>
      </c>
      <c r="C237" s="16" t="inlineStr"/>
      <c r="D237" s="16" t="inlineStr"/>
      <c r="E237" s="16" t="inlineStr">
        <is>
          <t>Werribee biodiversity metrics</t>
        </is>
      </c>
      <c r="F237" s="16" t="inlineStr"/>
      <c r="G237" s="17" t="n"/>
      <c r="H237" s="17" t="n"/>
      <c r="I237" s="17" t="n"/>
      <c r="J237" s="17" t="n"/>
      <c r="K237" s="17" t="n"/>
      <c r="L237" s="16" t="inlineStr"/>
      <c r="M237" s="16" t="inlineStr"/>
      <c r="N237" s="16" t="inlineStr"/>
      <c r="O237" s="16" t="inlineStr"/>
      <c r="P237" s="16" t="inlineStr"/>
      <c r="Q237" s="16" t="inlineStr"/>
      <c r="R237" s="16" t="inlineStr"/>
      <c r="S237" s="16" t="inlineStr"/>
    </row>
    <row r="238">
      <c r="B238" s="13" t="inlineStr">
        <is>
          <t>NB1(a)</t>
        </is>
      </c>
      <c r="C238" s="8" t="inlineStr"/>
      <c r="D238" s="8" t="inlineStr"/>
      <c r="E238" s="18" t="inlineStr">
        <is>
          <t>Plantable area (2024 Baseline)</t>
        </is>
      </c>
      <c r="F238" s="8" t="inlineStr">
        <is>
          <t>%</t>
        </is>
      </c>
      <c r="G238" s="14" t="n">
        <v>68</v>
      </c>
      <c r="H238" s="14" t="n"/>
      <c r="I238" s="14" t="n"/>
      <c r="J238" s="14" t="n"/>
      <c r="K238" s="15" t="n"/>
      <c r="L238" s="8" t="inlineStr">
        <is>
          <t>Data held</t>
        </is>
      </c>
      <c r="M238" s="8" t="inlineStr">
        <is>
          <t>ESG</t>
        </is>
      </c>
      <c r="N238" s="11" t="inlineStr"/>
      <c r="O238" s="11" t="inlineStr"/>
      <c r="P238" s="11" t="inlineStr"/>
      <c r="Q238" s="11" t="inlineStr"/>
      <c r="R238" s="11" t="inlineStr"/>
      <c r="S238" s="11" t="inlineStr"/>
    </row>
    <row r="239">
      <c r="B239" s="13" t="inlineStr">
        <is>
          <t>NB1(a)</t>
        </is>
      </c>
      <c r="C239" s="8" t="inlineStr"/>
      <c r="D239" s="8" t="inlineStr"/>
      <c r="E239" s="18" t="inlineStr">
        <is>
          <t>Number of 'Areas of Significance' (2020 Baseline)</t>
        </is>
      </c>
      <c r="F239" s="8" t="inlineStr">
        <is>
          <t>#</t>
        </is>
      </c>
      <c r="G239" s="14" t="n">
        <v>10</v>
      </c>
      <c r="H239" s="14" t="n"/>
      <c r="I239" s="14" t="n"/>
      <c r="J239" s="14" t="n"/>
      <c r="K239" s="15" t="n"/>
      <c r="L239" s="8" t="inlineStr">
        <is>
          <t>Data held</t>
        </is>
      </c>
      <c r="M239" s="8" t="inlineStr">
        <is>
          <t>ESG</t>
        </is>
      </c>
      <c r="N239" s="11" t="inlineStr"/>
      <c r="O239" s="11" t="inlineStr"/>
      <c r="P239" s="11" t="inlineStr"/>
      <c r="Q239" s="11" t="inlineStr"/>
      <c r="R239" s="11" t="inlineStr"/>
      <c r="S239" s="11" t="inlineStr"/>
    </row>
    <row r="240">
      <c r="B240" s="13" t="inlineStr">
        <is>
          <t>NB1(a)</t>
        </is>
      </c>
      <c r="C240" s="8" t="inlineStr"/>
      <c r="D240" s="8" t="inlineStr"/>
      <c r="E240" s="18" t="inlineStr">
        <is>
          <t>Number of understorey plant species (2024 Baseline)</t>
        </is>
      </c>
      <c r="F240" s="8" t="inlineStr">
        <is>
          <t>#</t>
        </is>
      </c>
      <c r="G240" s="14" t="n">
        <v>209</v>
      </c>
      <c r="H240" s="14" t="n"/>
      <c r="I240" s="14" t="n"/>
      <c r="J240" s="14" t="n"/>
      <c r="K240" s="15" t="n"/>
      <c r="L240" s="8" t="inlineStr">
        <is>
          <t>Data held</t>
        </is>
      </c>
      <c r="M240" s="8" t="inlineStr">
        <is>
          <t>ESG</t>
        </is>
      </c>
      <c r="N240" s="11" t="inlineStr"/>
      <c r="O240" s="11" t="inlineStr"/>
      <c r="P240" s="11" t="inlineStr"/>
      <c r="Q240" s="11" t="inlineStr"/>
      <c r="R240" s="11" t="inlineStr"/>
      <c r="S240" s="11" t="inlineStr"/>
    </row>
    <row r="241">
      <c r="B241" s="13" t="inlineStr">
        <is>
          <t>NB1(a)</t>
        </is>
      </c>
      <c r="C241" s="8" t="inlineStr"/>
      <c r="D241" s="8" t="inlineStr"/>
      <c r="E241" s="18" t="inlineStr">
        <is>
          <t>Number of trees (2016 Baseline)</t>
        </is>
      </c>
      <c r="F241" s="8" t="inlineStr">
        <is>
          <t>#</t>
        </is>
      </c>
      <c r="G241" s="14" t="n">
        <v>2027</v>
      </c>
      <c r="H241" s="14" t="n"/>
      <c r="I241" s="14" t="n"/>
      <c r="J241" s="14" t="n">
        <v>1840</v>
      </c>
      <c r="K241" s="15" t="n"/>
      <c r="L241" s="8" t="inlineStr">
        <is>
          <t>Data held</t>
        </is>
      </c>
      <c r="M241" s="8" t="inlineStr">
        <is>
          <t>ESG</t>
        </is>
      </c>
      <c r="N241" s="11" t="inlineStr"/>
      <c r="O241" s="11" t="inlineStr"/>
      <c r="P241" s="11" t="inlineStr"/>
      <c r="Q241" s="11" t="inlineStr"/>
      <c r="R241" s="11" t="inlineStr"/>
      <c r="S241" s="11" t="inlineStr"/>
    </row>
    <row r="242">
      <c r="B242" s="13" t="inlineStr">
        <is>
          <t>NB1(a)</t>
        </is>
      </c>
      <c r="C242" s="8" t="inlineStr"/>
      <c r="D242" s="8" t="inlineStr"/>
      <c r="E242" s="18" t="inlineStr">
        <is>
          <t>Number of trees species (2016 Baseline)</t>
        </is>
      </c>
      <c r="F242" s="8" t="inlineStr">
        <is>
          <t>#</t>
        </is>
      </c>
      <c r="G242" s="14" t="n">
        <v>132</v>
      </c>
      <c r="H242" s="14" t="n"/>
      <c r="I242" s="14" t="n"/>
      <c r="J242" s="14" t="n"/>
      <c r="K242" s="15" t="n"/>
      <c r="L242" s="8" t="inlineStr">
        <is>
          <t>Data held</t>
        </is>
      </c>
      <c r="M242" s="8" t="inlineStr">
        <is>
          <t>ESG</t>
        </is>
      </c>
      <c r="N242" s="11" t="inlineStr"/>
      <c r="O242" s="11" t="inlineStr"/>
      <c r="P242" s="11" t="inlineStr"/>
      <c r="Q242" s="11" t="inlineStr"/>
      <c r="R242" s="11" t="inlineStr"/>
      <c r="S242" s="11" t="inlineStr"/>
    </row>
    <row r="243">
      <c r="B243" s="13" t="inlineStr">
        <is>
          <t>NB1(a)</t>
        </is>
      </c>
      <c r="C243" s="8" t="inlineStr"/>
      <c r="D243" s="8" t="inlineStr"/>
      <c r="E243" s="18" t="inlineStr">
        <is>
          <t>Tree canopy cover area (2018 Baseline)</t>
        </is>
      </c>
      <c r="F243" s="8" t="inlineStr">
        <is>
          <t>%</t>
        </is>
      </c>
      <c r="G243" s="14" t="n">
        <v>17</v>
      </c>
      <c r="H243" s="14" t="n"/>
      <c r="I243" s="14" t="n"/>
      <c r="J243" s="14" t="n"/>
      <c r="K243" s="15" t="n"/>
      <c r="L243" s="8" t="inlineStr">
        <is>
          <t>Data held</t>
        </is>
      </c>
      <c r="M243" s="8" t="inlineStr">
        <is>
          <t>ESG</t>
        </is>
      </c>
      <c r="N243" s="11" t="inlineStr"/>
      <c r="O243" s="11" t="inlineStr"/>
      <c r="P243" s="11" t="inlineStr"/>
      <c r="Q243" s="11" t="inlineStr"/>
      <c r="R243" s="11" t="inlineStr"/>
      <c r="S243" s="11" t="inlineStr"/>
    </row>
    <row r="244">
      <c r="B244" s="13" t="inlineStr">
        <is>
          <t>NB1(a)</t>
        </is>
      </c>
      <c r="C244" s="8" t="inlineStr"/>
      <c r="D244" s="8" t="inlineStr"/>
      <c r="E244" s="18" t="inlineStr">
        <is>
          <t>Number of fauna &amp; fungi species (2020 Baseline)</t>
        </is>
      </c>
      <c r="F244" s="8" t="inlineStr">
        <is>
          <t>#</t>
        </is>
      </c>
      <c r="G244" s="14" t="n">
        <v>26</v>
      </c>
      <c r="H244" s="14" t="n"/>
      <c r="I244" s="14" t="n"/>
      <c r="J244" s="14" t="n"/>
      <c r="K244" s="15" t="n"/>
      <c r="L244" s="8" t="inlineStr">
        <is>
          <t>Data held</t>
        </is>
      </c>
      <c r="M244" s="8" t="inlineStr">
        <is>
          <t>ESG</t>
        </is>
      </c>
      <c r="N244" s="11" t="inlineStr"/>
      <c r="O244" s="11" t="inlineStr"/>
      <c r="P244" s="11" t="inlineStr"/>
      <c r="Q244" s="11" t="inlineStr"/>
      <c r="R244" s="11" t="inlineStr"/>
      <c r="S244" s="11" t="inlineStr"/>
    </row>
    <row r="245">
      <c r="B245" s="13" t="inlineStr">
        <is>
          <t>NB1(a)</t>
        </is>
      </c>
      <c r="C245" s="8" t="inlineStr"/>
      <c r="D245" s="8" t="inlineStr"/>
      <c r="E245" s="19" t="inlineStr">
        <is>
          <t>Number of fauna species</t>
        </is>
      </c>
      <c r="F245" s="8" t="inlineStr">
        <is>
          <t>#</t>
        </is>
      </c>
      <c r="G245" s="14" t="n">
        <v>26</v>
      </c>
      <c r="H245" s="14" t="n"/>
      <c r="I245" s="14" t="n"/>
      <c r="J245" s="14" t="n"/>
      <c r="K245" s="15" t="n"/>
      <c r="L245" s="8" t="inlineStr">
        <is>
          <t>Data held</t>
        </is>
      </c>
      <c r="M245" s="8" t="inlineStr">
        <is>
          <t>ESG</t>
        </is>
      </c>
      <c r="N245" s="11" t="inlineStr"/>
      <c r="O245" s="11" t="inlineStr"/>
      <c r="P245" s="11" t="inlineStr"/>
      <c r="Q245" s="11" t="inlineStr"/>
      <c r="R245" s="11" t="inlineStr"/>
      <c r="S245" s="11" t="inlineStr"/>
    </row>
    <row r="246">
      <c r="B246" s="13" t="inlineStr">
        <is>
          <t>NB1(a)</t>
        </is>
      </c>
      <c r="C246" s="8" t="inlineStr"/>
      <c r="D246" s="8" t="inlineStr"/>
      <c r="E246" s="19" t="inlineStr">
        <is>
          <t>Number of fungi species</t>
        </is>
      </c>
      <c r="F246" s="8" t="inlineStr">
        <is>
          <t>#</t>
        </is>
      </c>
      <c r="G246" s="14" t="n">
        <v>0</v>
      </c>
      <c r="H246" s="14" t="n"/>
      <c r="I246" s="14" t="n"/>
      <c r="J246" s="14" t="n"/>
      <c r="K246" s="15" t="n"/>
      <c r="L246" s="8" t="inlineStr">
        <is>
          <t>Data held</t>
        </is>
      </c>
      <c r="M246" s="8" t="inlineStr">
        <is>
          <t>ESG</t>
        </is>
      </c>
      <c r="N246" s="11" t="inlineStr"/>
      <c r="O246" s="11" t="inlineStr"/>
      <c r="P246" s="11" t="inlineStr"/>
      <c r="Q246" s="11" t="inlineStr"/>
      <c r="R246" s="11" t="inlineStr"/>
      <c r="S246" s="11" t="inlineStr"/>
    </row>
    <row r="247">
      <c r="B247" s="16" t="inlineStr">
        <is>
          <t>NB1(a)</t>
        </is>
      </c>
      <c r="C247" s="16" t="inlineStr"/>
      <c r="D247" s="16" t="inlineStr"/>
      <c r="E247" s="16" t="inlineStr">
        <is>
          <t>Creswick biodiversity metrics</t>
        </is>
      </c>
      <c r="F247" s="16" t="inlineStr"/>
      <c r="G247" s="17" t="n"/>
      <c r="H247" s="17" t="n"/>
      <c r="I247" s="17" t="n"/>
      <c r="J247" s="17" t="n"/>
      <c r="K247" s="17" t="n"/>
      <c r="L247" s="16" t="inlineStr"/>
      <c r="M247" s="16" t="inlineStr"/>
      <c r="N247" s="16" t="inlineStr"/>
      <c r="O247" s="16" t="inlineStr"/>
      <c r="P247" s="16" t="inlineStr"/>
      <c r="Q247" s="16" t="inlineStr"/>
      <c r="R247" s="16" t="inlineStr"/>
      <c r="S247" s="16" t="inlineStr"/>
    </row>
    <row r="248">
      <c r="B248" s="13" t="inlineStr">
        <is>
          <t>NB1(a)</t>
        </is>
      </c>
      <c r="C248" s="8" t="inlineStr"/>
      <c r="D248" s="8" t="inlineStr"/>
      <c r="E248" s="18" t="inlineStr">
        <is>
          <t>Plantable area (2024 Baseline)</t>
        </is>
      </c>
      <c r="F248" s="8" t="inlineStr">
        <is>
          <t>%</t>
        </is>
      </c>
      <c r="G248" s="14" t="n">
        <v>76</v>
      </c>
      <c r="H248" s="14" t="n"/>
      <c r="I248" s="14" t="n"/>
      <c r="J248" s="14" t="n"/>
      <c r="K248" s="15" t="n"/>
      <c r="L248" s="8" t="inlineStr">
        <is>
          <t>Data held</t>
        </is>
      </c>
      <c r="M248" s="8" t="inlineStr">
        <is>
          <t>ESG</t>
        </is>
      </c>
      <c r="N248" s="11" t="inlineStr"/>
      <c r="O248" s="11" t="inlineStr"/>
      <c r="P248" s="11" t="inlineStr"/>
      <c r="Q248" s="11" t="inlineStr"/>
      <c r="R248" s="11" t="inlineStr"/>
      <c r="S248" s="11" t="inlineStr"/>
    </row>
    <row r="249">
      <c r="B249" s="13" t="inlineStr">
        <is>
          <t>NB1(a)</t>
        </is>
      </c>
      <c r="C249" s="8" t="inlineStr"/>
      <c r="D249" s="8" t="inlineStr"/>
      <c r="E249" s="18" t="inlineStr">
        <is>
          <t>Number of 'Areas of Significance' (2020 Baseline)</t>
        </is>
      </c>
      <c r="F249" s="8" t="inlineStr">
        <is>
          <t>#</t>
        </is>
      </c>
      <c r="G249" s="14" t="n">
        <v>15</v>
      </c>
      <c r="H249" s="14" t="n"/>
      <c r="I249" s="14" t="n"/>
      <c r="J249" s="14" t="n"/>
      <c r="K249" s="15" t="n"/>
      <c r="L249" s="8" t="inlineStr">
        <is>
          <t>Data held</t>
        </is>
      </c>
      <c r="M249" s="8" t="inlineStr">
        <is>
          <t>ESG</t>
        </is>
      </c>
      <c r="N249" s="11" t="inlineStr"/>
      <c r="O249" s="11" t="inlineStr"/>
      <c r="P249" s="11" t="inlineStr"/>
      <c r="Q249" s="11" t="inlineStr"/>
      <c r="R249" s="11" t="inlineStr"/>
      <c r="S249" s="11" t="inlineStr"/>
    </row>
    <row r="250">
      <c r="B250" s="13" t="inlineStr">
        <is>
          <t>NB1(a)</t>
        </is>
      </c>
      <c r="C250" s="8" t="inlineStr"/>
      <c r="D250" s="8" t="inlineStr"/>
      <c r="E250" s="18" t="inlineStr">
        <is>
          <t>Number of understorey plant species (2024 Baseline)</t>
        </is>
      </c>
      <c r="F250" s="8" t="inlineStr">
        <is>
          <t>#</t>
        </is>
      </c>
      <c r="G250" s="14" t="n">
        <v>114</v>
      </c>
      <c r="H250" s="14" t="n"/>
      <c r="I250" s="14" t="n"/>
      <c r="J250" s="14" t="n"/>
      <c r="K250" s="15" t="n"/>
      <c r="L250" s="8" t="inlineStr">
        <is>
          <t>Data held</t>
        </is>
      </c>
      <c r="M250" s="8" t="inlineStr">
        <is>
          <t>ESG</t>
        </is>
      </c>
      <c r="N250" s="11" t="inlineStr"/>
      <c r="O250" s="11" t="inlineStr"/>
      <c r="P250" s="11" t="inlineStr"/>
      <c r="Q250" s="11" t="inlineStr"/>
      <c r="R250" s="11" t="inlineStr"/>
      <c r="S250" s="11" t="inlineStr"/>
    </row>
    <row r="251">
      <c r="B251" s="13" t="inlineStr">
        <is>
          <t>NB1(a)</t>
        </is>
      </c>
      <c r="C251" s="8" t="inlineStr"/>
      <c r="D251" s="8" t="inlineStr"/>
      <c r="E251" s="18" t="inlineStr">
        <is>
          <t>Number of trees (2016 Baseline)</t>
        </is>
      </c>
      <c r="F251" s="8" t="inlineStr">
        <is>
          <t>#</t>
        </is>
      </c>
      <c r="G251" s="14" t="n">
        <v>1951</v>
      </c>
      <c r="H251" s="14" t="n"/>
      <c r="I251" s="14" t="n"/>
      <c r="J251" s="14" t="n">
        <v>2677</v>
      </c>
      <c r="K251" s="15" t="n"/>
      <c r="L251" s="8" t="inlineStr">
        <is>
          <t>Data held</t>
        </is>
      </c>
      <c r="M251" s="8" t="inlineStr">
        <is>
          <t>ESG</t>
        </is>
      </c>
      <c r="N251" s="11" t="inlineStr"/>
      <c r="O251" s="11" t="inlineStr"/>
      <c r="P251" s="11" t="inlineStr"/>
      <c r="Q251" s="11" t="inlineStr"/>
      <c r="R251" s="11" t="inlineStr"/>
      <c r="S251" s="11" t="inlineStr"/>
    </row>
    <row r="252">
      <c r="B252" s="13" t="inlineStr">
        <is>
          <t>NB1(a)</t>
        </is>
      </c>
      <c r="C252" s="8" t="inlineStr"/>
      <c r="D252" s="8" t="inlineStr"/>
      <c r="E252" s="18" t="inlineStr">
        <is>
          <t>Number of trees species (2016 Baseline)</t>
        </is>
      </c>
      <c r="F252" s="8" t="inlineStr">
        <is>
          <t>#</t>
        </is>
      </c>
      <c r="G252" s="14" t="n">
        <v>201</v>
      </c>
      <c r="H252" s="14" t="n"/>
      <c r="I252" s="14" t="n"/>
      <c r="J252" s="14" t="n"/>
      <c r="K252" s="15" t="n"/>
      <c r="L252" s="8" t="inlineStr">
        <is>
          <t>Data held</t>
        </is>
      </c>
      <c r="M252" s="8" t="inlineStr">
        <is>
          <t>ESG</t>
        </is>
      </c>
      <c r="N252" s="11" t="inlineStr"/>
      <c r="O252" s="11" t="inlineStr"/>
      <c r="P252" s="11" t="inlineStr"/>
      <c r="Q252" s="11" t="inlineStr"/>
      <c r="R252" s="11" t="inlineStr"/>
      <c r="S252" s="11" t="inlineStr"/>
    </row>
    <row r="253">
      <c r="B253" s="13" t="inlineStr">
        <is>
          <t>NB1(a)</t>
        </is>
      </c>
      <c r="C253" s="8" t="inlineStr"/>
      <c r="D253" s="8" t="inlineStr"/>
      <c r="E253" s="18" t="inlineStr">
        <is>
          <t>Tree canopy cover area (2010 Baseline)</t>
        </is>
      </c>
      <c r="F253" s="8" t="inlineStr">
        <is>
          <t>%</t>
        </is>
      </c>
      <c r="G253" s="14" t="n">
        <v>45</v>
      </c>
      <c r="H253" s="14" t="n"/>
      <c r="I253" s="14" t="n"/>
      <c r="J253" s="14" t="n"/>
      <c r="K253" s="15" t="n"/>
      <c r="L253" s="8" t="inlineStr">
        <is>
          <t>Data held</t>
        </is>
      </c>
      <c r="M253" s="8" t="inlineStr">
        <is>
          <t>ESG</t>
        </is>
      </c>
      <c r="N253" s="11" t="inlineStr"/>
      <c r="O253" s="11" t="inlineStr"/>
      <c r="P253" s="11" t="inlineStr"/>
      <c r="Q253" s="11" t="inlineStr"/>
      <c r="R253" s="11" t="inlineStr"/>
      <c r="S253" s="11" t="inlineStr"/>
    </row>
    <row r="254">
      <c r="B254" s="13" t="inlineStr">
        <is>
          <t>NB1(a)</t>
        </is>
      </c>
      <c r="C254" s="8" t="inlineStr"/>
      <c r="D254" s="8" t="inlineStr"/>
      <c r="E254" s="18" t="inlineStr">
        <is>
          <t>Number of fauna &amp; fungi species (2020 Baseline)</t>
        </is>
      </c>
      <c r="F254" s="8" t="inlineStr">
        <is>
          <t>#</t>
        </is>
      </c>
      <c r="G254" s="14" t="n">
        <v>140</v>
      </c>
      <c r="H254" s="14" t="n"/>
      <c r="I254" s="14" t="n"/>
      <c r="J254" s="14" t="n"/>
      <c r="K254" s="15" t="n"/>
      <c r="L254" s="8" t="inlineStr">
        <is>
          <t>Data held</t>
        </is>
      </c>
      <c r="M254" s="8" t="inlineStr">
        <is>
          <t>ESG</t>
        </is>
      </c>
      <c r="N254" s="11" t="inlineStr"/>
      <c r="O254" s="11" t="inlineStr"/>
      <c r="P254" s="11" t="inlineStr"/>
      <c r="Q254" s="11" t="inlineStr"/>
      <c r="R254" s="11" t="inlineStr"/>
      <c r="S254" s="11" t="inlineStr"/>
    </row>
    <row r="255">
      <c r="B255" s="13" t="inlineStr">
        <is>
          <t>NB1(a)</t>
        </is>
      </c>
      <c r="C255" s="8" t="inlineStr"/>
      <c r="D255" s="8" t="inlineStr"/>
      <c r="E255" s="19" t="inlineStr">
        <is>
          <t>Number of fauna species</t>
        </is>
      </c>
      <c r="F255" s="8" t="inlineStr">
        <is>
          <t>#</t>
        </is>
      </c>
      <c r="G255" s="14" t="n">
        <v>130</v>
      </c>
      <c r="H255" s="14" t="n"/>
      <c r="I255" s="14" t="n"/>
      <c r="J255" s="14" t="n"/>
      <c r="K255" s="15" t="n"/>
      <c r="L255" s="8" t="inlineStr">
        <is>
          <t>Data held</t>
        </is>
      </c>
      <c r="M255" s="8" t="inlineStr">
        <is>
          <t>ESG</t>
        </is>
      </c>
      <c r="N255" s="11" t="inlineStr"/>
      <c r="O255" s="11" t="inlineStr"/>
      <c r="P255" s="11" t="inlineStr"/>
      <c r="Q255" s="11" t="inlineStr"/>
      <c r="R255" s="11" t="inlineStr"/>
      <c r="S255" s="11" t="inlineStr"/>
    </row>
    <row r="256">
      <c r="B256" s="13" t="inlineStr">
        <is>
          <t>NB1(a)</t>
        </is>
      </c>
      <c r="C256" s="8" t="inlineStr"/>
      <c r="D256" s="8" t="inlineStr"/>
      <c r="E256" s="19" t="inlineStr">
        <is>
          <t>Number of fungi species</t>
        </is>
      </c>
      <c r="F256" s="8" t="inlineStr">
        <is>
          <t>#</t>
        </is>
      </c>
      <c r="G256" s="14" t="n">
        <v>10</v>
      </c>
      <c r="H256" s="14" t="n"/>
      <c r="I256" s="14" t="n"/>
      <c r="J256" s="14" t="n"/>
      <c r="K256" s="15" t="n"/>
      <c r="L256" s="8" t="inlineStr">
        <is>
          <t>Data held</t>
        </is>
      </c>
      <c r="M256" s="8" t="inlineStr">
        <is>
          <t>ESG</t>
        </is>
      </c>
      <c r="N256" s="11" t="inlineStr"/>
      <c r="O256" s="11" t="inlineStr"/>
      <c r="P256" s="11" t="inlineStr"/>
      <c r="Q256" s="11" t="inlineStr"/>
      <c r="R256" s="11" t="inlineStr"/>
      <c r="S256" s="11" t="inlineStr"/>
    </row>
    <row r="257">
      <c r="B257" s="16" t="inlineStr">
        <is>
          <t>NB1(a)</t>
        </is>
      </c>
      <c r="C257" s="16" t="inlineStr"/>
      <c r="D257" s="16" t="inlineStr"/>
      <c r="E257" s="16" t="inlineStr">
        <is>
          <t>Shepparton biodiversity metrics</t>
        </is>
      </c>
      <c r="F257" s="16" t="inlineStr"/>
      <c r="G257" s="17" t="n"/>
      <c r="H257" s="17" t="n"/>
      <c r="I257" s="17" t="n"/>
      <c r="J257" s="17" t="n"/>
      <c r="K257" s="17" t="n"/>
      <c r="L257" s="16" t="inlineStr"/>
      <c r="M257" s="16" t="inlineStr"/>
      <c r="N257" s="16" t="inlineStr"/>
      <c r="O257" s="16" t="inlineStr"/>
      <c r="P257" s="16" t="inlineStr"/>
      <c r="Q257" s="16" t="inlineStr"/>
      <c r="R257" s="16" t="inlineStr"/>
      <c r="S257" s="16" t="inlineStr"/>
    </row>
    <row r="258">
      <c r="B258" s="13" t="inlineStr">
        <is>
          <t>NB1(a)</t>
        </is>
      </c>
      <c r="C258" s="8" t="inlineStr"/>
      <c r="D258" s="8" t="inlineStr"/>
      <c r="E258" s="18" t="inlineStr">
        <is>
          <t>Plantable area (2020 Baseline)</t>
        </is>
      </c>
      <c r="F258" s="8" t="inlineStr">
        <is>
          <t>%</t>
        </is>
      </c>
      <c r="G258" s="14" t="n">
        <v>40</v>
      </c>
      <c r="H258" s="14" t="n"/>
      <c r="I258" s="14" t="n"/>
      <c r="J258" s="14" t="n"/>
      <c r="K258" s="15" t="n"/>
      <c r="L258" s="8" t="inlineStr">
        <is>
          <t>Data held</t>
        </is>
      </c>
      <c r="M258" s="8" t="inlineStr">
        <is>
          <t>ESG</t>
        </is>
      </c>
      <c r="N258" s="11" t="inlineStr"/>
      <c r="O258" s="11" t="inlineStr"/>
      <c r="P258" s="11" t="inlineStr"/>
      <c r="Q258" s="11" t="inlineStr"/>
      <c r="R258" s="11" t="inlineStr"/>
      <c r="S258" s="11" t="inlineStr"/>
    </row>
    <row r="259">
      <c r="B259" s="13" t="inlineStr">
        <is>
          <t>NB1(a)</t>
        </is>
      </c>
      <c r="C259" s="8" t="inlineStr"/>
      <c r="D259" s="8" t="inlineStr"/>
      <c r="E259" s="18" t="inlineStr">
        <is>
          <t>Number of 'Areas of Significance' (2020 Baseline)</t>
        </is>
      </c>
      <c r="F259" s="8" t="inlineStr">
        <is>
          <t>#</t>
        </is>
      </c>
      <c r="G259" s="14" t="n">
        <v>4</v>
      </c>
      <c r="H259" s="14" t="n"/>
      <c r="I259" s="14" t="n"/>
      <c r="J259" s="14" t="n"/>
      <c r="K259" s="15" t="n"/>
      <c r="L259" s="8" t="inlineStr">
        <is>
          <t>Data held</t>
        </is>
      </c>
      <c r="M259" s="8" t="inlineStr">
        <is>
          <t>ESG</t>
        </is>
      </c>
      <c r="N259" s="11" t="inlineStr"/>
      <c r="O259" s="11" t="inlineStr"/>
      <c r="P259" s="11" t="inlineStr"/>
      <c r="Q259" s="11" t="inlineStr"/>
      <c r="R259" s="11" t="inlineStr"/>
      <c r="S259" s="11" t="inlineStr"/>
    </row>
    <row r="260">
      <c r="B260" s="13" t="inlineStr">
        <is>
          <t>NB1(a)</t>
        </is>
      </c>
      <c r="C260" s="8" t="inlineStr"/>
      <c r="D260" s="8" t="inlineStr"/>
      <c r="E260" s="18" t="inlineStr">
        <is>
          <t>Number of understorey plant species (2024 Baseline)</t>
        </is>
      </c>
      <c r="F260" s="8" t="inlineStr">
        <is>
          <t>#</t>
        </is>
      </c>
      <c r="G260" s="14" t="n">
        <v>314</v>
      </c>
      <c r="H260" s="14" t="n"/>
      <c r="I260" s="14" t="n"/>
      <c r="J260" s="14" t="n"/>
      <c r="K260" s="15" t="n"/>
      <c r="L260" s="8" t="inlineStr">
        <is>
          <t>Data held</t>
        </is>
      </c>
      <c r="M260" s="8" t="inlineStr">
        <is>
          <t>ESG</t>
        </is>
      </c>
      <c r="N260" s="11" t="inlineStr"/>
      <c r="O260" s="11" t="inlineStr"/>
      <c r="P260" s="11" t="inlineStr"/>
      <c r="Q260" s="11" t="inlineStr"/>
      <c r="R260" s="11" t="inlineStr"/>
      <c r="S260" s="11" t="inlineStr"/>
    </row>
    <row r="261">
      <c r="B261" s="13" t="inlineStr">
        <is>
          <t>NB1(a)</t>
        </is>
      </c>
      <c r="C261" s="8" t="inlineStr"/>
      <c r="D261" s="8" t="inlineStr"/>
      <c r="E261" s="18" t="inlineStr">
        <is>
          <t>Number of trees (2010 Baseline)</t>
        </is>
      </c>
      <c r="F261" s="8" t="inlineStr">
        <is>
          <t>#</t>
        </is>
      </c>
      <c r="G261" s="14" t="n">
        <v>228</v>
      </c>
      <c r="H261" s="14" t="n"/>
      <c r="I261" s="14" t="n"/>
      <c r="J261" s="14" t="n">
        <v>227</v>
      </c>
      <c r="K261" s="15" t="n"/>
      <c r="L261" s="8" t="inlineStr">
        <is>
          <t>Data held</t>
        </is>
      </c>
      <c r="M261" s="8" t="inlineStr">
        <is>
          <t>ESG</t>
        </is>
      </c>
      <c r="N261" s="11" t="inlineStr"/>
      <c r="O261" s="11" t="inlineStr"/>
      <c r="P261" s="11" t="inlineStr"/>
      <c r="Q261" s="11" t="inlineStr"/>
      <c r="R261" s="11" t="inlineStr"/>
      <c r="S261" s="11" t="inlineStr"/>
    </row>
    <row r="262">
      <c r="B262" s="13" t="inlineStr">
        <is>
          <t>NB1(a)</t>
        </is>
      </c>
      <c r="C262" s="8" t="inlineStr"/>
      <c r="D262" s="8" t="inlineStr"/>
      <c r="E262" s="18" t="inlineStr">
        <is>
          <t>Number of trees species (2010 Baseline)</t>
        </is>
      </c>
      <c r="F262" s="8" t="inlineStr">
        <is>
          <t>#</t>
        </is>
      </c>
      <c r="G262" s="14" t="n">
        <v>45</v>
      </c>
      <c r="H262" s="14" t="n"/>
      <c r="I262" s="14" t="n"/>
      <c r="J262" s="14" t="n"/>
      <c r="K262" s="15" t="n"/>
      <c r="L262" s="8" t="inlineStr">
        <is>
          <t>Data held</t>
        </is>
      </c>
      <c r="M262" s="8" t="inlineStr">
        <is>
          <t>ESG</t>
        </is>
      </c>
      <c r="N262" s="11" t="inlineStr"/>
      <c r="O262" s="11" t="inlineStr"/>
      <c r="P262" s="11" t="inlineStr"/>
      <c r="Q262" s="11" t="inlineStr"/>
      <c r="R262" s="11" t="inlineStr"/>
      <c r="S262" s="11" t="inlineStr"/>
    </row>
    <row r="263">
      <c r="B263" s="13" t="inlineStr">
        <is>
          <t>NB1(a)</t>
        </is>
      </c>
      <c r="C263" s="8" t="inlineStr"/>
      <c r="D263" s="8" t="inlineStr"/>
      <c r="E263" s="18" t="inlineStr">
        <is>
          <t>Tree canopy cover area (2018 Baseline)</t>
        </is>
      </c>
      <c r="F263" s="8" t="inlineStr">
        <is>
          <t>%</t>
        </is>
      </c>
      <c r="G263" s="14" t="n">
        <v>14</v>
      </c>
      <c r="H263" s="14" t="n"/>
      <c r="I263" s="14" t="n"/>
      <c r="J263" s="14" t="n"/>
      <c r="K263" s="15" t="n"/>
      <c r="L263" s="8" t="inlineStr">
        <is>
          <t>Data held</t>
        </is>
      </c>
      <c r="M263" s="8" t="inlineStr">
        <is>
          <t>ESG</t>
        </is>
      </c>
      <c r="N263" s="11" t="inlineStr"/>
      <c r="O263" s="11" t="inlineStr"/>
      <c r="P263" s="11" t="inlineStr"/>
      <c r="Q263" s="11" t="inlineStr"/>
      <c r="R263" s="11" t="inlineStr"/>
      <c r="S263" s="11" t="inlineStr"/>
    </row>
    <row r="264">
      <c r="B264" s="13" t="inlineStr">
        <is>
          <t>NB1(a)</t>
        </is>
      </c>
      <c r="C264" s="8" t="inlineStr"/>
      <c r="D264" s="8" t="inlineStr"/>
      <c r="E264" s="18" t="inlineStr">
        <is>
          <t>Number of fauna &amp; fungi species (2020 Baseline)</t>
        </is>
      </c>
      <c r="F264" s="8" t="inlineStr">
        <is>
          <t>#</t>
        </is>
      </c>
      <c r="G264" s="14" t="n">
        <v>209</v>
      </c>
      <c r="H264" s="14" t="n"/>
      <c r="I264" s="14" t="n"/>
      <c r="J264" s="14" t="n"/>
      <c r="K264" s="15" t="n"/>
      <c r="L264" s="8" t="inlineStr">
        <is>
          <t>Data held</t>
        </is>
      </c>
      <c r="M264" s="8" t="inlineStr">
        <is>
          <t>ESG</t>
        </is>
      </c>
      <c r="N264" s="11" t="inlineStr"/>
      <c r="O264" s="11" t="inlineStr"/>
      <c r="P264" s="11" t="inlineStr"/>
      <c r="Q264" s="11" t="inlineStr"/>
      <c r="R264" s="11" t="inlineStr"/>
      <c r="S264" s="11" t="inlineStr"/>
    </row>
    <row r="265">
      <c r="B265" s="13" t="inlineStr">
        <is>
          <t>NB1(a)</t>
        </is>
      </c>
      <c r="C265" s="8" t="inlineStr"/>
      <c r="D265" s="8" t="inlineStr"/>
      <c r="E265" s="19" t="inlineStr">
        <is>
          <t>Number of fauna species</t>
        </is>
      </c>
      <c r="F265" s="8" t="inlineStr">
        <is>
          <t>#</t>
        </is>
      </c>
      <c r="G265" s="14" t="n">
        <v>206</v>
      </c>
      <c r="H265" s="14" t="n"/>
      <c r="I265" s="14" t="n"/>
      <c r="J265" s="14" t="n"/>
      <c r="K265" s="15" t="n"/>
      <c r="L265" s="8" t="inlineStr">
        <is>
          <t>Data held</t>
        </is>
      </c>
      <c r="M265" s="8" t="inlineStr">
        <is>
          <t>ESG</t>
        </is>
      </c>
      <c r="N265" s="11" t="inlineStr"/>
      <c r="O265" s="11" t="inlineStr"/>
      <c r="P265" s="11" t="inlineStr"/>
      <c r="Q265" s="11" t="inlineStr"/>
      <c r="R265" s="11" t="inlineStr"/>
      <c r="S265" s="11" t="inlineStr"/>
    </row>
    <row r="266">
      <c r="B266" s="13" t="inlineStr">
        <is>
          <t>NB1(a)</t>
        </is>
      </c>
      <c r="C266" s="8" t="inlineStr"/>
      <c r="D266" s="8" t="inlineStr"/>
      <c r="E266" s="19" t="inlineStr">
        <is>
          <t>Number of fungi species</t>
        </is>
      </c>
      <c r="F266" s="8" t="inlineStr">
        <is>
          <t>#</t>
        </is>
      </c>
      <c r="G266" s="14" t="n">
        <v>3</v>
      </c>
      <c r="H266" s="14" t="n"/>
      <c r="I266" s="14" t="n"/>
      <c r="J266" s="14" t="n"/>
      <c r="K266" s="15" t="n"/>
      <c r="L266" s="8" t="inlineStr">
        <is>
          <t>Data held</t>
        </is>
      </c>
      <c r="M266" s="8" t="inlineStr">
        <is>
          <t>ESG</t>
        </is>
      </c>
      <c r="N266" s="11" t="inlineStr"/>
      <c r="O266" s="11" t="inlineStr"/>
      <c r="P266" s="11" t="inlineStr"/>
      <c r="Q266" s="11" t="inlineStr"/>
      <c r="R266" s="11" t="inlineStr"/>
      <c r="S266" s="11" t="inlineStr"/>
    </row>
    <row r="267">
      <c r="B267" s="16" t="inlineStr">
        <is>
          <t>NB1(a)</t>
        </is>
      </c>
      <c r="C267" s="16" t="inlineStr"/>
      <c r="D267" s="16" t="inlineStr"/>
      <c r="E267" s="16" t="inlineStr">
        <is>
          <t>Dookie biodiversity metrics</t>
        </is>
      </c>
      <c r="F267" s="16" t="inlineStr"/>
      <c r="G267" s="17" t="n"/>
      <c r="H267" s="17" t="n"/>
      <c r="I267" s="17" t="n"/>
      <c r="J267" s="17" t="n"/>
      <c r="K267" s="17" t="n"/>
      <c r="L267" s="16" t="inlineStr"/>
      <c r="M267" s="16" t="inlineStr"/>
      <c r="N267" s="16" t="inlineStr"/>
      <c r="O267" s="16" t="inlineStr"/>
      <c r="P267" s="16" t="inlineStr"/>
      <c r="Q267" s="16" t="inlineStr"/>
      <c r="R267" s="16" t="inlineStr"/>
      <c r="S267" s="16" t="inlineStr"/>
    </row>
    <row r="268">
      <c r="B268" s="13" t="inlineStr">
        <is>
          <t>NB1(a)</t>
        </is>
      </c>
      <c r="C268" s="8" t="inlineStr"/>
      <c r="D268" s="8" t="inlineStr"/>
      <c r="E268" s="18" t="inlineStr">
        <is>
          <t>Plantable area (2024 Baseline)</t>
        </is>
      </c>
      <c r="F268" s="8" t="inlineStr">
        <is>
          <t>%</t>
        </is>
      </c>
      <c r="G268" s="14" t="n">
        <v>98</v>
      </c>
      <c r="H268" s="14" t="n"/>
      <c r="I268" s="14" t="n"/>
      <c r="J268" s="14" t="n"/>
      <c r="K268" s="15" t="n"/>
      <c r="L268" s="8" t="inlineStr">
        <is>
          <t>Data held</t>
        </is>
      </c>
      <c r="M268" s="8" t="inlineStr">
        <is>
          <t>ESG</t>
        </is>
      </c>
      <c r="N268" s="11" t="inlineStr"/>
      <c r="O268" s="11" t="inlineStr"/>
      <c r="P268" s="11" t="inlineStr"/>
      <c r="Q268" s="11" t="inlineStr"/>
      <c r="R268" s="11" t="inlineStr"/>
      <c r="S268" s="11" t="inlineStr"/>
    </row>
    <row r="269">
      <c r="B269" s="13" t="inlineStr">
        <is>
          <t>NB1(a)</t>
        </is>
      </c>
      <c r="C269" s="8" t="inlineStr"/>
      <c r="D269" s="8" t="inlineStr"/>
      <c r="E269" s="18" t="inlineStr">
        <is>
          <t>Number of 'Areas of Significance' (2020 Baseline)</t>
        </is>
      </c>
      <c r="F269" s="8" t="inlineStr">
        <is>
          <t>#</t>
        </is>
      </c>
      <c r="G269" s="14" t="n">
        <v>7</v>
      </c>
      <c r="H269" s="14" t="n"/>
      <c r="I269" s="14" t="n"/>
      <c r="J269" s="14" t="n"/>
      <c r="K269" s="15" t="n"/>
      <c r="L269" s="8" t="inlineStr">
        <is>
          <t>Data held</t>
        </is>
      </c>
      <c r="M269" s="8" t="inlineStr">
        <is>
          <t>ESG</t>
        </is>
      </c>
      <c r="N269" s="11" t="inlineStr"/>
      <c r="O269" s="11" t="inlineStr"/>
      <c r="P269" s="11" t="inlineStr"/>
      <c r="Q269" s="11" t="inlineStr"/>
      <c r="R269" s="11" t="inlineStr"/>
      <c r="S269" s="11" t="inlineStr"/>
    </row>
    <row r="270">
      <c r="B270" s="13" t="inlineStr">
        <is>
          <t>NB1(a)</t>
        </is>
      </c>
      <c r="C270" s="8" t="inlineStr"/>
      <c r="D270" s="8" t="inlineStr"/>
      <c r="E270" s="18" t="inlineStr">
        <is>
          <t>Number of understorey plant species (2024 Baseline)</t>
        </is>
      </c>
      <c r="F270" s="8" t="inlineStr">
        <is>
          <t>#</t>
        </is>
      </c>
      <c r="G270" s="14" t="n">
        <v>316</v>
      </c>
      <c r="H270" s="14" t="n"/>
      <c r="I270" s="14" t="n"/>
      <c r="J270" s="14" t="n"/>
      <c r="K270" s="15" t="n"/>
      <c r="L270" s="8" t="inlineStr">
        <is>
          <t>Data held</t>
        </is>
      </c>
      <c r="M270" s="8" t="inlineStr">
        <is>
          <t>ESG</t>
        </is>
      </c>
      <c r="N270" s="11" t="inlineStr"/>
      <c r="O270" s="11" t="inlineStr"/>
      <c r="P270" s="11" t="inlineStr"/>
      <c r="Q270" s="11" t="inlineStr"/>
      <c r="R270" s="11" t="inlineStr"/>
      <c r="S270" s="11" t="inlineStr"/>
    </row>
    <row r="271">
      <c r="B271" s="13" t="inlineStr">
        <is>
          <t>NB1(a)</t>
        </is>
      </c>
      <c r="C271" s="8" t="inlineStr"/>
      <c r="D271" s="8" t="inlineStr"/>
      <c r="E271" s="18" t="inlineStr">
        <is>
          <t>Number of trees (2016 Baseline)</t>
        </is>
      </c>
      <c r="F271" s="8" t="inlineStr">
        <is>
          <t>#</t>
        </is>
      </c>
      <c r="G271" s="14" t="n">
        <v>2974</v>
      </c>
      <c r="H271" s="14" t="n"/>
      <c r="I271" s="14" t="n"/>
      <c r="J271" s="14" t="n">
        <v>2753</v>
      </c>
      <c r="K271" s="15" t="n"/>
      <c r="L271" s="8" t="inlineStr">
        <is>
          <t>Data held</t>
        </is>
      </c>
      <c r="M271" s="8" t="inlineStr">
        <is>
          <t>ESG</t>
        </is>
      </c>
      <c r="N271" s="11" t="inlineStr"/>
      <c r="O271" s="11" t="inlineStr"/>
      <c r="P271" s="11" t="inlineStr"/>
      <c r="Q271" s="11" t="inlineStr"/>
      <c r="R271" s="11" t="inlineStr"/>
      <c r="S271" s="11" t="inlineStr"/>
    </row>
    <row r="272">
      <c r="B272" s="13" t="inlineStr">
        <is>
          <t>NB1(a)</t>
        </is>
      </c>
      <c r="C272" s="8" t="inlineStr"/>
      <c r="D272" s="8" t="inlineStr"/>
      <c r="E272" s="18" t="inlineStr">
        <is>
          <t>Number of trees species (2016 Baseline)</t>
        </is>
      </c>
      <c r="F272" s="8" t="inlineStr">
        <is>
          <t>#</t>
        </is>
      </c>
      <c r="G272" s="14" t="n">
        <v>202</v>
      </c>
      <c r="H272" s="14" t="n"/>
      <c r="I272" s="14" t="n"/>
      <c r="J272" s="14" t="n"/>
      <c r="K272" s="15" t="n"/>
      <c r="L272" s="8" t="inlineStr">
        <is>
          <t>Data held</t>
        </is>
      </c>
      <c r="M272" s="8" t="inlineStr">
        <is>
          <t>ESG</t>
        </is>
      </c>
      <c r="N272" s="11" t="inlineStr"/>
      <c r="O272" s="11" t="inlineStr"/>
      <c r="P272" s="11" t="inlineStr"/>
      <c r="Q272" s="11" t="inlineStr"/>
      <c r="R272" s="11" t="inlineStr"/>
      <c r="S272" s="11" t="inlineStr"/>
    </row>
    <row r="273">
      <c r="B273" s="13" t="inlineStr">
        <is>
          <t>NB1(a)</t>
        </is>
      </c>
      <c r="C273" s="8" t="inlineStr"/>
      <c r="D273" s="8" t="inlineStr"/>
      <c r="E273" s="18" t="inlineStr">
        <is>
          <t>Tree canopy cover area (2010 Baseline)</t>
        </is>
      </c>
      <c r="F273" s="8" t="inlineStr">
        <is>
          <t>%</t>
        </is>
      </c>
      <c r="G273" s="14" t="n">
        <v>12</v>
      </c>
      <c r="H273" s="14" t="n"/>
      <c r="I273" s="14" t="n"/>
      <c r="J273" s="14" t="n"/>
      <c r="K273" s="15" t="n"/>
      <c r="L273" s="8" t="inlineStr">
        <is>
          <t>Data held</t>
        </is>
      </c>
      <c r="M273" s="8" t="inlineStr">
        <is>
          <t>ESG</t>
        </is>
      </c>
      <c r="N273" s="11" t="inlineStr"/>
      <c r="O273" s="11" t="inlineStr"/>
      <c r="P273" s="11" t="inlineStr"/>
      <c r="Q273" s="11" t="inlineStr"/>
      <c r="R273" s="11" t="inlineStr"/>
      <c r="S273" s="11" t="inlineStr"/>
    </row>
    <row r="274">
      <c r="B274" s="13" t="inlineStr">
        <is>
          <t>NB1(a)</t>
        </is>
      </c>
      <c r="C274" s="8" t="inlineStr"/>
      <c r="D274" s="8" t="inlineStr"/>
      <c r="E274" s="18" t="inlineStr">
        <is>
          <t>Number of fauna &amp; fungi species (2020 Baseline)</t>
        </is>
      </c>
      <c r="F274" s="8" t="inlineStr">
        <is>
          <t>#</t>
        </is>
      </c>
      <c r="G274" s="14" t="n">
        <v>289</v>
      </c>
      <c r="H274" s="14" t="n"/>
      <c r="I274" s="14" t="n"/>
      <c r="J274" s="14" t="n"/>
      <c r="K274" s="15" t="n"/>
      <c r="L274" s="8" t="inlineStr">
        <is>
          <t>Data held</t>
        </is>
      </c>
      <c r="M274" s="8" t="inlineStr">
        <is>
          <t>ESG</t>
        </is>
      </c>
      <c r="N274" s="11" t="inlineStr"/>
      <c r="O274" s="11" t="inlineStr"/>
      <c r="P274" s="11" t="inlineStr"/>
      <c r="Q274" s="11" t="inlineStr"/>
      <c r="R274" s="11" t="inlineStr"/>
      <c r="S274" s="11" t="inlineStr"/>
    </row>
    <row r="275">
      <c r="B275" s="13" t="inlineStr">
        <is>
          <t>NB1(a)</t>
        </is>
      </c>
      <c r="C275" s="8" t="inlineStr"/>
      <c r="D275" s="8" t="inlineStr"/>
      <c r="E275" s="19" t="inlineStr">
        <is>
          <t>Number of fauna species</t>
        </is>
      </c>
      <c r="F275" s="8" t="inlineStr">
        <is>
          <t>#</t>
        </is>
      </c>
      <c r="G275" s="14" t="n">
        <v>288</v>
      </c>
      <c r="H275" s="14" t="n"/>
      <c r="I275" s="14" t="n"/>
      <c r="J275" s="14" t="n"/>
      <c r="K275" s="15" t="n"/>
      <c r="L275" s="8" t="inlineStr">
        <is>
          <t>Data held</t>
        </is>
      </c>
      <c r="M275" s="8" t="inlineStr">
        <is>
          <t>ESG</t>
        </is>
      </c>
      <c r="N275" s="11" t="inlineStr"/>
      <c r="O275" s="11" t="inlineStr"/>
      <c r="P275" s="11" t="inlineStr"/>
      <c r="Q275" s="11" t="inlineStr"/>
      <c r="R275" s="11" t="inlineStr"/>
      <c r="S275" s="11" t="inlineStr"/>
    </row>
    <row r="276">
      <c r="B276" s="13" t="inlineStr">
        <is>
          <t>NB1(a)</t>
        </is>
      </c>
      <c r="C276" s="8" t="inlineStr"/>
      <c r="D276" s="8" t="inlineStr"/>
      <c r="E276" s="19" t="inlineStr">
        <is>
          <t>Number of fungi species</t>
        </is>
      </c>
      <c r="F276" s="8" t="inlineStr">
        <is>
          <t>#</t>
        </is>
      </c>
      <c r="G276" s="14" t="n">
        <v>1</v>
      </c>
      <c r="H276" s="14" t="n"/>
      <c r="I276" s="14" t="n"/>
      <c r="J276" s="14" t="n"/>
      <c r="K276" s="15" t="n"/>
      <c r="L276" s="8" t="inlineStr">
        <is>
          <t>Data held</t>
        </is>
      </c>
      <c r="M276" s="8" t="inlineStr">
        <is>
          <t>ESG</t>
        </is>
      </c>
      <c r="N276" s="11" t="inlineStr"/>
      <c r="O276" s="11" t="inlineStr"/>
      <c r="P276" s="11" t="inlineStr"/>
      <c r="Q276" s="11" t="inlineStr"/>
      <c r="R276" s="11" t="inlineStr"/>
      <c r="S276" s="11" t="inlineStr"/>
    </row>
    <row r="277">
      <c r="B277" s="13" t="inlineStr">
        <is>
          <t>NB2(a)</t>
        </is>
      </c>
      <c r="C277" s="8" t="inlineStr">
        <is>
          <t>Nature and Biodiversity</t>
        </is>
      </c>
      <c r="D277" s="8" t="inlineStr">
        <is>
          <t>Documented baseline nature footprint analysis</t>
        </is>
      </c>
      <c r="E277" s="8" t="inlineStr">
        <is>
          <t>Freshwater eutrophication</t>
        </is>
      </c>
      <c r="F277" s="8" t="inlineStr">
        <is>
          <t>kg P eq</t>
        </is>
      </c>
      <c r="G277" s="14" t="n"/>
      <c r="H277" s="14" t="n"/>
      <c r="I277" s="14" t="n"/>
      <c r="J277" s="14" t="n"/>
      <c r="K277" s="15" t="n"/>
      <c r="L277" s="8" t="inlineStr">
        <is>
          <t>No data yet</t>
        </is>
      </c>
      <c r="M277" s="8" t="inlineStr">
        <is>
          <t>MRE</t>
        </is>
      </c>
      <c r="N277" s="11" t="inlineStr"/>
      <c r="O277" s="11" t="inlineStr"/>
      <c r="P277" s="11" t="inlineStr"/>
      <c r="Q277" s="11" t="inlineStr"/>
      <c r="R277" s="11" t="inlineStr"/>
      <c r="S277" s="11" t="inlineStr"/>
    </row>
    <row r="278">
      <c r="B278" s="13" t="inlineStr">
        <is>
          <t>NB2(a)</t>
        </is>
      </c>
      <c r="C278" s="8" t="inlineStr"/>
      <c r="D278" s="8" t="inlineStr"/>
      <c r="E278" s="8" t="inlineStr">
        <is>
          <t>Global warming</t>
        </is>
      </c>
      <c r="F278" s="8" t="inlineStr">
        <is>
          <t>kg CO2 eq</t>
        </is>
      </c>
      <c r="G278" s="14" t="n"/>
      <c r="H278" s="14" t="n"/>
      <c r="I278" s="14" t="n"/>
      <c r="J278" s="14" t="n"/>
      <c r="K278" s="15" t="n"/>
      <c r="L278" s="8" t="inlineStr">
        <is>
          <t>No data yet</t>
        </is>
      </c>
      <c r="M278" s="8" t="inlineStr">
        <is>
          <t>MRE</t>
        </is>
      </c>
      <c r="N278" s="11" t="inlineStr"/>
      <c r="O278" s="11" t="inlineStr"/>
      <c r="P278" s="11" t="inlineStr"/>
      <c r="Q278" s="11" t="inlineStr"/>
      <c r="R278" s="11" t="inlineStr"/>
      <c r="S278" s="11" t="inlineStr"/>
    </row>
    <row r="279">
      <c r="B279" s="13" t="inlineStr">
        <is>
          <t>NB2(a)</t>
        </is>
      </c>
      <c r="C279" s="8" t="inlineStr"/>
      <c r="D279" s="8" t="inlineStr"/>
      <c r="E279" s="8" t="inlineStr">
        <is>
          <t>Land use</t>
        </is>
      </c>
      <c r="F279" s="8" t="inlineStr">
        <is>
          <t>m²a crop eq</t>
        </is>
      </c>
      <c r="G279" s="14" t="n"/>
      <c r="H279" s="14" t="n"/>
      <c r="I279" s="14" t="n"/>
      <c r="J279" s="14" t="n"/>
      <c r="K279" s="15" t="n"/>
      <c r="L279" s="8" t="inlineStr">
        <is>
          <t>No data yet</t>
        </is>
      </c>
      <c r="M279" s="8" t="inlineStr">
        <is>
          <t>MRE</t>
        </is>
      </c>
      <c r="N279" s="11" t="inlineStr"/>
      <c r="O279" s="11" t="inlineStr"/>
      <c r="P279" s="11" t="inlineStr"/>
      <c r="Q279" s="11" t="inlineStr"/>
      <c r="R279" s="11" t="inlineStr"/>
      <c r="S279" s="11" t="inlineStr"/>
    </row>
    <row r="280">
      <c r="B280" s="13" t="inlineStr">
        <is>
          <t>NB2(a)</t>
        </is>
      </c>
      <c r="C280" s="8" t="inlineStr"/>
      <c r="D280" s="8" t="inlineStr"/>
      <c r="E280" s="8" t="inlineStr">
        <is>
          <t>Marine eutrophication</t>
        </is>
      </c>
      <c r="F280" s="8" t="inlineStr">
        <is>
          <t>kg N eq</t>
        </is>
      </c>
      <c r="G280" s="14" t="n"/>
      <c r="H280" s="14" t="n"/>
      <c r="I280" s="14" t="n"/>
      <c r="J280" s="14" t="n"/>
      <c r="K280" s="15" t="n"/>
      <c r="L280" s="8" t="inlineStr">
        <is>
          <t>No data yet</t>
        </is>
      </c>
      <c r="M280" s="8" t="inlineStr">
        <is>
          <t>MRE</t>
        </is>
      </c>
      <c r="N280" s="11" t="inlineStr"/>
      <c r="O280" s="11" t="inlineStr"/>
      <c r="P280" s="11" t="inlineStr"/>
      <c r="Q280" s="11" t="inlineStr"/>
      <c r="R280" s="11" t="inlineStr"/>
      <c r="S280" s="11" t="inlineStr"/>
    </row>
    <row r="281">
      <c r="B281" s="13" t="inlineStr">
        <is>
          <t>NB2(a)</t>
        </is>
      </c>
      <c r="C281" s="8" t="inlineStr"/>
      <c r="D281" s="8" t="inlineStr"/>
      <c r="E281" s="8" t="inlineStr">
        <is>
          <t>Photochemical ozone formation</t>
        </is>
      </c>
      <c r="F281" s="8" t="inlineStr">
        <is>
          <t>kg NOx eq</t>
        </is>
      </c>
      <c r="G281" s="14" t="n"/>
      <c r="H281" s="14" t="n"/>
      <c r="I281" s="14" t="n"/>
      <c r="J281" s="14" t="n"/>
      <c r="K281" s="15" t="n"/>
      <c r="L281" s="8" t="inlineStr">
        <is>
          <t>No data yet</t>
        </is>
      </c>
      <c r="M281" s="8" t="inlineStr">
        <is>
          <t>MRE</t>
        </is>
      </c>
      <c r="N281" s="11" t="inlineStr"/>
      <c r="O281" s="11" t="inlineStr"/>
      <c r="P281" s="11" t="inlineStr"/>
      <c r="Q281" s="11" t="inlineStr"/>
      <c r="R281" s="11" t="inlineStr"/>
      <c r="S281" s="11" t="inlineStr"/>
    </row>
    <row r="282">
      <c r="B282" s="13" t="inlineStr">
        <is>
          <t>NB2(a)</t>
        </is>
      </c>
      <c r="C282" s="8" t="inlineStr"/>
      <c r="D282" s="8" t="inlineStr"/>
      <c r="E282" s="8" t="inlineStr">
        <is>
          <t>Terrestrial acidification</t>
        </is>
      </c>
      <c r="F282" s="8" t="inlineStr">
        <is>
          <t>kg SO2 eq</t>
        </is>
      </c>
      <c r="G282" s="14" t="n"/>
      <c r="H282" s="14" t="n"/>
      <c r="I282" s="14" t="n"/>
      <c r="J282" s="14" t="n"/>
      <c r="K282" s="15" t="n"/>
      <c r="L282" s="8" t="inlineStr">
        <is>
          <t>No data yet</t>
        </is>
      </c>
      <c r="M282" s="8" t="inlineStr">
        <is>
          <t>MRE</t>
        </is>
      </c>
      <c r="N282" s="11" t="inlineStr"/>
      <c r="O282" s="11" t="inlineStr"/>
      <c r="P282" s="11" t="inlineStr"/>
      <c r="Q282" s="11" t="inlineStr"/>
      <c r="R282" s="11" t="inlineStr"/>
      <c r="S282" s="11" t="inlineStr"/>
    </row>
    <row r="283">
      <c r="B283" s="13" t="inlineStr">
        <is>
          <t>NB2(a)</t>
        </is>
      </c>
      <c r="C283" s="8" t="inlineStr"/>
      <c r="D283" s="8" t="inlineStr"/>
      <c r="E283" s="8" t="inlineStr">
        <is>
          <t>Water consumption</t>
        </is>
      </c>
      <c r="F283" s="8" t="inlineStr">
        <is>
          <t>m³</t>
        </is>
      </c>
      <c r="G283" s="14" t="n"/>
      <c r="H283" s="14" t="n"/>
      <c r="I283" s="14" t="n"/>
      <c r="J283" s="14" t="n"/>
      <c r="K283" s="15" t="n"/>
      <c r="L283" s="8" t="inlineStr">
        <is>
          <t>No data yet</t>
        </is>
      </c>
      <c r="M283" s="8" t="inlineStr">
        <is>
          <t>MRE</t>
        </is>
      </c>
      <c r="N283" s="11" t="inlineStr"/>
      <c r="O283" s="11" t="inlineStr"/>
      <c r="P283" s="11" t="inlineStr"/>
      <c r="Q283" s="11" t="inlineStr"/>
      <c r="R283" s="11" t="inlineStr"/>
      <c r="S283" s="11" t="inlineStr"/>
    </row>
    <row r="284">
      <c r="B284" s="13" t="inlineStr">
        <is>
          <t>CE1(a)</t>
        </is>
      </c>
      <c r="C284" s="8" t="inlineStr">
        <is>
          <t>Circular Economy</t>
        </is>
      </c>
      <c r="D284" s="8" t="inlineStr">
        <is>
          <t>Comparison of year-to-year tonnes of waste (absolute)</t>
        </is>
      </c>
      <c r="E284" s="8" t="inlineStr">
        <is>
          <t>Total waste to landfill (excl. demolition and construction waste)</t>
        </is>
      </c>
      <c r="F284" s="8" t="inlineStr">
        <is>
          <t>Tonnes</t>
        </is>
      </c>
      <c r="G284" s="14" t="n"/>
      <c r="H284" s="14" t="n">
        <v>1484</v>
      </c>
      <c r="I284" s="14" t="n">
        <v>1379</v>
      </c>
      <c r="J284" s="14" t="n">
        <v>1269</v>
      </c>
      <c r="K284" s="15" t="n"/>
      <c r="L284" s="8" t="inlineStr">
        <is>
          <t>Data held</t>
        </is>
      </c>
      <c r="M284" s="8" t="inlineStr">
        <is>
          <t>ESG</t>
        </is>
      </c>
      <c r="N284" s="11" t="inlineStr"/>
      <c r="O284" s="11" t="inlineStr"/>
      <c r="P284" s="11" t="inlineStr"/>
      <c r="Q284" s="11" t="inlineStr"/>
      <c r="R284" s="11" t="inlineStr"/>
      <c r="S284" s="11" t="inlineStr"/>
    </row>
    <row r="285">
      <c r="B285" s="13" t="inlineStr">
        <is>
          <t>CE1(a)</t>
        </is>
      </c>
      <c r="C285" s="8" t="inlineStr"/>
      <c r="D285" s="8" t="inlineStr"/>
      <c r="E285" s="8" t="inlineStr">
        <is>
          <t>Waste to landfill intensity</t>
        </is>
      </c>
      <c r="F285" s="8" t="inlineStr">
        <is>
          <t>KG/person</t>
        </is>
      </c>
      <c r="G285" s="14" t="n"/>
      <c r="H285" s="14" t="n">
        <v>22.6</v>
      </c>
      <c r="I285" s="14" t="n">
        <v>18.5</v>
      </c>
      <c r="J285" s="14" t="n">
        <v>18.3</v>
      </c>
      <c r="K285" s="15" t="n"/>
      <c r="L285" s="8" t="inlineStr">
        <is>
          <t>Data held</t>
        </is>
      </c>
      <c r="M285" s="8" t="inlineStr">
        <is>
          <t>ESG</t>
        </is>
      </c>
      <c r="N285" s="11" t="inlineStr"/>
      <c r="O285" s="11" t="inlineStr"/>
      <c r="P285" s="11" t="inlineStr"/>
      <c r="Q285" s="11" t="inlineStr"/>
      <c r="R285" s="11" t="inlineStr"/>
      <c r="S285" s="11" t="inlineStr"/>
    </row>
    <row r="286">
      <c r="B286" s="13" t="inlineStr">
        <is>
          <t>CE1(a)</t>
        </is>
      </c>
      <c r="C286" s="8" t="inlineStr"/>
      <c r="D286" s="8" t="inlineStr"/>
      <c r="E286" s="8" t="inlineStr">
        <is>
          <t>Changes in total waste to landfill YoY</t>
        </is>
      </c>
      <c r="F286" s="8" t="inlineStr">
        <is>
          <t>%</t>
        </is>
      </c>
      <c r="G286" s="14" t="n"/>
      <c r="H286" s="14" t="inlineStr">
        <is>
          <t>N/A</t>
        </is>
      </c>
      <c r="I286" s="14" t="n">
        <v>-7.075471698113208</v>
      </c>
      <c r="J286" s="14" t="n">
        <v>-7.976794778825235</v>
      </c>
      <c r="K286" s="15" t="n"/>
      <c r="L286" s="8" t="inlineStr">
        <is>
          <t>Data held</t>
        </is>
      </c>
      <c r="M286" s="8" t="inlineStr">
        <is>
          <t>ESG</t>
        </is>
      </c>
      <c r="N286" s="11" t="inlineStr"/>
      <c r="O286" s="11" t="inlineStr"/>
      <c r="P286" s="11" t="inlineStr"/>
      <c r="Q286" s="11" t="inlineStr"/>
      <c r="R286" s="11" t="inlineStr"/>
      <c r="S286" s="11" t="inlineStr"/>
    </row>
    <row r="287">
      <c r="B287" s="13" t="inlineStr">
        <is>
          <t>CE2(a)</t>
        </is>
      </c>
      <c r="C287" s="8" t="inlineStr">
        <is>
          <t>Circular Economy</t>
        </is>
      </c>
      <c r="D287" s="8" t="inlineStr">
        <is>
          <t>Comparison of year-to-year tonnes of recyclables (absolute)</t>
        </is>
      </c>
      <c r="E287" s="8" t="inlineStr">
        <is>
          <t>Total waste recycled</t>
        </is>
      </c>
      <c r="F287" s="8" t="inlineStr">
        <is>
          <t>Tonnes</t>
        </is>
      </c>
      <c r="G287" s="14" t="n"/>
      <c r="H287" s="14" t="n">
        <v>801</v>
      </c>
      <c r="I287" s="14" t="n">
        <v>762</v>
      </c>
      <c r="J287" s="14" t="n">
        <v>1511</v>
      </c>
      <c r="K287" s="15" t="n"/>
      <c r="L287" s="8" t="inlineStr">
        <is>
          <t>Data held</t>
        </is>
      </c>
      <c r="M287" s="8" t="inlineStr">
        <is>
          <t>ESG</t>
        </is>
      </c>
      <c r="N287" s="11" t="inlineStr"/>
      <c r="O287" s="11" t="inlineStr"/>
      <c r="P287" s="11" t="inlineStr"/>
      <c r="Q287" s="11" t="inlineStr"/>
      <c r="R287" s="11" t="inlineStr"/>
      <c r="S287" s="11" t="inlineStr"/>
    </row>
    <row r="288">
      <c r="B288" s="13" t="inlineStr">
        <is>
          <t>CE2(a)</t>
        </is>
      </c>
      <c r="C288" s="8" t="inlineStr"/>
      <c r="D288" s="8" t="inlineStr"/>
      <c r="E288" s="8" t="inlineStr">
        <is>
          <t>Changes in total waste recycled YoY</t>
        </is>
      </c>
      <c r="F288" s="8" t="inlineStr">
        <is>
          <t>%</t>
        </is>
      </c>
      <c r="G288" s="14" t="n"/>
      <c r="H288" s="14" t="inlineStr">
        <is>
          <t>N/A</t>
        </is>
      </c>
      <c r="I288" s="14" t="n">
        <v>-4.868913857677903</v>
      </c>
      <c r="J288" s="14" t="n">
        <v>98.29396325459318</v>
      </c>
      <c r="K288" s="15" t="n"/>
      <c r="L288" s="8" t="inlineStr">
        <is>
          <t>Data held</t>
        </is>
      </c>
      <c r="M288" s="8" t="inlineStr">
        <is>
          <t>ESG</t>
        </is>
      </c>
      <c r="N288" s="11" t="inlineStr"/>
      <c r="O288" s="11" t="inlineStr"/>
      <c r="P288" s="11" t="inlineStr"/>
      <c r="Q288" s="11" t="inlineStr"/>
      <c r="R288" s="11" t="inlineStr"/>
      <c r="S288" s="11" t="inlineStr"/>
    </row>
    <row r="289">
      <c r="B289" s="13" t="inlineStr">
        <is>
          <t>CE2(a)</t>
        </is>
      </c>
      <c r="C289" s="8" t="inlineStr"/>
      <c r="D289" s="8" t="inlineStr"/>
      <c r="E289" s="8" t="inlineStr">
        <is>
          <t>Changes in total waste recycled YoY compared to baseline</t>
        </is>
      </c>
      <c r="F289" s="8" t="inlineStr">
        <is>
          <t>%</t>
        </is>
      </c>
      <c r="G289" s="14" t="n"/>
      <c r="H289" s="14" t="inlineStr">
        <is>
          <t>N/A</t>
        </is>
      </c>
      <c r="I289" s="14" t="inlineStr">
        <is>
          <t>N/A</t>
        </is>
      </c>
      <c r="J289" s="14" t="inlineStr">
        <is>
          <t>N/A</t>
        </is>
      </c>
      <c r="K289" s="15" t="n"/>
      <c r="L289" s="8" t="inlineStr">
        <is>
          <t>No data yet</t>
        </is>
      </c>
      <c r="M289" s="8" t="inlineStr">
        <is>
          <t>ESG</t>
        </is>
      </c>
      <c r="N289" s="11" t="inlineStr"/>
      <c r="O289" s="11" t="inlineStr"/>
      <c r="P289" s="11" t="inlineStr"/>
      <c r="Q289" s="11" t="inlineStr"/>
      <c r="R289" s="11" t="inlineStr"/>
      <c r="S289" s="11" t="inlineStr"/>
    </row>
    <row r="290">
      <c r="B290" s="13" t="inlineStr">
        <is>
          <t>RP2(a)</t>
        </is>
      </c>
      <c r="C290" s="8" t="inlineStr">
        <is>
          <t>Responsible Procurement</t>
        </is>
      </c>
      <c r="D290" s="8" t="inlineStr">
        <is>
          <t>Percentage of Indigeneous spend of total addressable procurement spend</t>
        </is>
      </c>
      <c r="E290" s="8" t="inlineStr">
        <is>
          <t>Total procurement spending</t>
        </is>
      </c>
      <c r="F290" s="8" t="inlineStr">
        <is>
          <t>$</t>
        </is>
      </c>
      <c r="G290" s="14" t="n"/>
      <c r="H290" s="14" t="n"/>
      <c r="I290" s="14" t="n"/>
      <c r="J290" s="14" t="n"/>
      <c r="K290" s="15" t="n"/>
      <c r="L290" s="8" t="inlineStr">
        <is>
          <t>No data yet</t>
        </is>
      </c>
      <c r="M290" s="8" t="inlineStr">
        <is>
          <t>CFOG</t>
        </is>
      </c>
      <c r="N290" s="11" t="inlineStr"/>
      <c r="O290" s="11" t="inlineStr"/>
      <c r="P290" s="11" t="inlineStr"/>
      <c r="Q290" s="11" t="inlineStr"/>
      <c r="R290" s="11" t="inlineStr"/>
      <c r="S290" s="11" t="inlineStr"/>
    </row>
    <row r="291">
      <c r="B291" s="13" t="inlineStr">
        <is>
          <t>RP2(a)</t>
        </is>
      </c>
      <c r="C291" s="8" t="inlineStr"/>
      <c r="D291" s="8" t="inlineStr"/>
      <c r="E291" s="8" t="inlineStr">
        <is>
          <t>Total Indigeneous spending</t>
        </is>
      </c>
      <c r="F291" s="8" t="inlineStr">
        <is>
          <t>$</t>
        </is>
      </c>
      <c r="G291" s="14" t="n"/>
      <c r="H291" s="14" t="n"/>
      <c r="I291" s="14" t="n"/>
      <c r="J291" s="14" t="n"/>
      <c r="K291" s="15" t="n"/>
      <c r="L291" s="8" t="inlineStr">
        <is>
          <t>No data yet</t>
        </is>
      </c>
      <c r="M291" s="8" t="inlineStr">
        <is>
          <t>CFOG</t>
        </is>
      </c>
      <c r="N291" s="11" t="inlineStr"/>
      <c r="O291" s="11" t="inlineStr"/>
      <c r="P291" s="11" t="inlineStr"/>
      <c r="Q291" s="11" t="inlineStr"/>
      <c r="R291" s="11" t="inlineStr"/>
      <c r="S291" s="11" t="inlineStr"/>
    </row>
    <row r="292">
      <c r="B292" s="13" t="inlineStr">
        <is>
          <t>RP2(a)</t>
        </is>
      </c>
      <c r="C292" s="8" t="inlineStr"/>
      <c r="D292" s="8" t="inlineStr"/>
      <c r="E292" s="8" t="inlineStr">
        <is>
          <t>Percentage of Indigeneous spend of total addressable procurement spend</t>
        </is>
      </c>
      <c r="F292" s="8" t="inlineStr">
        <is>
          <t>%</t>
        </is>
      </c>
      <c r="G292" s="14" t="n"/>
      <c r="H292" s="14" t="n"/>
      <c r="I292" s="14" t="n"/>
      <c r="J292" s="14" t="n"/>
      <c r="K292" s="15" t="n"/>
      <c r="L292" s="8" t="inlineStr">
        <is>
          <t>No data yet</t>
        </is>
      </c>
      <c r="M292" s="8" t="inlineStr">
        <is>
          <t>CFOG</t>
        </is>
      </c>
      <c r="N292" s="11" t="inlineStr"/>
      <c r="O292" s="11" t="inlineStr"/>
      <c r="P292" s="11" t="inlineStr"/>
      <c r="Q292" s="11" t="inlineStr"/>
      <c r="R292" s="11" t="inlineStr"/>
      <c r="S292" s="11" t="inlineStr"/>
    </row>
    <row r="293">
      <c r="B293" s="13" t="inlineStr">
        <is>
          <t>RP2(b)</t>
        </is>
      </c>
      <c r="C293" s="8" t="inlineStr">
        <is>
          <t>Responsible Procurement</t>
        </is>
      </c>
      <c r="D293" s="8" t="inlineStr">
        <is>
          <t>Percentage of social spend of total addressable procurement spend</t>
        </is>
      </c>
      <c r="E293" s="8" t="inlineStr">
        <is>
          <t>Total procurement spending</t>
        </is>
      </c>
      <c r="F293" s="8" t="inlineStr">
        <is>
          <t>$</t>
        </is>
      </c>
      <c r="G293" s="14" t="n"/>
      <c r="H293" s="14" t="n"/>
      <c r="I293" s="14" t="n"/>
      <c r="J293" s="14" t="n"/>
      <c r="K293" s="15" t="n"/>
      <c r="L293" s="8" t="inlineStr">
        <is>
          <t>No data yet</t>
        </is>
      </c>
      <c r="M293" s="8" t="inlineStr">
        <is>
          <t>CFOG</t>
        </is>
      </c>
      <c r="N293" s="11" t="inlineStr"/>
      <c r="O293" s="11" t="inlineStr"/>
      <c r="P293" s="11" t="inlineStr"/>
      <c r="Q293" s="11" t="inlineStr"/>
      <c r="R293" s="11" t="inlineStr"/>
      <c r="S293" s="11" t="inlineStr"/>
    </row>
    <row r="294">
      <c r="B294" s="13" t="inlineStr">
        <is>
          <t>RP2(b)</t>
        </is>
      </c>
      <c r="C294" s="8" t="inlineStr"/>
      <c r="D294" s="8" t="inlineStr"/>
      <c r="E294" s="8" t="inlineStr">
        <is>
          <t>Total social spending</t>
        </is>
      </c>
      <c r="F294" s="8" t="inlineStr">
        <is>
          <t>$</t>
        </is>
      </c>
      <c r="G294" s="14" t="n"/>
      <c r="H294" s="14" t="n"/>
      <c r="I294" s="14" t="n"/>
      <c r="J294" s="14" t="n"/>
      <c r="K294" s="15" t="n"/>
      <c r="L294" s="8" t="inlineStr">
        <is>
          <t>No data yet</t>
        </is>
      </c>
      <c r="M294" s="8" t="inlineStr">
        <is>
          <t>CFOG</t>
        </is>
      </c>
      <c r="N294" s="11" t="inlineStr"/>
      <c r="O294" s="11" t="inlineStr"/>
      <c r="P294" s="11" t="inlineStr"/>
      <c r="Q294" s="11" t="inlineStr"/>
      <c r="R294" s="11" t="inlineStr"/>
      <c r="S294" s="11" t="inlineStr"/>
    </row>
    <row r="295">
      <c r="B295" s="13" t="inlineStr">
        <is>
          <t>RP2(b)</t>
        </is>
      </c>
      <c r="C295" s="8" t="inlineStr"/>
      <c r="D295" s="8" t="inlineStr"/>
      <c r="E295" s="8" t="inlineStr">
        <is>
          <t>Percentage of Indigeneous spend of total addressable procurement spend</t>
        </is>
      </c>
      <c r="F295" s="8" t="inlineStr">
        <is>
          <t>%</t>
        </is>
      </c>
      <c r="G295" s="14" t="n"/>
      <c r="H295" s="14" t="n"/>
      <c r="I295" s="14" t="n"/>
      <c r="J295" s="14" t="n"/>
      <c r="K295" s="15" t="n"/>
      <c r="L295" s="8" t="inlineStr">
        <is>
          <t>No data yet</t>
        </is>
      </c>
      <c r="M295" s="8" t="inlineStr">
        <is>
          <t>CFOG</t>
        </is>
      </c>
      <c r="N295" s="11" t="inlineStr"/>
      <c r="O295" s="11" t="inlineStr"/>
      <c r="P295" s="11" t="inlineStr"/>
      <c r="Q295" s="11" t="inlineStr"/>
      <c r="R295" s="11" t="inlineStr"/>
      <c r="S295" s="11" t="inlineStr"/>
    </row>
    <row r="296">
      <c r="B296" s="13" t="inlineStr">
        <is>
          <t>RI1(a)</t>
        </is>
      </c>
      <c r="C296" s="8" t="inlineStr">
        <is>
          <t>Responsible Investments</t>
        </is>
      </c>
      <c r="D296" s="8" t="inlineStr">
        <is>
          <t>Annual monitoring and reporting on the investment portfolio's net zero transition progress, including tracking the percentage of AUM managed by investment managers aligned with (or commited to net zero by 2050</t>
        </is>
      </c>
      <c r="E296" s="8" t="inlineStr">
        <is>
          <t>Total Asset Under Management (AUM)</t>
        </is>
      </c>
      <c r="F296" s="8" t="inlineStr">
        <is>
          <t>$</t>
        </is>
      </c>
      <c r="G296" s="14" t="n"/>
      <c r="H296" s="14" t="n"/>
      <c r="I296" s="14" t="n"/>
      <c r="J296" s="14" t="n"/>
      <c r="K296" s="15" t="n"/>
      <c r="L296" s="8" t="inlineStr">
        <is>
          <t>No data yet</t>
        </is>
      </c>
      <c r="M296" s="8" t="inlineStr">
        <is>
          <t>CFOG</t>
        </is>
      </c>
      <c r="N296" s="11" t="inlineStr"/>
      <c r="O296" s="11" t="inlineStr"/>
      <c r="P296" s="11" t="inlineStr"/>
      <c r="Q296" s="11" t="inlineStr"/>
      <c r="R296" s="11" t="inlineStr"/>
      <c r="S296" s="11" t="inlineStr"/>
    </row>
    <row r="297">
      <c r="B297" s="13" t="inlineStr">
        <is>
          <t>RI1(a)</t>
        </is>
      </c>
      <c r="C297" s="8" t="inlineStr"/>
      <c r="D297" s="8" t="inlineStr"/>
      <c r="E297" s="8" t="inlineStr">
        <is>
          <t>AUM managed by Investment Managers aligned with net zero commitment</t>
        </is>
      </c>
      <c r="F297" s="8" t="inlineStr">
        <is>
          <t>$</t>
        </is>
      </c>
      <c r="G297" s="14" t="n"/>
      <c r="H297" s="14" t="n"/>
      <c r="I297" s="14" t="n"/>
      <c r="J297" s="14" t="n"/>
      <c r="K297" s="15" t="n"/>
      <c r="L297" s="8" t="inlineStr">
        <is>
          <t>No data yet</t>
        </is>
      </c>
      <c r="M297" s="8" t="inlineStr">
        <is>
          <t>CFOG</t>
        </is>
      </c>
      <c r="N297" s="11" t="inlineStr"/>
      <c r="O297" s="11" t="inlineStr"/>
      <c r="P297" s="11" t="inlineStr"/>
      <c r="Q297" s="11" t="inlineStr"/>
      <c r="R297" s="11" t="inlineStr"/>
      <c r="S297" s="11" t="inlineStr"/>
    </row>
    <row r="298">
      <c r="B298" s="13" t="inlineStr">
        <is>
          <t>RI1(a)</t>
        </is>
      </c>
      <c r="C298" s="8" t="inlineStr"/>
      <c r="D298" s="8" t="inlineStr"/>
      <c r="E298" s="8" t="inlineStr">
        <is>
          <t>Percentage of AUM managed by Investment Managers aligned with net zero commitment</t>
        </is>
      </c>
      <c r="F298" s="8" t="inlineStr">
        <is>
          <t>%</t>
        </is>
      </c>
      <c r="G298" s="14" t="n"/>
      <c r="H298" s="14" t="n"/>
      <c r="I298" s="14" t="n"/>
      <c r="J298" s="14" t="n"/>
      <c r="K298" s="15" t="n"/>
      <c r="L298" s="8" t="inlineStr">
        <is>
          <t>No data yet</t>
        </is>
      </c>
      <c r="M298" s="8" t="inlineStr">
        <is>
          <t>CFOG</t>
        </is>
      </c>
      <c r="N298" s="11" t="inlineStr"/>
      <c r="O298" s="11" t="inlineStr"/>
      <c r="P298" s="11" t="inlineStr"/>
      <c r="Q298" s="11" t="inlineStr"/>
      <c r="R298" s="11" t="inlineStr"/>
      <c r="S298" s="11" t="inlineStr"/>
    </row>
    <row r="299">
      <c r="B299" s="13" t="inlineStr">
        <is>
          <t>RI1(b)</t>
        </is>
      </c>
      <c r="C299" s="8" t="inlineStr">
        <is>
          <t>Responsible Investments</t>
        </is>
      </c>
      <c r="D299" s="8" t="inlineStr">
        <is>
          <t>Continuous improvement of the reporting of the University's sustainability-related investment profile metrics, including investment in climate mitigation and transition solutions, and compliance with related obligations (e.g. UNPRI)</t>
        </is>
      </c>
      <c r="E299" s="8" t="inlineStr">
        <is>
          <t>Total Asset Under Management (AUM)</t>
        </is>
      </c>
      <c r="F299" s="8" t="inlineStr">
        <is>
          <t>$</t>
        </is>
      </c>
      <c r="G299" s="14" t="n"/>
      <c r="H299" s="14" t="n"/>
      <c r="I299" s="14" t="n"/>
      <c r="J299" s="14" t="n"/>
      <c r="K299" s="15" t="n"/>
      <c r="L299" s="8" t="inlineStr">
        <is>
          <t>No data yet</t>
        </is>
      </c>
      <c r="M299" s="8" t="inlineStr">
        <is>
          <t>CFOG</t>
        </is>
      </c>
      <c r="N299" s="11" t="inlineStr"/>
      <c r="O299" s="11" t="inlineStr"/>
      <c r="P299" s="11" t="inlineStr"/>
      <c r="Q299" s="11" t="inlineStr"/>
      <c r="R299" s="11" t="inlineStr"/>
      <c r="S299" s="11" t="inlineStr"/>
    </row>
    <row r="300">
      <c r="B300" s="13" t="inlineStr">
        <is>
          <t>RI1(b)</t>
        </is>
      </c>
      <c r="C300" s="8" t="inlineStr"/>
      <c r="D300" s="8" t="inlineStr"/>
      <c r="E300" s="8" t="inlineStr">
        <is>
          <t>AUM invested in climate/transition solution</t>
        </is>
      </c>
      <c r="F300" s="8" t="inlineStr">
        <is>
          <t>$</t>
        </is>
      </c>
      <c r="G300" s="14" t="n"/>
      <c r="H300" s="14" t="n"/>
      <c r="I300" s="14" t="n"/>
      <c r="J300" s="14" t="n"/>
      <c r="K300" s="15" t="n"/>
      <c r="L300" s="8" t="inlineStr">
        <is>
          <t>No data yet</t>
        </is>
      </c>
      <c r="M300" s="8" t="inlineStr">
        <is>
          <t>CFOG</t>
        </is>
      </c>
      <c r="N300" s="11" t="inlineStr"/>
      <c r="O300" s="11" t="inlineStr"/>
      <c r="P300" s="11" t="inlineStr"/>
      <c r="Q300" s="11" t="inlineStr"/>
      <c r="R300" s="11" t="inlineStr"/>
      <c r="S300" s="11" t="inlineStr"/>
    </row>
    <row r="301">
      <c r="B301" s="13" t="inlineStr">
        <is>
          <t>RI1(b)</t>
        </is>
      </c>
      <c r="C301" s="8" t="inlineStr"/>
      <c r="D301" s="8" t="inlineStr"/>
      <c r="E301" s="8" t="inlineStr">
        <is>
          <t>Percentage of AUM invested in climate/transition solution</t>
        </is>
      </c>
      <c r="F301" s="8" t="inlineStr">
        <is>
          <t>%</t>
        </is>
      </c>
      <c r="G301" s="14" t="n"/>
      <c r="H301" s="14" t="n"/>
      <c r="I301" s="14" t="n"/>
      <c r="J301" s="14" t="n"/>
      <c r="K301" s="15" t="n"/>
      <c r="L301" s="8" t="inlineStr">
        <is>
          <t>No data yet</t>
        </is>
      </c>
      <c r="M301" s="8" t="inlineStr">
        <is>
          <t>CFOG</t>
        </is>
      </c>
      <c r="N301" s="11" t="inlineStr"/>
      <c r="O301" s="11" t="inlineStr"/>
      <c r="P301" s="11" t="inlineStr"/>
      <c r="Q301" s="11" t="inlineStr"/>
      <c r="R301" s="11" t="inlineStr"/>
      <c r="S301" s="11" t="inlineStr"/>
    </row>
    <row r="302">
      <c r="B302" s="13" t="inlineStr">
        <is>
          <t>RI1(b)</t>
        </is>
      </c>
      <c r="C302" s="8" t="inlineStr"/>
      <c r="D302" s="8" t="inlineStr"/>
      <c r="E302" s="8" t="inlineStr">
        <is>
          <t>Estimated UoM absolute financed carbon emissions</t>
        </is>
      </c>
      <c r="F302" s="8" t="inlineStr">
        <is>
          <t>tCO2-e</t>
        </is>
      </c>
      <c r="G302" s="14" t="n"/>
      <c r="H302" s="14" t="n">
        <v>121733</v>
      </c>
      <c r="I302" s="14" t="n">
        <v>111919</v>
      </c>
      <c r="J302" s="14" t="n">
        <v>123381</v>
      </c>
      <c r="K302" s="15" t="n"/>
      <c r="L302" s="8" t="inlineStr">
        <is>
          <t>Data held</t>
        </is>
      </c>
      <c r="M302" s="8" t="inlineStr">
        <is>
          <t>CFOG</t>
        </is>
      </c>
      <c r="N302" s="11" t="inlineStr"/>
      <c r="O302" s="11" t="inlineStr"/>
      <c r="P302" s="11" t="inlineStr"/>
      <c r="Q302" s="11" t="inlineStr"/>
      <c r="R302" s="11" t="inlineStr"/>
      <c r="S302" s="11" t="inlineStr"/>
    </row>
    <row r="303">
      <c r="B303" s="13" t="inlineStr">
        <is>
          <t>RI1(b)</t>
        </is>
      </c>
      <c r="C303" s="8" t="inlineStr"/>
      <c r="D303" s="8" t="inlineStr"/>
      <c r="E303" s="18" t="inlineStr">
        <is>
          <t>Australian Equities</t>
        </is>
      </c>
      <c r="F303" s="8" t="inlineStr">
        <is>
          <t>tCO2-e</t>
        </is>
      </c>
      <c r="G303" s="14" t="n"/>
      <c r="H303" s="14" t="n">
        <v>101663</v>
      </c>
      <c r="I303" s="14" t="n">
        <v>82052</v>
      </c>
      <c r="J303" s="14" t="n">
        <v>57483</v>
      </c>
      <c r="K303" s="15" t="n"/>
      <c r="L303" s="8" t="inlineStr">
        <is>
          <t>Data held</t>
        </is>
      </c>
      <c r="M303" s="8" t="inlineStr">
        <is>
          <t>CFOG</t>
        </is>
      </c>
      <c r="N303" s="11" t="inlineStr"/>
      <c r="O303" s="11" t="inlineStr"/>
      <c r="P303" s="11" t="inlineStr"/>
      <c r="Q303" s="11" t="inlineStr"/>
      <c r="R303" s="11" t="inlineStr"/>
      <c r="S303" s="11" t="inlineStr"/>
    </row>
    <row r="304">
      <c r="B304" s="13" t="inlineStr">
        <is>
          <t>RI1(b)</t>
        </is>
      </c>
      <c r="C304" s="8" t="inlineStr"/>
      <c r="D304" s="8" t="inlineStr"/>
      <c r="E304" s="18" t="inlineStr">
        <is>
          <t>International Equities</t>
        </is>
      </c>
      <c r="F304" s="8" t="inlineStr">
        <is>
          <t>tCO2-e</t>
        </is>
      </c>
      <c r="G304" s="14" t="n"/>
      <c r="H304" s="14" t="n">
        <v>20070</v>
      </c>
      <c r="I304" s="14" t="n">
        <v>29867</v>
      </c>
      <c r="J304" s="14" t="n">
        <v>27910</v>
      </c>
      <c r="K304" s="15" t="n"/>
      <c r="L304" s="8" t="inlineStr">
        <is>
          <t>Data held</t>
        </is>
      </c>
      <c r="M304" s="8" t="inlineStr">
        <is>
          <t>CFOG</t>
        </is>
      </c>
      <c r="N304" s="11" t="inlineStr"/>
      <c r="O304" s="11" t="inlineStr"/>
      <c r="P304" s="11" t="inlineStr"/>
      <c r="Q304" s="11" t="inlineStr"/>
      <c r="R304" s="11" t="inlineStr"/>
      <c r="S304" s="11" t="inlineStr"/>
    </row>
    <row r="305">
      <c r="B305" s="13" t="inlineStr">
        <is>
          <t>RI1(b)</t>
        </is>
      </c>
      <c r="C305" s="8" t="inlineStr"/>
      <c r="D305" s="8" t="inlineStr"/>
      <c r="E305" s="18" t="inlineStr">
        <is>
          <t>Credit</t>
        </is>
      </c>
      <c r="F305" s="8" t="inlineStr">
        <is>
          <t>tCO2-e</t>
        </is>
      </c>
      <c r="G305" s="14" t="n"/>
      <c r="H305" s="14" t="inlineStr">
        <is>
          <t>N/A</t>
        </is>
      </c>
      <c r="I305" s="14" t="inlineStr">
        <is>
          <t>N/A</t>
        </is>
      </c>
      <c r="J305" s="14" t="n">
        <v>9312</v>
      </c>
      <c r="K305" s="15" t="n"/>
      <c r="L305" s="8" t="inlineStr">
        <is>
          <t>Data held</t>
        </is>
      </c>
      <c r="M305" s="8" t="inlineStr">
        <is>
          <t>CFOG</t>
        </is>
      </c>
      <c r="N305" s="11" t="inlineStr"/>
      <c r="O305" s="11" t="inlineStr"/>
      <c r="P305" s="11" t="inlineStr"/>
      <c r="Q305" s="11" t="inlineStr"/>
      <c r="R305" s="11" t="inlineStr"/>
      <c r="S305" s="11" t="inlineStr"/>
    </row>
    <row r="306">
      <c r="B306" s="13" t="inlineStr">
        <is>
          <t>RI1(b)</t>
        </is>
      </c>
      <c r="C306" s="8" t="inlineStr"/>
      <c r="D306" s="8" t="inlineStr"/>
      <c r="E306" s="18" t="inlineStr">
        <is>
          <t>Fixed Interest</t>
        </is>
      </c>
      <c r="F306" s="8" t="inlineStr">
        <is>
          <t>tCO2-e</t>
        </is>
      </c>
      <c r="G306" s="14" t="n"/>
      <c r="H306" s="14" t="inlineStr">
        <is>
          <t>N/A</t>
        </is>
      </c>
      <c r="I306" s="14" t="inlineStr">
        <is>
          <t>N/A</t>
        </is>
      </c>
      <c r="J306" s="14" t="n">
        <v>28676</v>
      </c>
      <c r="K306" s="15" t="n"/>
      <c r="L306" s="8" t="inlineStr">
        <is>
          <t>Data held</t>
        </is>
      </c>
      <c r="M306" s="8" t="inlineStr">
        <is>
          <t>CFOG</t>
        </is>
      </c>
      <c r="N306" s="11" t="inlineStr"/>
      <c r="O306" s="11" t="inlineStr"/>
      <c r="P306" s="11" t="inlineStr"/>
      <c r="Q306" s="11" t="inlineStr"/>
      <c r="R306" s="11" t="inlineStr"/>
      <c r="S306" s="11" t="inlineStr"/>
    </row>
    <row r="307">
      <c r="B307" s="13" t="inlineStr">
        <is>
          <t>RI1(b)</t>
        </is>
      </c>
      <c r="C307" s="8" t="inlineStr"/>
      <c r="D307" s="8" t="inlineStr"/>
      <c r="E307" s="8" t="inlineStr">
        <is>
          <t>Estimated UoM absolute financed carbon emissions intensity</t>
        </is>
      </c>
      <c r="F307" s="8" t="inlineStr">
        <is>
          <t>tCO2-e / AUD m invested</t>
        </is>
      </c>
      <c r="G307" s="14" t="n"/>
      <c r="H307" s="14" t="n">
        <v>55</v>
      </c>
      <c r="I307" s="14" t="n">
        <v>49</v>
      </c>
      <c r="J307" s="14" t="n">
        <v>38.2</v>
      </c>
      <c r="K307" s="15" t="n"/>
      <c r="L307" s="8" t="inlineStr">
        <is>
          <t>Data held</t>
        </is>
      </c>
      <c r="M307" s="8" t="inlineStr">
        <is>
          <t>CFOG</t>
        </is>
      </c>
      <c r="N307" s="11" t="inlineStr"/>
      <c r="O307" s="11" t="inlineStr"/>
      <c r="P307" s="11" t="inlineStr"/>
      <c r="Q307" s="11" t="inlineStr"/>
      <c r="R307" s="11" t="inlineStr"/>
      <c r="S307" s="11" t="inlineStr"/>
    </row>
    <row r="308">
      <c r="B308" s="13" t="inlineStr">
        <is>
          <t>RI1(b)</t>
        </is>
      </c>
      <c r="C308" s="8" t="inlineStr"/>
      <c r="D308" s="8" t="inlineStr"/>
      <c r="E308" s="18" t="inlineStr">
        <is>
          <t>Australian Equities</t>
        </is>
      </c>
      <c r="F308" s="8" t="inlineStr">
        <is>
          <t>tCO2-e / AUD m invested</t>
        </is>
      </c>
      <c r="G308" s="14" t="n"/>
      <c r="H308" s="14" t="n">
        <v>94</v>
      </c>
      <c r="I308" s="14" t="n">
        <v>72</v>
      </c>
      <c r="J308" s="14" t="n">
        <v>52.6</v>
      </c>
      <c r="K308" s="15" t="n"/>
      <c r="L308" s="8" t="inlineStr">
        <is>
          <t>Data held</t>
        </is>
      </c>
      <c r="M308" s="8" t="inlineStr">
        <is>
          <t>CFOG</t>
        </is>
      </c>
      <c r="N308" s="11" t="inlineStr"/>
      <c r="O308" s="11" t="inlineStr"/>
      <c r="P308" s="11" t="inlineStr"/>
      <c r="Q308" s="11" t="inlineStr"/>
      <c r="R308" s="11" t="inlineStr"/>
      <c r="S308" s="11" t="inlineStr"/>
    </row>
    <row r="309">
      <c r="B309" s="13" t="inlineStr">
        <is>
          <t>RI1(b)</t>
        </is>
      </c>
      <c r="C309" s="8" t="inlineStr"/>
      <c r="D309" s="8" t="inlineStr"/>
      <c r="E309" s="18" t="inlineStr">
        <is>
          <t>International Equities</t>
        </is>
      </c>
      <c r="F309" s="8" t="inlineStr">
        <is>
          <t>tCO2-e / AUD m invested</t>
        </is>
      </c>
      <c r="G309" s="14" t="n"/>
      <c r="H309" s="14" t="n">
        <v>18</v>
      </c>
      <c r="I309" s="14" t="n">
        <v>26</v>
      </c>
      <c r="J309" s="14" t="n">
        <v>23.4</v>
      </c>
      <c r="K309" s="15" t="n"/>
      <c r="L309" s="8" t="inlineStr">
        <is>
          <t>Data held</t>
        </is>
      </c>
      <c r="M309" s="8" t="inlineStr">
        <is>
          <t>CFOG</t>
        </is>
      </c>
      <c r="N309" s="11" t="inlineStr"/>
      <c r="O309" s="11" t="inlineStr"/>
      <c r="P309" s="11" t="inlineStr"/>
      <c r="Q309" s="11" t="inlineStr"/>
      <c r="R309" s="11" t="inlineStr"/>
      <c r="S309" s="11" t="inlineStr"/>
    </row>
    <row r="310">
      <c r="B310" s="13" t="inlineStr">
        <is>
          <t>RI1(b)</t>
        </is>
      </c>
      <c r="C310" s="8" t="inlineStr"/>
      <c r="D310" s="8" t="inlineStr"/>
      <c r="E310" s="18" t="inlineStr">
        <is>
          <t>Credit</t>
        </is>
      </c>
      <c r="F310" s="8" t="inlineStr">
        <is>
          <t>tCO2-e / AUD m invested</t>
        </is>
      </c>
      <c r="G310" s="14" t="n"/>
      <c r="H310" s="14" t="inlineStr">
        <is>
          <t>N/A</t>
        </is>
      </c>
      <c r="I310" s="14" t="inlineStr">
        <is>
          <t>N/A</t>
        </is>
      </c>
      <c r="J310" s="14" t="n">
        <v>43.1</v>
      </c>
      <c r="K310" s="15" t="n"/>
      <c r="L310" s="8" t="inlineStr">
        <is>
          <t>Data held</t>
        </is>
      </c>
      <c r="M310" s="8" t="inlineStr">
        <is>
          <t>CFOG</t>
        </is>
      </c>
      <c r="N310" s="11" t="inlineStr"/>
      <c r="O310" s="11" t="inlineStr"/>
      <c r="P310" s="11" t="inlineStr"/>
      <c r="Q310" s="11" t="inlineStr"/>
      <c r="R310" s="11" t="inlineStr"/>
      <c r="S310" s="11" t="inlineStr"/>
    </row>
    <row r="311">
      <c r="B311" s="13" t="inlineStr">
        <is>
          <t>RI1(b)</t>
        </is>
      </c>
      <c r="C311" s="8" t="inlineStr"/>
      <c r="D311" s="8" t="inlineStr"/>
      <c r="E311" s="18" t="inlineStr">
        <is>
          <t>Fixed Interest</t>
        </is>
      </c>
      <c r="F311" s="8" t="inlineStr">
        <is>
          <t>tCO2-e / AUD m invested</t>
        </is>
      </c>
      <c r="G311" s="14" t="n"/>
      <c r="H311" s="14" t="inlineStr">
        <is>
          <t>N/A</t>
        </is>
      </c>
      <c r="I311" s="14" t="inlineStr">
        <is>
          <t>N/A</t>
        </is>
      </c>
      <c r="J311" s="14" t="n">
        <v>54.3</v>
      </c>
      <c r="K311" s="15" t="n"/>
      <c r="L311" s="8" t="inlineStr">
        <is>
          <t>Data held</t>
        </is>
      </c>
      <c r="M311" s="8" t="inlineStr">
        <is>
          <t>CFOG</t>
        </is>
      </c>
      <c r="N311" s="11" t="inlineStr"/>
      <c r="O311" s="11" t="inlineStr"/>
      <c r="P311" s="11" t="inlineStr"/>
      <c r="Q311" s="11" t="inlineStr"/>
      <c r="R311" s="11" t="inlineStr"/>
      <c r="S311" s="11" t="inlineStr"/>
    </row>
    <row r="312">
      <c r="B312" s="13" t="inlineStr">
        <is>
          <t>RI1(b)</t>
        </is>
      </c>
      <c r="C312" s="8" t="inlineStr"/>
      <c r="D312" s="8" t="inlineStr"/>
      <c r="E312" s="8" t="inlineStr">
        <is>
          <t>Benchmark financed carbon emissions</t>
        </is>
      </c>
      <c r="F312" s="8" t="inlineStr">
        <is>
          <t>tCO2-e</t>
        </is>
      </c>
      <c r="G312" s="14" t="n"/>
      <c r="H312" s="14" t="n">
        <v>103250</v>
      </c>
      <c r="I312" s="14" t="n">
        <v>118609</v>
      </c>
      <c r="J312" s="14" t="n">
        <v>143399</v>
      </c>
      <c r="K312" s="15" t="n"/>
      <c r="L312" s="8" t="inlineStr">
        <is>
          <t>Data held</t>
        </is>
      </c>
      <c r="M312" s="8" t="inlineStr">
        <is>
          <t>CFOG</t>
        </is>
      </c>
      <c r="N312" s="11" t="inlineStr"/>
      <c r="O312" s="11" t="inlineStr"/>
      <c r="P312" s="11" t="inlineStr"/>
      <c r="Q312" s="11" t="inlineStr"/>
      <c r="R312" s="11" t="inlineStr"/>
      <c r="S312" s="11" t="inlineStr"/>
    </row>
    <row r="313">
      <c r="B313" s="13" t="inlineStr">
        <is>
          <t>RI1(b)</t>
        </is>
      </c>
      <c r="C313" s="8" t="inlineStr"/>
      <c r="D313" s="8" t="inlineStr"/>
      <c r="E313" s="18" t="inlineStr">
        <is>
          <t>Australian Equities</t>
        </is>
      </c>
      <c r="F313" s="8" t="inlineStr">
        <is>
          <t>tCO2-e</t>
        </is>
      </c>
      <c r="G313" s="14" t="n"/>
      <c r="H313" s="14" t="n">
        <v>62433</v>
      </c>
      <c r="I313" s="14" t="n">
        <v>76031</v>
      </c>
      <c r="J313" s="14" t="n">
        <v>49827</v>
      </c>
      <c r="K313" s="15" t="n"/>
      <c r="L313" s="8" t="inlineStr">
        <is>
          <t>Data held</t>
        </is>
      </c>
      <c r="M313" s="8" t="inlineStr">
        <is>
          <t>CFOG</t>
        </is>
      </c>
      <c r="N313" s="11" t="inlineStr"/>
      <c r="O313" s="11" t="inlineStr"/>
      <c r="P313" s="11" t="inlineStr"/>
      <c r="Q313" s="11" t="inlineStr"/>
      <c r="R313" s="11" t="inlineStr"/>
      <c r="S313" s="11" t="inlineStr"/>
    </row>
    <row r="314">
      <c r="B314" s="13" t="inlineStr">
        <is>
          <t>RI1(b)</t>
        </is>
      </c>
      <c r="C314" s="8" t="inlineStr"/>
      <c r="D314" s="8" t="inlineStr"/>
      <c r="E314" s="18" t="inlineStr">
        <is>
          <t>International Equities</t>
        </is>
      </c>
      <c r="F314" s="8" t="inlineStr">
        <is>
          <t>tCO2-e</t>
        </is>
      </c>
      <c r="G314" s="14" t="n"/>
      <c r="H314" s="14" t="n">
        <v>40817</v>
      </c>
      <c r="I314" s="14" t="n">
        <v>42578</v>
      </c>
      <c r="J314" s="14" t="n">
        <v>34989</v>
      </c>
      <c r="K314" s="15" t="n"/>
      <c r="L314" s="8" t="inlineStr">
        <is>
          <t>Data held</t>
        </is>
      </c>
      <c r="M314" s="8" t="inlineStr">
        <is>
          <t>CFOG</t>
        </is>
      </c>
      <c r="N314" s="11" t="inlineStr"/>
      <c r="O314" s="11" t="inlineStr"/>
      <c r="P314" s="11" t="inlineStr"/>
      <c r="Q314" s="11" t="inlineStr"/>
      <c r="R314" s="11" t="inlineStr"/>
      <c r="S314" s="11" t="inlineStr"/>
    </row>
    <row r="315">
      <c r="B315" s="13" t="inlineStr">
        <is>
          <t>RI1(b)</t>
        </is>
      </c>
      <c r="C315" s="8" t="inlineStr"/>
      <c r="D315" s="8" t="inlineStr"/>
      <c r="E315" s="18" t="inlineStr">
        <is>
          <t>Credit</t>
        </is>
      </c>
      <c r="F315" s="8" t="inlineStr">
        <is>
          <t>tCO2-e</t>
        </is>
      </c>
      <c r="G315" s="14" t="n"/>
      <c r="H315" s="14" t="inlineStr">
        <is>
          <t>N/A</t>
        </is>
      </c>
      <c r="I315" s="14" t="inlineStr">
        <is>
          <t>N/A</t>
        </is>
      </c>
      <c r="J315" s="14" t="inlineStr">
        <is>
          <t>N/A</t>
        </is>
      </c>
      <c r="K315" s="15" t="n"/>
      <c r="L315" s="8" t="inlineStr">
        <is>
          <t>No data yet</t>
        </is>
      </c>
      <c r="M315" s="8" t="inlineStr">
        <is>
          <t>CFOG</t>
        </is>
      </c>
      <c r="N315" s="11" t="inlineStr"/>
      <c r="O315" s="11" t="inlineStr"/>
      <c r="P315" s="11" t="inlineStr"/>
      <c r="Q315" s="11" t="inlineStr"/>
      <c r="R315" s="11" t="inlineStr"/>
      <c r="S315" s="11" t="inlineStr"/>
    </row>
    <row r="316">
      <c r="B316" s="13" t="inlineStr">
        <is>
          <t>RI1(b)</t>
        </is>
      </c>
      <c r="C316" s="8" t="inlineStr"/>
      <c r="D316" s="8" t="inlineStr"/>
      <c r="E316" s="18" t="inlineStr">
        <is>
          <t>Fixed Interest</t>
        </is>
      </c>
      <c r="F316" s="8" t="inlineStr">
        <is>
          <t>tCO2-e</t>
        </is>
      </c>
      <c r="G316" s="14" t="n"/>
      <c r="H316" s="14" t="inlineStr">
        <is>
          <t>N/A</t>
        </is>
      </c>
      <c r="I316" s="14" t="inlineStr">
        <is>
          <t>N/A</t>
        </is>
      </c>
      <c r="J316" s="14" t="n">
        <v>58583</v>
      </c>
      <c r="K316" s="15" t="n"/>
      <c r="L316" s="8" t="inlineStr">
        <is>
          <t>Data held</t>
        </is>
      </c>
      <c r="M316" s="8" t="inlineStr">
        <is>
          <t>CFOG</t>
        </is>
      </c>
      <c r="N316" s="11" t="inlineStr"/>
      <c r="O316" s="11" t="inlineStr"/>
      <c r="P316" s="11" t="inlineStr"/>
      <c r="Q316" s="11" t="inlineStr"/>
      <c r="R316" s="11" t="inlineStr"/>
      <c r="S316" s="11" t="inlineStr"/>
    </row>
    <row r="317">
      <c r="B317" s="13" t="inlineStr">
        <is>
          <t>RI1(b)</t>
        </is>
      </c>
      <c r="C317" s="8" t="inlineStr"/>
      <c r="D317" s="8" t="inlineStr"/>
      <c r="E317" s="8" t="inlineStr">
        <is>
          <t>Benchmark financed carbon emissions intensity</t>
        </is>
      </c>
      <c r="F317" s="8" t="inlineStr">
        <is>
          <t>tCO2-e / AUD m invested</t>
        </is>
      </c>
      <c r="G317" s="14" t="n"/>
      <c r="H317" s="14" t="n">
        <v>47</v>
      </c>
      <c r="I317" s="14" t="n">
        <v>51</v>
      </c>
      <c r="J317" s="14" t="n">
        <v>48.6</v>
      </c>
      <c r="K317" s="15" t="n"/>
      <c r="L317" s="8" t="inlineStr">
        <is>
          <t>Data held</t>
        </is>
      </c>
      <c r="M317" s="8" t="inlineStr">
        <is>
          <t>CFOG</t>
        </is>
      </c>
      <c r="N317" s="11" t="inlineStr"/>
      <c r="O317" s="11" t="inlineStr"/>
      <c r="P317" s="11" t="inlineStr"/>
      <c r="Q317" s="11" t="inlineStr"/>
      <c r="R317" s="11" t="inlineStr"/>
      <c r="S317" s="11" t="inlineStr"/>
    </row>
    <row r="318">
      <c r="B318" s="13" t="inlineStr">
        <is>
          <t>RI1(b)</t>
        </is>
      </c>
      <c r="C318" s="8" t="inlineStr"/>
      <c r="D318" s="8" t="inlineStr"/>
      <c r="E318" s="18" t="inlineStr">
        <is>
          <t>Australian Equities</t>
        </is>
      </c>
      <c r="F318" s="8" t="inlineStr">
        <is>
          <t>tCO2-e / AUD m invested</t>
        </is>
      </c>
      <c r="G318" s="14" t="n"/>
      <c r="H318" s="14" t="n">
        <v>58</v>
      </c>
      <c r="I318" s="14" t="n">
        <v>67</v>
      </c>
      <c r="J318" s="14" t="n">
        <v>45.6</v>
      </c>
      <c r="K318" s="15" t="n"/>
      <c r="L318" s="8" t="inlineStr">
        <is>
          <t>Data held</t>
        </is>
      </c>
      <c r="M318" s="8" t="inlineStr">
        <is>
          <t>CFOG</t>
        </is>
      </c>
      <c r="N318" s="11" t="inlineStr"/>
      <c r="O318" s="11" t="inlineStr"/>
      <c r="P318" s="11" t="inlineStr"/>
      <c r="Q318" s="11" t="inlineStr"/>
      <c r="R318" s="11" t="inlineStr"/>
      <c r="S318" s="11" t="inlineStr"/>
    </row>
    <row r="319">
      <c r="B319" s="13" t="inlineStr">
        <is>
          <t>RI1(b)</t>
        </is>
      </c>
      <c r="C319" s="8" t="inlineStr"/>
      <c r="D319" s="8" t="inlineStr"/>
      <c r="E319" s="18" t="inlineStr">
        <is>
          <t>International Equities</t>
        </is>
      </c>
      <c r="F319" s="8" t="inlineStr">
        <is>
          <t>tCO2-e / AUD m invested</t>
        </is>
      </c>
      <c r="G319" s="14" t="n"/>
      <c r="H319" s="14" t="n">
        <v>36</v>
      </c>
      <c r="I319" s="14" t="n">
        <v>37</v>
      </c>
      <c r="J319" s="14" t="n">
        <v>26</v>
      </c>
      <c r="K319" s="15" t="n"/>
      <c r="L319" s="8" t="inlineStr">
        <is>
          <t>Data held</t>
        </is>
      </c>
      <c r="M319" s="8" t="inlineStr">
        <is>
          <t>CFOG</t>
        </is>
      </c>
      <c r="N319" s="11" t="inlineStr"/>
      <c r="O319" s="11" t="inlineStr"/>
      <c r="P319" s="11" t="inlineStr"/>
      <c r="Q319" s="11" t="inlineStr"/>
      <c r="R319" s="11" t="inlineStr"/>
      <c r="S319" s="11" t="inlineStr"/>
    </row>
    <row r="320">
      <c r="B320" s="13" t="inlineStr">
        <is>
          <t>RI1(b)</t>
        </is>
      </c>
      <c r="C320" s="8" t="inlineStr"/>
      <c r="D320" s="8" t="inlineStr"/>
      <c r="E320" s="18" t="inlineStr">
        <is>
          <t>Credit</t>
        </is>
      </c>
      <c r="F320" s="8" t="inlineStr">
        <is>
          <t>tCO2-e / AUD m invested</t>
        </is>
      </c>
      <c r="G320" s="14" t="n"/>
      <c r="H320" s="14" t="inlineStr">
        <is>
          <t>N/A</t>
        </is>
      </c>
      <c r="I320" s="14" t="inlineStr">
        <is>
          <t>N/A</t>
        </is>
      </c>
      <c r="J320" s="14" t="inlineStr">
        <is>
          <t>N/A</t>
        </is>
      </c>
      <c r="K320" s="15" t="n"/>
      <c r="L320" s="8" t="inlineStr">
        <is>
          <t>No data yet</t>
        </is>
      </c>
      <c r="M320" s="8" t="inlineStr">
        <is>
          <t>CFOG</t>
        </is>
      </c>
      <c r="N320" s="11" t="inlineStr"/>
      <c r="O320" s="11" t="inlineStr"/>
      <c r="P320" s="11" t="inlineStr"/>
      <c r="Q320" s="11" t="inlineStr"/>
      <c r="R320" s="11" t="inlineStr"/>
      <c r="S320" s="11" t="inlineStr"/>
    </row>
    <row r="321">
      <c r="B321" s="13" t="inlineStr">
        <is>
          <t>RI1(b)</t>
        </is>
      </c>
      <c r="C321" s="8" t="inlineStr"/>
      <c r="D321" s="8" t="inlineStr"/>
      <c r="E321" s="18" t="inlineStr">
        <is>
          <t>Fixed Interest</t>
        </is>
      </c>
      <c r="F321" s="8" t="inlineStr">
        <is>
          <t>tCO2-e / AUD m invested</t>
        </is>
      </c>
      <c r="G321" s="14" t="n"/>
      <c r="H321" s="14" t="inlineStr">
        <is>
          <t>N/A</t>
        </is>
      </c>
      <c r="I321" s="14" t="inlineStr">
        <is>
          <t>N/A</t>
        </is>
      </c>
      <c r="J321" s="14" t="n">
        <v>112.9</v>
      </c>
      <c r="K321" s="15" t="n"/>
      <c r="L321" s="8" t="inlineStr">
        <is>
          <t>Data held</t>
        </is>
      </c>
      <c r="M321" s="8" t="inlineStr">
        <is>
          <t>CFOG</t>
        </is>
      </c>
      <c r="N321" s="11" t="inlineStr"/>
      <c r="O321" s="11" t="inlineStr"/>
      <c r="P321" s="11" t="inlineStr"/>
      <c r="Q321" s="11" t="inlineStr"/>
      <c r="R321" s="11" t="inlineStr"/>
      <c r="S321" s="11" t="inlineStr"/>
    </row>
    <row r="322">
      <c r="B322" s="13" t="inlineStr">
        <is>
          <t>EN1(b)</t>
        </is>
      </c>
      <c r="C322" s="8" t="inlineStr">
        <is>
          <t>Enablers</t>
        </is>
      </c>
      <c r="D322" s="8" t="inlineStr">
        <is>
          <t>Living laboratories enabling applied learning, research and operational sustainability outcomes</t>
        </is>
      </c>
      <c r="E322" s="8" t="inlineStr">
        <is>
          <t>Number of projects funded (CLLAP)</t>
        </is>
      </c>
      <c r="F322" s="8" t="inlineStr">
        <is>
          <t>#</t>
        </is>
      </c>
      <c r="G322" s="14" t="n"/>
      <c r="H322" s="14" t="n"/>
      <c r="I322" s="14" t="n"/>
      <c r="J322" s="14" t="n"/>
      <c r="K322" s="15" t="n"/>
      <c r="L322" s="8" t="inlineStr">
        <is>
          <t>No data yet</t>
        </is>
      </c>
      <c r="M322" s="8" t="inlineStr">
        <is>
          <t>CI&amp;S</t>
        </is>
      </c>
      <c r="N322" s="11" t="inlineStr"/>
      <c r="O322" s="11" t="inlineStr"/>
      <c r="P322" s="11" t="inlineStr"/>
      <c r="Q322" s="11" t="inlineStr"/>
      <c r="R322" s="11" t="inlineStr"/>
      <c r="S322" s="11" t="inlineStr"/>
    </row>
    <row r="323">
      <c r="B323" s="13" t="inlineStr">
        <is>
          <t>EN1(b)</t>
        </is>
      </c>
      <c r="C323" s="8" t="inlineStr"/>
      <c r="D323" s="8" t="inlineStr"/>
      <c r="E323" s="8" t="inlineStr">
        <is>
          <t>Total funding for projects</t>
        </is>
      </c>
      <c r="F323" s="8" t="inlineStr">
        <is>
          <t>$</t>
        </is>
      </c>
      <c r="G323" s="14" t="n"/>
      <c r="H323" s="14" t="n"/>
      <c r="I323" s="14" t="n"/>
      <c r="J323" s="14" t="n"/>
      <c r="K323" s="15" t="n"/>
      <c r="L323" s="8" t="inlineStr">
        <is>
          <t>No data yet</t>
        </is>
      </c>
      <c r="M323" s="8" t="inlineStr">
        <is>
          <t>CI&amp;S</t>
        </is>
      </c>
      <c r="N323" s="11" t="inlineStr"/>
      <c r="O323" s="11" t="inlineStr"/>
      <c r="P323" s="11" t="inlineStr"/>
      <c r="Q323" s="11" t="inlineStr"/>
      <c r="R323" s="11" t="inlineStr"/>
      <c r="S323" s="11"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c r="A1" s="1" t="inlineStr">
        <is>
          <t>↑</t>
        </is>
      </c>
      <c r="B1" s="2" t="inlineStr">
        <is>
          <t>End-2026 target status assessment and reporting</t>
        </is>
      </c>
    </row>
    <row r="2">
      <c r="B2" s="3" t="inlineStr">
        <is>
          <t>3. Stakeholder map (SR25 → SR26)</t>
        </is>
      </c>
    </row>
    <row r="4">
      <c r="B4" s="6" t="inlineStr">
        <is>
          <t>SR26 unit</t>
        </is>
      </c>
      <c r="C4" s="6" t="inlineStr">
        <is>
          <t>SR26 full name</t>
        </is>
      </c>
      <c r="D4" s="6" t="inlineStr">
        <is>
          <t>SR25 equivalent (2025 master)</t>
        </is>
      </c>
      <c r="E4" s="6" t="inlineStr">
        <is>
          <t>Section / team</t>
        </is>
      </c>
      <c r="F4" s="6" t="inlineStr">
        <is>
          <t>Key contact</t>
        </is>
      </c>
      <c r="G4" s="6" t="inlineStr">
        <is>
          <t>Status / notes</t>
        </is>
      </c>
    </row>
    <row r="5">
      <c r="B5" s="8" t="inlineStr">
        <is>
          <t>Faculty</t>
        </is>
      </c>
      <c r="C5" s="8" t="inlineStr">
        <is>
          <t>Faculty of Architecture, Building and Planning</t>
        </is>
      </c>
      <c r="D5" s="8" t="inlineStr">
        <is>
          <t>Faculties tab – ABP</t>
        </is>
      </c>
      <c r="E5" s="8" t="inlineStr">
        <is>
          <t>Associate Dean Sustainability / faculty sustainability lead</t>
        </is>
      </c>
      <c r="F5" s="8" t="inlineStr">
        <is>
          <t>TBC</t>
        </is>
      </c>
      <c r="G5" s="8" t="inlineStr">
        <is>
          <t>Pilot faculty</t>
        </is>
      </c>
    </row>
    <row r="6">
      <c r="B6" s="8" t="inlineStr">
        <is>
          <t>Faculty</t>
        </is>
      </c>
      <c r="C6" s="8" t="inlineStr">
        <is>
          <t>Faculty of Arts</t>
        </is>
      </c>
      <c r="D6" s="8" t="inlineStr">
        <is>
          <t>Faculties tab – ARTS</t>
        </is>
      </c>
      <c r="E6" s="8" t="inlineStr">
        <is>
          <t>Associate Dean Sustainability / faculty sustainability lead</t>
        </is>
      </c>
      <c r="F6" s="8" t="inlineStr">
        <is>
          <t>TBC</t>
        </is>
      </c>
      <c r="G6" s="8" t="inlineStr">
        <is>
          <t>Pilot faculty</t>
        </is>
      </c>
    </row>
    <row r="7">
      <c r="B7" s="8" t="inlineStr">
        <is>
          <t>Faculty</t>
        </is>
      </c>
      <c r="C7" s="8" t="inlineStr">
        <is>
          <t>Faculty of Business and Economics</t>
        </is>
      </c>
      <c r="D7" s="8" t="inlineStr">
        <is>
          <t>Faculties tab – FBE</t>
        </is>
      </c>
      <c r="E7" s="8" t="inlineStr">
        <is>
          <t>Associate Dean Sustainability / faculty sustainability lead</t>
        </is>
      </c>
      <c r="F7" s="8" t="inlineStr">
        <is>
          <t>TBC</t>
        </is>
      </c>
      <c r="G7" s="8" t="inlineStr">
        <is>
          <t>Pilot faculty</t>
        </is>
      </c>
    </row>
    <row r="8">
      <c r="B8" s="8" t="inlineStr">
        <is>
          <t>Faculty</t>
        </is>
      </c>
      <c r="C8" s="8" t="inlineStr">
        <is>
          <t>Faculty of Science</t>
        </is>
      </c>
      <c r="D8" s="8" t="inlineStr">
        <is>
          <t>Faculties tab – SCI</t>
        </is>
      </c>
      <c r="E8" s="8" t="inlineStr">
        <is>
          <t>Associate Dean Sustainability / faculty sustainability lead</t>
        </is>
      </c>
      <c r="F8" s="8" t="inlineStr">
        <is>
          <t>TBC</t>
        </is>
      </c>
      <c r="G8" s="8" t="inlineStr">
        <is>
          <t>Pilot faculty</t>
        </is>
      </c>
    </row>
    <row r="9">
      <c r="B9" s="8" t="inlineStr">
        <is>
          <t>CI&amp;S</t>
        </is>
      </c>
      <c r="C9" s="8" t="inlineStr">
        <is>
          <t>Commercial, Infrastructure &amp; Sustainability (CI&amp;S)</t>
        </is>
      </c>
      <c r="D9" s="8" t="inlineStr">
        <is>
          <t>Corporate Development (CD Development &amp; Estate Planning teams; CD Sustainability Strategy)</t>
        </is>
      </c>
      <c r="E9" s="8" t="inlineStr">
        <is>
          <t>CI&amp;S – Estate Planning &amp; Development (TBC: confirm with Gerard)</t>
        </is>
      </c>
      <c r="F9" s="8" t="inlineStr">
        <is>
          <t>TBC</t>
        </is>
      </c>
      <c r="G9" s="8" t="inlineStr"/>
    </row>
    <row r="10">
      <c r="B10" s="8" t="inlineStr">
        <is>
          <t>CI&amp;S</t>
        </is>
      </c>
      <c r="C10" s="8" t="inlineStr">
        <is>
          <t>Commercial, Infrastructure &amp; Sustainability (CI&amp;S)</t>
        </is>
      </c>
      <c r="D10" s="8" t="inlineStr">
        <is>
          <t>Corporate Development (CD Development &amp; Estate Planning teams; CD Sustainability Strategy)</t>
        </is>
      </c>
      <c r="E10" s="8" t="inlineStr">
        <is>
          <t>CI&amp;S – Sustainability Strategy (incl. CLLAP)</t>
        </is>
      </c>
      <c r="F10" s="8" t="inlineStr">
        <is>
          <t>TBC</t>
        </is>
      </c>
      <c r="G10" s="8" t="inlineStr"/>
    </row>
    <row r="11">
      <c r="B11" s="8" t="inlineStr">
        <is>
          <t>CFOG</t>
        </is>
      </c>
      <c r="C11" s="8" t="inlineStr">
        <is>
          <t>Chief Finance Officer Group (CFOG)</t>
        </is>
      </c>
      <c r="D11" s="8" t="inlineStr">
        <is>
          <t>CFOG (Procurement; Accounting; Treasury &amp; Investments; Enterprise Portfolio &amp; Investments)</t>
        </is>
      </c>
      <c r="E11" s="8" t="inlineStr">
        <is>
          <t>CFOG – Procurement</t>
        </is>
      </c>
      <c r="F11" s="8" t="inlineStr">
        <is>
          <t>TBC</t>
        </is>
      </c>
      <c r="G11" s="8" t="inlineStr"/>
    </row>
    <row r="12">
      <c r="B12" s="8" t="inlineStr">
        <is>
          <t>CFOG</t>
        </is>
      </c>
      <c r="C12" s="8" t="inlineStr">
        <is>
          <t>Chief Finance Officer Group (CFOG)</t>
        </is>
      </c>
      <c r="D12" s="8" t="inlineStr">
        <is>
          <t>CFOG (Procurement; Accounting; Treasury &amp; Investments; Enterprise Portfolio &amp; Investments)</t>
        </is>
      </c>
      <c r="E12" s="8" t="inlineStr">
        <is>
          <t>CFOG – Treasury &amp; Investments</t>
        </is>
      </c>
      <c r="F12" s="8" t="inlineStr">
        <is>
          <t>TBC</t>
        </is>
      </c>
      <c r="G12" s="8" t="inlineStr"/>
    </row>
    <row r="13">
      <c r="B13" s="8" t="inlineStr">
        <is>
          <t>ESG</t>
        </is>
      </c>
      <c r="C13" s="8" t="inlineStr">
        <is>
          <t>Enterprise Services Group (ESG)</t>
        </is>
      </c>
      <c r="D13" s="8" t="inlineStr">
        <is>
          <t>Business Services – Sustainability Delivery (nature &amp; biodiversity, waste &amp; circular economy, part of quant. climate leadership)</t>
        </is>
      </c>
      <c r="E13" s="8" t="inlineStr">
        <is>
          <t>ESG – Campus Operations &amp; Sustainability Delivery</t>
        </is>
      </c>
      <c r="F13" s="8" t="inlineStr">
        <is>
          <t>TBC</t>
        </is>
      </c>
      <c r="G13" s="8" t="inlineStr"/>
    </row>
    <row r="14">
      <c r="B14" s="8" t="inlineStr">
        <is>
          <t>CIOG</t>
        </is>
      </c>
      <c r="C14" s="8" t="inlineStr">
        <is>
          <t>Chief Information Officer Group (CIOG)</t>
        </is>
      </c>
      <c r="D14" s="8" t="inlineStr">
        <is>
          <t>Business Services (AI – not requested in SR25)</t>
        </is>
      </c>
      <c r="E14" s="8" t="inlineStr">
        <is>
          <t>CIOG – Responsible AI &amp; digital</t>
        </is>
      </c>
      <c r="F14" s="8" t="inlineStr">
        <is>
          <t>TBC</t>
        </is>
      </c>
      <c r="G14" s="8" t="inlineStr"/>
    </row>
    <row r="15">
      <c r="B15" s="8" t="inlineStr">
        <is>
          <t>MRE</t>
        </is>
      </c>
      <c r="C15" s="8" t="inlineStr">
        <is>
          <t>Melbourne Research and Enterprise (MRE)</t>
        </is>
      </c>
      <c r="D15" s="8" t="inlineStr">
        <is>
          <t>Chancellery Research and Enterprise</t>
        </is>
      </c>
      <c r="E15" s="8" t="inlineStr">
        <is>
          <t>MRE – Research (incl. MBI – TBC)</t>
        </is>
      </c>
      <c r="F15" s="8" t="inlineStr">
        <is>
          <t>TBC</t>
        </is>
      </c>
      <c r="G15" s="8" t="inlineStr"/>
    </row>
    <row r="16">
      <c r="B16" s="8" t="inlineStr">
        <is>
          <t>AC&amp;M</t>
        </is>
      </c>
      <c r="C16" s="8" t="inlineStr">
        <is>
          <t>Advancement, Communication and Marketing (AC&amp;M)</t>
        </is>
      </c>
      <c r="D16" s="8" t="inlineStr">
        <is>
          <t>Chancellery – Advancement, Communications &amp; Marketing</t>
        </is>
      </c>
      <c r="E16" s="8" t="inlineStr">
        <is>
          <t>AC&amp;M – Advancement, Communication and Marketing</t>
        </is>
      </c>
      <c r="F16" s="8" t="inlineStr">
        <is>
          <t>TBC</t>
        </is>
      </c>
      <c r="G16" s="8" t="inlineStr"/>
    </row>
    <row r="17">
      <c r="B17" s="8" t="inlineStr">
        <is>
          <t>GCE</t>
        </is>
      </c>
      <c r="C17" s="8" t="inlineStr">
        <is>
          <t>Global, Culture and Engagement (GCE)</t>
        </is>
      </c>
      <c r="D17" s="8" t="inlineStr">
        <is>
          <t>Chancellery – Global, Culture and Engagement</t>
        </is>
      </c>
      <c r="E17" s="8" t="inlineStr">
        <is>
          <t>GCE – Global, Culture and Engagement</t>
        </is>
      </c>
      <c r="F17" s="8" t="inlineStr">
        <is>
          <t>TBC</t>
        </is>
      </c>
      <c r="G17" s="8" t="inlineStr"/>
    </row>
    <row r="18">
      <c r="B18" s="8" t="inlineStr">
        <is>
          <t>Education</t>
        </is>
      </c>
      <c r="C18" s="8" t="inlineStr">
        <is>
          <t>Chancellery Education</t>
        </is>
      </c>
      <c r="D18" s="8" t="inlineStr">
        <is>
          <t>Chancellery – Chancellery Education</t>
        </is>
      </c>
      <c r="E18" s="8" t="inlineStr">
        <is>
          <t>Education – Chancellery Education</t>
        </is>
      </c>
      <c r="F18" s="8" t="inlineStr">
        <is>
          <t>TBC</t>
        </is>
      </c>
      <c r="G18" s="8" t="inlineStr"/>
    </row>
    <row r="19">
      <c r="B19" s="8" t="inlineStr">
        <is>
          <t>SaSS</t>
        </is>
      </c>
      <c r="C19" s="8" t="inlineStr">
        <is>
          <t>Student and Scholarly Services (SaSS)</t>
        </is>
      </c>
      <c r="D19" s="8" t="inlineStr">
        <is>
          <t>Chancellery – Student and scholarly services</t>
        </is>
      </c>
      <c r="E19" s="8" t="inlineStr">
        <is>
          <t>SaSS – Student and Scholarly Services</t>
        </is>
      </c>
      <c r="F19" s="8" t="inlineStr">
        <is>
          <t>TBC</t>
        </is>
      </c>
      <c r="G19" s="8" t="inlineStr"/>
    </row>
    <row r="20">
      <c r="B20" s="8" t="inlineStr">
        <is>
          <t>Indigenous</t>
        </is>
      </c>
      <c r="C20" s="8" t="inlineStr">
        <is>
          <t>Chancellery Indigenous</t>
        </is>
      </c>
      <c r="D20" s="8" t="inlineStr">
        <is>
          <t>Chancellery – Chancellery Indigenous</t>
        </is>
      </c>
      <c r="E20" s="8" t="inlineStr">
        <is>
          <t>Indigenous – Chancellery Indigenous</t>
        </is>
      </c>
      <c r="F20" s="8" t="inlineStr">
        <is>
          <t>TBC</t>
        </is>
      </c>
      <c r="G20" s="8" t="inlineStr"/>
    </row>
    <row r="21">
      <c r="B21" s="8" t="inlineStr">
        <is>
          <t>L&amp;R</t>
        </is>
      </c>
      <c r="C21" s="8" t="inlineStr">
        <is>
          <t>Legal and Risk</t>
        </is>
      </c>
      <c r="D21" s="8" t="inlineStr">
        <is>
          <t>Legal and Risk</t>
        </is>
      </c>
      <c r="E21" s="8" t="inlineStr">
        <is>
          <t>Legal &amp; Risk – Risk &amp; resilience</t>
        </is>
      </c>
      <c r="F21" s="8" t="inlineStr">
        <is>
          <t>TBC</t>
        </is>
      </c>
      <c r="G21" s="8" t="inlineStr"/>
    </row>
    <row r="22">
      <c r="B22" s="8" t="inlineStr">
        <is>
          <t>TBC</t>
        </is>
      </c>
      <c r="C22" s="8" t="inlineStr">
        <is>
          <t>CGOP / CDEP / CDSS</t>
        </is>
      </c>
      <c r="D22" s="8" t="inlineStr">
        <is>
          <t>Not in SR25 master</t>
        </is>
      </c>
      <c r="E22" s="8" t="inlineStr">
        <is>
          <t>—</t>
        </is>
      </c>
      <c r="F22" s="8" t="inlineStr">
        <is>
          <t>TBC</t>
        </is>
      </c>
      <c r="G22" s="8" t="inlineStr">
        <is>
          <t>Structure changes TBC – confirm before requests are issued.</t>
        </is>
      </c>
    </row>
    <row r="25">
      <c r="B25" s="20"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Y101"/>
  <sheetViews>
    <sheetView showGridLines="0" workbookViewId="0">
      <pane xSplit="8" ySplit="6" topLeftCell="I7"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8" customWidth="1" min="9" max="9"/>
    <col width="13" customWidth="1" min="10" max="10"/>
    <col outlineLevel="1" width="13" customWidth="1" min="11" max="11"/>
    <col outlineLevel="1" width="13" customWidth="1" min="12" max="12"/>
    <col outlineLevel="1" width="13" customWidth="1" min="13" max="13"/>
    <col outlineLevel="1" width="13" customWidth="1" min="14" max="14"/>
    <col outlineLevel="1" width="13" customWidth="1" min="15" max="15"/>
    <col outlineLevel="1" width="13" customWidth="1" min="16" max="16"/>
    <col outlineLevel="1" width="13" customWidth="1" min="17" max="17"/>
    <col width="13" customWidth="1" min="18" max="18"/>
    <col outlineLevel="1" width="13" customWidth="1" min="19" max="19"/>
    <col outlineLevel="1" width="13" customWidth="1" min="20" max="20"/>
    <col outlineLevel="1" width="13" customWidth="1" min="21" max="21"/>
    <col outlineLevel="1" width="13" customWidth="1" min="22" max="22"/>
    <col outlineLevel="1" width="13" customWidth="1" min="23" max="23"/>
    <col outlineLevel="1" width="13" customWidth="1" min="24" max="24"/>
    <col outlineLevel="1" width="13" customWidth="1" min="25" max="25"/>
  </cols>
  <sheetData>
    <row r="1">
      <c r="B1" s="21" t="inlineStr">
        <is>
          <t>Sustainability 2030 – SR26 reporting roles (RASCI)</t>
        </is>
      </c>
    </row>
    <row r="2" ht="48" customHeight="1">
      <c r="B2" s="9"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ht="45" customHeight="1">
      <c r="H3" t="inlineStr">
        <is>
          <t>SST contact (SR25 – confirm) &gt;&gt;</t>
        </is>
      </c>
      <c r="I3" s="22" t="inlineStr">
        <is>
          <t>ABP Gerard; Arts Rose; FBE Katie; SCI Katie</t>
        </is>
      </c>
      <c r="J3" s="22" t="inlineStr">
        <is>
          <t>Director</t>
        </is>
      </c>
      <c r="K3" s="22" t="inlineStr">
        <is>
          <t>Gerard and Davina</t>
        </is>
      </c>
      <c r="L3" s="22" t="inlineStr">
        <is>
          <t>Director</t>
        </is>
      </c>
      <c r="M3" s="22" t="inlineStr">
        <is>
          <t>Chris</t>
        </is>
      </c>
      <c r="N3" s="22" t="inlineStr">
        <is>
          <t>Chris</t>
        </is>
      </c>
      <c r="O3" s="22" t="inlineStr">
        <is>
          <t>All</t>
        </is>
      </c>
      <c r="P3" s="22" t="inlineStr">
        <is>
          <t>TBC</t>
        </is>
      </c>
      <c r="Q3" s="22" t="inlineStr">
        <is>
          <t>Gerard</t>
        </is>
      </c>
      <c r="R3" s="22" t="inlineStr">
        <is>
          <t>Director</t>
        </is>
      </c>
      <c r="S3" s="22" t="inlineStr">
        <is>
          <t>Director</t>
        </is>
      </c>
      <c r="T3" s="22" t="inlineStr">
        <is>
          <t>Rose</t>
        </is>
      </c>
      <c r="U3" s="22" t="inlineStr">
        <is>
          <t>Gerard</t>
        </is>
      </c>
      <c r="V3" s="22" t="inlineStr">
        <is>
          <t>Katie</t>
        </is>
      </c>
      <c r="W3" s="22" t="inlineStr">
        <is>
          <t>Rose</t>
        </is>
      </c>
      <c r="X3" s="22" t="inlineStr">
        <is>
          <t>Gerard</t>
        </is>
      </c>
      <c r="Y3" s="22" t="inlineStr">
        <is>
          <t>All</t>
        </is>
      </c>
    </row>
    <row r="4">
      <c r="H4" t="inlineStr">
        <is>
          <t>Portfolio / Faculty &gt;&gt;</t>
        </is>
      </c>
      <c r="I4" s="22" t="inlineStr">
        <is>
          <t>Faculty (consolidated)</t>
        </is>
      </c>
      <c r="J4" s="22" t="inlineStr">
        <is>
          <t>COO portfolio (consolidated)</t>
        </is>
      </c>
      <c r="K4" s="22" t="inlineStr">
        <is>
          <t>COO portfolio</t>
        </is>
      </c>
      <c r="L4" s="22" t="inlineStr">
        <is>
          <t>COO portfolio</t>
        </is>
      </c>
      <c r="M4" s="22" t="inlineStr">
        <is>
          <t>COO portfolio</t>
        </is>
      </c>
      <c r="N4" s="22" t="inlineStr">
        <is>
          <t>COO portfolio</t>
        </is>
      </c>
      <c r="O4" s="22" t="inlineStr">
        <is>
          <t>COO portfolio</t>
        </is>
      </c>
      <c r="P4" s="22" t="inlineStr">
        <is>
          <t>COO portfolio</t>
        </is>
      </c>
      <c r="Q4" s="22" t="inlineStr">
        <is>
          <t>COO portfolio</t>
        </is>
      </c>
      <c r="R4" s="22" t="inlineStr">
        <is>
          <t>Chancellery (consolidated)</t>
        </is>
      </c>
      <c r="S4" s="22" t="inlineStr">
        <is>
          <t>Chancellery</t>
        </is>
      </c>
      <c r="T4" s="22" t="inlineStr">
        <is>
          <t>Chancellery</t>
        </is>
      </c>
      <c r="U4" s="22" t="inlineStr">
        <is>
          <t>Chancellery</t>
        </is>
      </c>
      <c r="V4" s="22" t="inlineStr">
        <is>
          <t>Chancellery</t>
        </is>
      </c>
      <c r="W4" s="22" t="inlineStr">
        <is>
          <t>Chancellery</t>
        </is>
      </c>
      <c r="X4" s="22" t="inlineStr">
        <is>
          <t>Chancellery</t>
        </is>
      </c>
      <c r="Y4" s="22" t="inlineStr">
        <is>
          <t>Sustainability Strategy</t>
        </is>
      </c>
    </row>
    <row r="5">
      <c r="I5" s="23" t="inlineStr">
        <is>
          <t>Areas Accountable and/or Responsible for SR26 reporting (green = consolidated portfolio, white = individual area)</t>
        </is>
      </c>
    </row>
    <row r="6" ht="60" customHeight="1">
      <c r="A6" s="6" t="inlineStr">
        <is>
          <t>Number</t>
        </is>
      </c>
      <c r="B6" s="6" t="inlineStr">
        <is>
          <t>Category</t>
        </is>
      </c>
      <c r="C6" s="6" t="inlineStr">
        <is>
          <t>Domain</t>
        </is>
      </c>
      <c r="D6" s="6" t="inlineStr">
        <is>
          <t>Priority area</t>
        </is>
      </c>
      <c r="E6" s="6" t="inlineStr">
        <is>
          <t>Target / indicator</t>
        </is>
      </c>
      <c r="F6" s="6" t="inlineStr">
        <is>
          <t>Type</t>
        </is>
      </c>
      <c r="G6" s="6" t="inlineStr">
        <is>
          <t>Related SR25 ref</t>
        </is>
      </c>
      <c r="H6" s="6" t="inlineStr">
        <is>
          <t>Activity area &gt;&gt;</t>
        </is>
      </c>
      <c r="I6" s="24" t="inlineStr">
        <is>
          <t>Faculties (ABP, ARTS, FBE, SCI)</t>
        </is>
      </c>
      <c r="J6" s="24" t="inlineStr">
        <is>
          <t>COO portfolio (all)</t>
        </is>
      </c>
      <c r="K6" s="25" t="inlineStr">
        <is>
          <t>CI&amp;S – Estate Planning &amp; Development</t>
        </is>
      </c>
      <c r="L6" s="25" t="inlineStr">
        <is>
          <t>CI&amp;S – Sustainability Strategy</t>
        </is>
      </c>
      <c r="M6" s="25" t="inlineStr">
        <is>
          <t>CFOG – Procurement</t>
        </is>
      </c>
      <c r="N6" s="25" t="inlineStr">
        <is>
          <t>CFOG – Treasury &amp; Investments</t>
        </is>
      </c>
      <c r="O6" s="25" t="inlineStr">
        <is>
          <t>ESG – Campus Operations &amp; Sustainability Delivery</t>
        </is>
      </c>
      <c r="P6" s="25" t="inlineStr">
        <is>
          <t>CIOG – Responsible AI &amp; digital</t>
        </is>
      </c>
      <c r="Q6" s="25" t="inlineStr">
        <is>
          <t>Legal &amp; Risk – Risk &amp; resilience</t>
        </is>
      </c>
      <c r="R6" s="24" t="inlineStr">
        <is>
          <t>Chancellery (all)</t>
        </is>
      </c>
      <c r="S6" s="25" t="inlineStr">
        <is>
          <t>MRE – Research</t>
        </is>
      </c>
      <c r="T6" s="25" t="inlineStr">
        <is>
          <t>AC&amp;M – Advancement, Communication and Marketing</t>
        </is>
      </c>
      <c r="U6" s="25" t="inlineStr">
        <is>
          <t>GCE – Global, Culture and Engagement</t>
        </is>
      </c>
      <c r="V6" s="25" t="inlineStr">
        <is>
          <t>Education – Chancellery Education</t>
        </is>
      </c>
      <c r="W6" s="25" t="inlineStr">
        <is>
          <t>SaSS – Student and Scholarly Services</t>
        </is>
      </c>
      <c r="X6" s="25" t="inlineStr">
        <is>
          <t>Indigenous – Chancellery Indigenous</t>
        </is>
      </c>
      <c r="Y6" s="25" t="inlineStr">
        <is>
          <t>SST (compiles / Databook)</t>
        </is>
      </c>
    </row>
    <row r="7">
      <c r="A7" s="26" t="inlineStr">
        <is>
          <t>D1</t>
        </is>
      </c>
      <c r="B7" s="26" t="inlineStr">
        <is>
          <t>Domain</t>
        </is>
      </c>
      <c r="C7" s="26" t="inlineStr"/>
      <c r="D7" s="26" t="inlineStr"/>
      <c r="E7" s="26" t="inlineStr">
        <is>
          <t>Education and research</t>
        </is>
      </c>
      <c r="F7" s="26" t="n"/>
      <c r="G7" s="26" t="n"/>
      <c r="H7" s="26" t="n"/>
      <c r="I7" s="26" t="n"/>
      <c r="J7" s="26" t="n"/>
      <c r="K7" s="26" t="n"/>
      <c r="L7" s="26" t="n"/>
      <c r="M7" s="26" t="n"/>
      <c r="N7" s="26" t="n"/>
      <c r="O7" s="26" t="n"/>
      <c r="P7" s="26" t="n"/>
      <c r="Q7" s="26" t="n"/>
      <c r="R7" s="26" t="n"/>
      <c r="S7" s="26" t="n"/>
      <c r="T7" s="26" t="n"/>
      <c r="U7" s="26" t="n"/>
      <c r="V7" s="26" t="n"/>
      <c r="W7" s="26" t="n"/>
      <c r="X7" s="26" t="n"/>
      <c r="Y7" s="26" t="n"/>
    </row>
    <row r="8">
      <c r="A8" s="27" t="inlineStr">
        <is>
          <t>EE</t>
        </is>
      </c>
      <c r="B8" s="27" t="inlineStr">
        <is>
          <t>Priority</t>
        </is>
      </c>
      <c r="C8" s="27" t="inlineStr"/>
      <c r="D8" s="27" t="inlineStr"/>
      <c r="E8" s="27" t="inlineStr">
        <is>
          <t>Exceptional education</t>
        </is>
      </c>
      <c r="F8" s="27" t="n"/>
      <c r="G8" s="27" t="n"/>
      <c r="H8" s="27" t="n"/>
      <c r="I8" s="27" t="n"/>
      <c r="J8" s="27" t="n"/>
      <c r="K8" s="27" t="n"/>
      <c r="L8" s="27" t="n"/>
      <c r="M8" s="27" t="n"/>
      <c r="N8" s="27" t="n"/>
      <c r="O8" s="27" t="n"/>
      <c r="P8" s="27" t="n"/>
      <c r="Q8" s="27" t="n"/>
      <c r="R8" s="27" t="n"/>
      <c r="S8" s="27" t="n"/>
      <c r="T8" s="27" t="n"/>
      <c r="U8" s="27" t="n"/>
      <c r="V8" s="27" t="n"/>
      <c r="W8" s="27" t="n"/>
      <c r="X8" s="27" t="n"/>
      <c r="Y8" s="27" t="n"/>
    </row>
    <row r="9" ht="45" customHeight="1">
      <c r="A9" s="28" t="inlineStr">
        <is>
          <t>EE1</t>
        </is>
      </c>
      <c r="B9" s="28" t="inlineStr">
        <is>
          <t>Target</t>
        </is>
      </c>
      <c r="C9" s="28" t="inlineStr">
        <is>
          <t>Education and research</t>
        </is>
      </c>
      <c r="D9" s="28" t="inlineStr">
        <is>
          <t>Exceptional education</t>
        </is>
      </c>
      <c r="E9" s="28" t="inlineStr">
        <is>
          <t>Provide our students with learning experiences that help them build the knowledge, skills and relationships to lead change for sustainable societies.</t>
        </is>
      </c>
    </row>
    <row r="10" ht="42" customHeight="1">
      <c r="A10" s="29" t="inlineStr">
        <is>
          <t>EE1(a)</t>
        </is>
      </c>
      <c r="B10" s="29" t="inlineStr">
        <is>
          <t>Indicator</t>
        </is>
      </c>
      <c r="C10" s="29" t="inlineStr">
        <is>
          <t>Education and research</t>
        </is>
      </c>
      <c r="D10" s="29" t="inlineStr">
        <is>
          <t>Exceptional education</t>
        </is>
      </c>
      <c r="E10" s="29" t="inlineStr">
        <is>
          <t>Evidence of innovative approaches to sustainability teaching and learning</t>
        </is>
      </c>
      <c r="F10" s="29" t="inlineStr">
        <is>
          <t>Qualitative</t>
        </is>
      </c>
      <c r="G10" s="29" t="inlineStr">
        <is>
          <t>4a(ii)</t>
        </is>
      </c>
      <c r="I10" s="30" t="inlineStr">
        <is>
          <t>R</t>
        </is>
      </c>
      <c r="J10" s="30" t="inlineStr">
        <is>
          <t>A and R</t>
        </is>
      </c>
      <c r="K10" s="30" t="n"/>
      <c r="L10" s="30" t="inlineStr">
        <is>
          <t>R</t>
        </is>
      </c>
      <c r="M10" s="30" t="n"/>
      <c r="N10" s="30" t="n"/>
      <c r="O10" s="30" t="n"/>
      <c r="P10" s="30" t="n"/>
      <c r="Q10" s="30" t="n"/>
      <c r="R10" s="30" t="inlineStr">
        <is>
          <t>A and R</t>
        </is>
      </c>
      <c r="S10" s="30" t="n"/>
      <c r="T10" s="30" t="n"/>
      <c r="U10" s="30" t="n"/>
      <c r="V10" s="30" t="inlineStr">
        <is>
          <t>R</t>
        </is>
      </c>
      <c r="W10" s="30" t="n"/>
      <c r="X10" s="30" t="n"/>
      <c r="Y10" s="30" t="inlineStr">
        <is>
          <t>S</t>
        </is>
      </c>
    </row>
    <row r="11" ht="42" customHeight="1">
      <c r="A11" s="29" t="inlineStr">
        <is>
          <t>EE1(b)</t>
        </is>
      </c>
      <c r="B11" s="29" t="inlineStr">
        <is>
          <t>Indicator</t>
        </is>
      </c>
      <c r="C11" s="29" t="inlineStr">
        <is>
          <t>Education and research</t>
        </is>
      </c>
      <c r="D11" s="29" t="inlineStr">
        <is>
          <t>Exceptional education</t>
        </is>
      </c>
      <c r="E11" s="29" t="inlineStr">
        <is>
          <t>Pilots of possible approaches for understanding and developing students’ sustainability self-efficacy</t>
        </is>
      </c>
      <c r="F11" s="29" t="inlineStr">
        <is>
          <t>Qualitative</t>
        </is>
      </c>
      <c r="G11" s="29" t="inlineStr"/>
      <c r="I11" s="30" t="inlineStr">
        <is>
          <t>R</t>
        </is>
      </c>
      <c r="J11" s="30" t="inlineStr">
        <is>
          <t>A and R</t>
        </is>
      </c>
      <c r="K11" s="30" t="n"/>
      <c r="L11" s="30" t="inlineStr">
        <is>
          <t>R</t>
        </is>
      </c>
      <c r="M11" s="30" t="n"/>
      <c r="N11" s="30" t="n"/>
      <c r="O11" s="30" t="n"/>
      <c r="P11" s="30" t="n"/>
      <c r="Q11" s="30" t="n"/>
      <c r="R11" s="30" t="inlineStr">
        <is>
          <t>A and R</t>
        </is>
      </c>
      <c r="S11" s="30" t="n"/>
      <c r="T11" s="30" t="n"/>
      <c r="U11" s="30" t="n"/>
      <c r="V11" s="30" t="inlineStr">
        <is>
          <t>R</t>
        </is>
      </c>
      <c r="W11" s="30" t="n"/>
      <c r="X11" s="30" t="n"/>
      <c r="Y11" s="30" t="inlineStr">
        <is>
          <t>S</t>
        </is>
      </c>
    </row>
    <row r="12" ht="42" customHeight="1">
      <c r="A12" s="29" t="inlineStr">
        <is>
          <t>EE1(c)</t>
        </is>
      </c>
      <c r="B12" s="29" t="inlineStr">
        <is>
          <t>Indicator</t>
        </is>
      </c>
      <c r="C12" s="29" t="inlineStr">
        <is>
          <t>Education and research</t>
        </is>
      </c>
      <c r="D12" s="29" t="inlineStr">
        <is>
          <t>Exceptional education</t>
        </is>
      </c>
      <c r="E12" s="29" t="inlineStr">
        <is>
          <t>Evidence of sustainability focused experiential and co curricular learning (eg Wattle Fellowship; Melbourne Plus)</t>
        </is>
      </c>
      <c r="F12" s="29" t="inlineStr">
        <is>
          <t>Mixed</t>
        </is>
      </c>
      <c r="G12" s="29" t="inlineStr"/>
      <c r="I12" s="30" t="n"/>
      <c r="J12" s="30" t="inlineStr">
        <is>
          <t>A and R</t>
        </is>
      </c>
      <c r="K12" s="30" t="n"/>
      <c r="L12" s="30" t="inlineStr">
        <is>
          <t>R</t>
        </is>
      </c>
      <c r="M12" s="30" t="n"/>
      <c r="N12" s="30" t="n"/>
      <c r="O12" s="30" t="n"/>
      <c r="P12" s="30" t="n"/>
      <c r="Q12" s="30" t="n"/>
      <c r="R12" s="30" t="inlineStr">
        <is>
          <t>A and R</t>
        </is>
      </c>
      <c r="S12" s="30" t="n"/>
      <c r="T12" s="30" t="n"/>
      <c r="U12" s="30" t="n"/>
      <c r="V12" s="30" t="n"/>
      <c r="W12" s="30" t="inlineStr">
        <is>
          <t>R</t>
        </is>
      </c>
      <c r="X12" s="30" t="n"/>
      <c r="Y12" s="30" t="inlineStr">
        <is>
          <t>S</t>
        </is>
      </c>
    </row>
    <row r="13" ht="42" customHeight="1">
      <c r="A13" s="29" t="inlineStr">
        <is>
          <t>EE1(d)</t>
        </is>
      </c>
      <c r="B13" s="29" t="inlineStr">
        <is>
          <t>Indicator</t>
        </is>
      </c>
      <c r="C13" s="29" t="inlineStr">
        <is>
          <t>Education and research</t>
        </is>
      </c>
      <c r="D13" s="29" t="inlineStr">
        <is>
          <t>Exceptional education</t>
        </is>
      </c>
      <c r="E13" s="29" t="inlineStr">
        <is>
          <t>Alumni profiles demonstrating how graduates contribute to sustainability through their careers or communities.</t>
        </is>
      </c>
      <c r="F13" s="29" t="inlineStr">
        <is>
          <t>Mixed</t>
        </is>
      </c>
      <c r="G13" s="29" t="inlineStr">
        <is>
          <t>4b(i)</t>
        </is>
      </c>
      <c r="I13" s="30" t="n"/>
      <c r="J13" s="30" t="n"/>
      <c r="K13" s="30" t="n"/>
      <c r="L13" s="30" t="n"/>
      <c r="M13" s="30" t="n"/>
      <c r="N13" s="30" t="n"/>
      <c r="O13" s="30" t="n"/>
      <c r="P13" s="30" t="n"/>
      <c r="Q13" s="30" t="n"/>
      <c r="R13" s="30" t="inlineStr">
        <is>
          <t>A and R</t>
        </is>
      </c>
      <c r="S13" s="30" t="n"/>
      <c r="T13" s="30" t="n"/>
      <c r="U13" s="30" t="n"/>
      <c r="V13" s="30" t="n"/>
      <c r="W13" s="30" t="inlineStr">
        <is>
          <t>R</t>
        </is>
      </c>
      <c r="X13" s="30" t="n"/>
      <c r="Y13" s="30" t="inlineStr">
        <is>
          <t>S</t>
        </is>
      </c>
    </row>
    <row r="14">
      <c r="A14" s="27" t="inlineStr">
        <is>
          <t>TR</t>
        </is>
      </c>
      <c r="B14" s="27" t="inlineStr">
        <is>
          <t>Priority</t>
        </is>
      </c>
      <c r="C14" s="27" t="inlineStr"/>
      <c r="D14" s="27" t="inlineStr"/>
      <c r="E14" s="27" t="inlineStr">
        <is>
          <t>Transformational research</t>
        </is>
      </c>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row>
    <row r="15" ht="45" customHeight="1">
      <c r="A15" s="28" t="inlineStr">
        <is>
          <t>TR1</t>
        </is>
      </c>
      <c r="B15" s="28" t="inlineStr">
        <is>
          <t>Target</t>
        </is>
      </c>
      <c r="C15" s="28" t="inlineStr">
        <is>
          <t>Education and research</t>
        </is>
      </c>
      <c r="D15" s="28" t="inlineStr">
        <is>
          <t>Transformational research</t>
        </is>
      </c>
      <c r="E15" s="28" t="inlineStr">
        <is>
          <t>Utilise the expertise of the University’s researchers through mutually beneficial partnerships to help address the University’s operational sustainability challenges.</t>
        </is>
      </c>
    </row>
    <row r="16" ht="42" customHeight="1">
      <c r="A16" s="29" t="inlineStr">
        <is>
          <t>TR1(a)</t>
        </is>
      </c>
      <c r="B16" s="29" t="inlineStr">
        <is>
          <t>Indicator</t>
        </is>
      </c>
      <c r="C16" s="29" t="inlineStr">
        <is>
          <t>Education and research</t>
        </is>
      </c>
      <c r="D16" s="29" t="inlineStr">
        <is>
          <t>Transformational research</t>
        </is>
      </c>
      <c r="E16" s="29" t="inlineStr">
        <is>
          <t>Expert-reviewed evidence of researchers contributing to operational sustainability priorities through partnerships, advisory input, living labs, applied projects or decision-support</t>
        </is>
      </c>
      <c r="F16" s="29" t="inlineStr">
        <is>
          <t>Qualitative</t>
        </is>
      </c>
      <c r="G16" s="29" t="inlineStr">
        <is>
          <t>2a</t>
        </is>
      </c>
      <c r="I16" s="30" t="inlineStr">
        <is>
          <t>R</t>
        </is>
      </c>
      <c r="J16" s="30" t="inlineStr">
        <is>
          <t>A and R</t>
        </is>
      </c>
      <c r="K16" s="30" t="n"/>
      <c r="L16" s="30" t="inlineStr">
        <is>
          <t>R</t>
        </is>
      </c>
      <c r="M16" s="30" t="n"/>
      <c r="N16" s="30" t="n"/>
      <c r="O16" s="30" t="n"/>
      <c r="P16" s="30" t="n"/>
      <c r="Q16" s="30" t="n"/>
      <c r="R16" s="30" t="n"/>
      <c r="S16" s="30" t="n"/>
      <c r="T16" s="30" t="n"/>
      <c r="U16" s="30" t="n"/>
      <c r="V16" s="30" t="n"/>
      <c r="W16" s="30" t="n"/>
      <c r="X16" s="30" t="n"/>
      <c r="Y16" s="30" t="inlineStr">
        <is>
          <t>S</t>
        </is>
      </c>
    </row>
    <row r="17" ht="42" customHeight="1">
      <c r="A17" s="29" t="inlineStr">
        <is>
          <t>TR1(b)</t>
        </is>
      </c>
      <c r="B17" s="29" t="inlineStr">
        <is>
          <t>Indicator</t>
        </is>
      </c>
      <c r="C17" s="29" t="inlineStr">
        <is>
          <t>Education and research</t>
        </is>
      </c>
      <c r="D17" s="29" t="inlineStr">
        <is>
          <t>Transformational research</t>
        </is>
      </c>
      <c r="E17" s="29" t="inlineStr">
        <is>
          <t>Evidence of institutional pathways that enable ongoing collaboration between academic and professional staff</t>
        </is>
      </c>
      <c r="F17" s="29" t="inlineStr">
        <is>
          <t>Qualitative</t>
        </is>
      </c>
      <c r="G17" s="29" t="inlineStr"/>
      <c r="I17" s="30" t="n"/>
      <c r="J17" s="30" t="n"/>
      <c r="K17" s="30" t="n"/>
      <c r="L17" s="30" t="n"/>
      <c r="M17" s="30" t="n"/>
      <c r="N17" s="30" t="n"/>
      <c r="O17" s="30" t="n"/>
      <c r="P17" s="30" t="n"/>
      <c r="Q17" s="30" t="n"/>
      <c r="R17" s="30" t="inlineStr">
        <is>
          <t>A and R</t>
        </is>
      </c>
      <c r="S17" s="30" t="inlineStr">
        <is>
          <t>R</t>
        </is>
      </c>
      <c r="T17" s="30" t="n"/>
      <c r="U17" s="30" t="n"/>
      <c r="V17" s="30" t="n"/>
      <c r="W17" s="30" t="n"/>
      <c r="X17" s="30" t="n"/>
      <c r="Y17" s="30" t="inlineStr">
        <is>
          <t>S</t>
        </is>
      </c>
    </row>
    <row r="18" ht="42" customHeight="1">
      <c r="A18" s="29" t="inlineStr">
        <is>
          <t>TR1(c)</t>
        </is>
      </c>
      <c r="B18" s="29" t="inlineStr">
        <is>
          <t>Indicator</t>
        </is>
      </c>
      <c r="C18" s="29" t="inlineStr">
        <is>
          <t>Education and research</t>
        </is>
      </c>
      <c r="D18" s="29" t="inlineStr">
        <is>
          <t>Transformational research</t>
        </is>
      </c>
      <c r="E18" s="29" t="inlineStr">
        <is>
          <t>Expert assessment of the quality, relevance and continuity of these collaborations</t>
        </is>
      </c>
      <c r="F18" s="29" t="inlineStr">
        <is>
          <t>Qualitative</t>
        </is>
      </c>
      <c r="G18" s="29" t="inlineStr"/>
      <c r="I18" s="30" t="n"/>
      <c r="J18" s="30" t="n"/>
      <c r="K18" s="30" t="n"/>
      <c r="L18" s="30" t="n"/>
      <c r="M18" s="30" t="n"/>
      <c r="N18" s="30" t="n"/>
      <c r="O18" s="30" t="n"/>
      <c r="P18" s="30" t="n"/>
      <c r="Q18" s="30" t="n"/>
      <c r="R18" s="30" t="inlineStr">
        <is>
          <t>A and R</t>
        </is>
      </c>
      <c r="S18" s="30" t="inlineStr">
        <is>
          <t>R</t>
        </is>
      </c>
      <c r="T18" s="30" t="n"/>
      <c r="U18" s="30" t="n"/>
      <c r="V18" s="30" t="n"/>
      <c r="W18" s="30" t="n"/>
      <c r="X18" s="30" t="n"/>
      <c r="Y18" s="30" t="inlineStr">
        <is>
          <t>S</t>
        </is>
      </c>
    </row>
    <row r="19" ht="42" customHeight="1">
      <c r="A19" s="29" t="inlineStr">
        <is>
          <t>TR1(d)</t>
        </is>
      </c>
      <c r="B19" s="29" t="inlineStr">
        <is>
          <t>Indicator</t>
        </is>
      </c>
      <c r="C19" s="29" t="inlineStr">
        <is>
          <t>Education and research</t>
        </is>
      </c>
      <c r="D19" s="29" t="inlineStr">
        <is>
          <t>Transformational research</t>
        </is>
      </c>
      <c r="E19" s="29" t="inlineStr">
        <is>
          <t>Periodic feedback from participants on the effectiveness and mutual benefit of collaboration mechanisms.</t>
        </is>
      </c>
      <c r="F19" s="29" t="inlineStr">
        <is>
          <t>Qualitative</t>
        </is>
      </c>
      <c r="G19" s="29" t="inlineStr"/>
      <c r="I19" s="30" t="n"/>
      <c r="J19" s="30" t="n"/>
      <c r="K19" s="30" t="n"/>
      <c r="L19" s="30" t="n"/>
      <c r="M19" s="30" t="n"/>
      <c r="N19" s="30" t="n"/>
      <c r="O19" s="30" t="n"/>
      <c r="P19" s="30" t="n"/>
      <c r="Q19" s="30" t="n"/>
      <c r="R19" s="30" t="inlineStr">
        <is>
          <t>A and R</t>
        </is>
      </c>
      <c r="S19" s="30" t="inlineStr">
        <is>
          <t>R</t>
        </is>
      </c>
      <c r="T19" s="30" t="n"/>
      <c r="U19" s="30" t="n"/>
      <c r="V19" s="30" t="n"/>
      <c r="W19" s="30" t="n"/>
      <c r="X19" s="30" t="n"/>
      <c r="Y19" s="30" t="inlineStr">
        <is>
          <t>S</t>
        </is>
      </c>
    </row>
    <row r="20" ht="45" customHeight="1">
      <c r="A20" s="28" t="inlineStr">
        <is>
          <t>TR2</t>
        </is>
      </c>
      <c r="B20" s="28" t="inlineStr">
        <is>
          <t>Target</t>
        </is>
      </c>
      <c r="C20" s="28" t="inlineStr">
        <is>
          <t>Education and research</t>
        </is>
      </c>
      <c r="D20" s="28" t="inlineStr">
        <is>
          <t>Transformational research</t>
        </is>
      </c>
      <c r="E20" s="28" t="inlineStr">
        <is>
          <t>Deliver high-quality research and partnerships that contribute to sustainability outcomes and demonstrable societal benefit.</t>
        </is>
      </c>
    </row>
    <row r="21" ht="42" customHeight="1">
      <c r="A21" s="29" t="inlineStr">
        <is>
          <t>TR2(a)</t>
        </is>
      </c>
      <c r="B21" s="29" t="inlineStr">
        <is>
          <t>Indicator</t>
        </is>
      </c>
      <c r="C21" s="29" t="inlineStr">
        <is>
          <t>Education and research</t>
        </is>
      </c>
      <c r="D21" s="29" t="inlineStr">
        <is>
          <t>Transformational research</t>
        </is>
      </c>
      <c r="E21" s="29" t="inlineStr">
        <is>
          <t>Evidence of sustainability-related research impact across diverse pathways, could include policy, industry, community, practice, cultural and institutional outcomes</t>
        </is>
      </c>
      <c r="F21" s="29" t="inlineStr">
        <is>
          <t>Qualitative</t>
        </is>
      </c>
      <c r="G21" s="29" t="inlineStr">
        <is>
          <t>5b(i)</t>
        </is>
      </c>
      <c r="I21" s="30" t="inlineStr">
        <is>
          <t>R</t>
        </is>
      </c>
      <c r="J21" s="30" t="n"/>
      <c r="K21" s="30" t="n"/>
      <c r="L21" s="30" t="n"/>
      <c r="M21" s="30" t="n"/>
      <c r="N21" s="30" t="n"/>
      <c r="O21" s="30" t="n"/>
      <c r="P21" s="30" t="n"/>
      <c r="Q21" s="30" t="n"/>
      <c r="R21" s="30" t="inlineStr">
        <is>
          <t>A and R</t>
        </is>
      </c>
      <c r="S21" s="30" t="n"/>
      <c r="T21" s="30" t="inlineStr">
        <is>
          <t>R</t>
        </is>
      </c>
      <c r="U21" s="30" t="n"/>
      <c r="V21" s="30" t="n"/>
      <c r="W21" s="30" t="n"/>
      <c r="X21" s="30" t="n"/>
      <c r="Y21" s="30" t="inlineStr">
        <is>
          <t>S</t>
        </is>
      </c>
    </row>
    <row r="22" ht="42" customHeight="1">
      <c r="A22" s="29" t="inlineStr">
        <is>
          <t>TR2(b)</t>
        </is>
      </c>
      <c r="B22" s="29" t="inlineStr">
        <is>
          <t>Indicator</t>
        </is>
      </c>
      <c r="C22" s="29" t="inlineStr">
        <is>
          <t>Education and research</t>
        </is>
      </c>
      <c r="D22" s="29" t="inlineStr">
        <is>
          <t>Transformational research</t>
        </is>
      </c>
      <c r="E22" s="29" t="inlineStr">
        <is>
          <t>Documented progress of relevant strategic initiatives, including Impact Accelerators</t>
        </is>
      </c>
      <c r="F22" s="29" t="inlineStr">
        <is>
          <t>Quantitative</t>
        </is>
      </c>
      <c r="G22" s="29" t="inlineStr"/>
      <c r="I22" s="30" t="n"/>
      <c r="J22" s="30" t="n"/>
      <c r="K22" s="30" t="n"/>
      <c r="L22" s="30" t="n"/>
      <c r="M22" s="30" t="n"/>
      <c r="N22" s="30" t="n"/>
      <c r="O22" s="30" t="n"/>
      <c r="P22" s="30" t="n"/>
      <c r="Q22" s="30" t="n"/>
      <c r="R22" s="30" t="inlineStr">
        <is>
          <t>A and R</t>
        </is>
      </c>
      <c r="S22" s="30" t="inlineStr">
        <is>
          <t>R (quant)</t>
        </is>
      </c>
      <c r="T22" s="30" t="n"/>
      <c r="U22" s="30" t="n"/>
      <c r="V22" s="30" t="n"/>
      <c r="W22" s="30" t="n"/>
      <c r="X22" s="30" t="n"/>
      <c r="Y22" s="30" t="inlineStr">
        <is>
          <t>S</t>
        </is>
      </c>
    </row>
    <row r="23" ht="42" customHeight="1">
      <c r="A23" s="29" t="inlineStr">
        <is>
          <t>TR2(c)</t>
        </is>
      </c>
      <c r="B23" s="29" t="inlineStr">
        <is>
          <t>Indicator</t>
        </is>
      </c>
      <c r="C23" s="29" t="inlineStr">
        <is>
          <t>Education and research</t>
        </is>
      </c>
      <c r="D23" s="29" t="inlineStr">
        <is>
          <t>Transformational research</t>
        </is>
      </c>
      <c r="E23" s="29" t="inlineStr">
        <is>
          <t>Expert-reviewed summary of sustainability-related research outputs, outcomes and influence using available institutional evidence sources</t>
        </is>
      </c>
      <c r="F23" s="29" t="inlineStr">
        <is>
          <t>Mixed</t>
        </is>
      </c>
      <c r="G23" s="29" t="inlineStr"/>
      <c r="I23" s="30" t="n"/>
      <c r="J23" s="30" t="n"/>
      <c r="K23" s="30" t="n"/>
      <c r="L23" s="30" t="n"/>
      <c r="M23" s="30" t="n"/>
      <c r="N23" s="30" t="n"/>
      <c r="O23" s="30" t="n"/>
      <c r="P23" s="30" t="n"/>
      <c r="Q23" s="30" t="n"/>
      <c r="R23" s="30" t="inlineStr">
        <is>
          <t>A and R</t>
        </is>
      </c>
      <c r="S23" s="30" t="inlineStr">
        <is>
          <t>R</t>
        </is>
      </c>
      <c r="T23" s="30" t="n"/>
      <c r="U23" s="30" t="n"/>
      <c r="V23" s="30" t="n"/>
      <c r="W23" s="30" t="n"/>
      <c r="X23" s="30" t="n"/>
      <c r="Y23" s="30" t="inlineStr">
        <is>
          <t>S</t>
        </is>
      </c>
    </row>
    <row r="24" ht="42" customHeight="1">
      <c r="A24" s="29" t="inlineStr">
        <is>
          <t>TR2(d)</t>
        </is>
      </c>
      <c r="B24" s="29" t="inlineStr">
        <is>
          <t>Indicator</t>
        </is>
      </c>
      <c r="C24" s="29" t="inlineStr">
        <is>
          <t>Education and research</t>
        </is>
      </c>
      <c r="D24" s="29" t="inlineStr">
        <is>
          <t>Transformational research</t>
        </is>
      </c>
      <c r="E24" s="29" t="inlineStr">
        <is>
          <t>Case-based evidence demonstrating how research has contributed to meaningful sustainability outcomes.</t>
        </is>
      </c>
      <c r="F24" s="29" t="inlineStr">
        <is>
          <t>Qualitative</t>
        </is>
      </c>
      <c r="G24" s="29" t="inlineStr">
        <is>
          <t>5b(i)</t>
        </is>
      </c>
      <c r="I24" s="30" t="inlineStr">
        <is>
          <t>R</t>
        </is>
      </c>
      <c r="J24" s="30" t="inlineStr">
        <is>
          <t>A and R</t>
        </is>
      </c>
      <c r="K24" s="30" t="n"/>
      <c r="L24" s="30" t="inlineStr">
        <is>
          <t>R</t>
        </is>
      </c>
      <c r="M24" s="30" t="n"/>
      <c r="N24" s="30" t="n"/>
      <c r="O24" s="30" t="n"/>
      <c r="P24" s="30" t="n"/>
      <c r="Q24" s="30" t="n"/>
      <c r="R24" s="30" t="n"/>
      <c r="S24" s="30" t="n"/>
      <c r="T24" s="30" t="n"/>
      <c r="U24" s="30" t="n"/>
      <c r="V24" s="30" t="n"/>
      <c r="W24" s="30" t="n"/>
      <c r="X24" s="30" t="n"/>
      <c r="Y24" s="30" t="inlineStr">
        <is>
          <t>S</t>
        </is>
      </c>
    </row>
    <row r="25" ht="45" customHeight="1">
      <c r="A25" s="28" t="inlineStr">
        <is>
          <t>TR3</t>
        </is>
      </c>
      <c r="B25" s="28" t="inlineStr">
        <is>
          <t>Target</t>
        </is>
      </c>
      <c r="C25" s="28" t="inlineStr">
        <is>
          <t>Education and research</t>
        </is>
      </c>
      <c r="D25" s="28" t="inlineStr">
        <is>
          <t>Transformational research</t>
        </is>
      </c>
      <c r="E25" s="28" t="inlineStr">
        <is>
          <t>Embed sustainability within research systems, processes, capability and culture, so research is conducted responsibly, efficiently and with reduced environmental impact.</t>
        </is>
      </c>
    </row>
    <row r="26" ht="42" customHeight="1">
      <c r="A26" s="29" t="inlineStr">
        <is>
          <t>TR3(a)</t>
        </is>
      </c>
      <c r="B26" s="29" t="inlineStr">
        <is>
          <t>Indicator</t>
        </is>
      </c>
      <c r="C26" s="29" t="inlineStr">
        <is>
          <t>Education and research</t>
        </is>
      </c>
      <c r="D26" s="29" t="inlineStr">
        <is>
          <t>Transformational research</t>
        </is>
      </c>
      <c r="E26" s="29" t="inlineStr">
        <is>
          <t>Evidence that sustainability considerations are integrated into relevant research systems, planning processes, guidance, training, induction or support services</t>
        </is>
      </c>
      <c r="F26" s="29" t="inlineStr">
        <is>
          <t>Qualitative</t>
        </is>
      </c>
      <c r="G26" s="29" t="inlineStr">
        <is>
          <t>5c(ii)</t>
        </is>
      </c>
      <c r="I26" s="30" t="n"/>
      <c r="J26" s="30" t="n"/>
      <c r="K26" s="30" t="n"/>
      <c r="L26" s="30" t="n"/>
      <c r="M26" s="30" t="n"/>
      <c r="N26" s="30" t="n"/>
      <c r="O26" s="30" t="n"/>
      <c r="P26" s="30" t="n"/>
      <c r="Q26" s="30" t="n"/>
      <c r="R26" s="30" t="inlineStr">
        <is>
          <t>A and R</t>
        </is>
      </c>
      <c r="S26" s="30" t="inlineStr">
        <is>
          <t>R</t>
        </is>
      </c>
      <c r="T26" s="30" t="n"/>
      <c r="U26" s="30" t="n"/>
      <c r="V26" s="30" t="n"/>
      <c r="W26" s="30" t="n"/>
      <c r="X26" s="30" t="n"/>
      <c r="Y26" s="30" t="inlineStr">
        <is>
          <t>S</t>
        </is>
      </c>
    </row>
    <row r="27" ht="42" customHeight="1">
      <c r="A27" s="29" t="inlineStr">
        <is>
          <t>TR3(b)</t>
        </is>
      </c>
      <c r="B27" s="29" t="inlineStr">
        <is>
          <t>Indicator</t>
        </is>
      </c>
      <c r="C27" s="29" t="inlineStr">
        <is>
          <t>Education and research</t>
        </is>
      </c>
      <c r="D27" s="29" t="inlineStr">
        <is>
          <t>Transformational research</t>
        </is>
      </c>
      <c r="E27" s="29" t="inlineStr">
        <is>
          <t>Demonstrated examples of more sustainable research practices in laboratories, fieldwork, procurement, travel or infrastructure use</t>
        </is>
      </c>
      <c r="F27" s="29" t="inlineStr">
        <is>
          <t>Mixed</t>
        </is>
      </c>
      <c r="G27" s="29" t="inlineStr">
        <is>
          <t>5c(ii)</t>
        </is>
      </c>
      <c r="I27" s="30" t="inlineStr">
        <is>
          <t>R</t>
        </is>
      </c>
      <c r="J27" s="30" t="inlineStr">
        <is>
          <t>A and R</t>
        </is>
      </c>
      <c r="K27" s="30" t="n"/>
      <c r="L27" s="30" t="inlineStr">
        <is>
          <t>R</t>
        </is>
      </c>
      <c r="M27" s="30" t="inlineStr">
        <is>
          <t>R</t>
        </is>
      </c>
      <c r="N27" s="30" t="n"/>
      <c r="O27" s="30" t="n"/>
      <c r="P27" s="30" t="n"/>
      <c r="Q27" s="30" t="n"/>
      <c r="R27" s="30" t="inlineStr">
        <is>
          <t>A and R</t>
        </is>
      </c>
      <c r="S27" s="30" t="inlineStr">
        <is>
          <t>R (quant)</t>
        </is>
      </c>
      <c r="T27" s="30" t="n"/>
      <c r="U27" s="30" t="n"/>
      <c r="V27" s="30" t="n"/>
      <c r="W27" s="30" t="n"/>
      <c r="X27" s="30" t="n"/>
      <c r="Y27" s="30" t="inlineStr">
        <is>
          <t>S</t>
        </is>
      </c>
    </row>
    <row r="28" ht="42" customHeight="1">
      <c r="A28" s="29" t="inlineStr">
        <is>
          <t>TR3(c)</t>
        </is>
      </c>
      <c r="B28" s="29" t="inlineStr">
        <is>
          <t>Indicator</t>
        </is>
      </c>
      <c r="C28" s="29" t="inlineStr">
        <is>
          <t>Education and research</t>
        </is>
      </c>
      <c r="D28" s="29" t="inlineStr">
        <is>
          <t>Transformational research</t>
        </is>
      </c>
      <c r="E28" s="29" t="inlineStr">
        <is>
          <t>Evidence of progress in sustainability-related research culture, capability and awareness, informed by periodic staff and graduate researcher surveys</t>
        </is>
      </c>
      <c r="F28" s="29" t="inlineStr">
        <is>
          <t>Qualitative</t>
        </is>
      </c>
      <c r="G28" s="29" t="inlineStr"/>
      <c r="I28" s="30" t="n"/>
      <c r="J28" s="30" t="n"/>
      <c r="K28" s="30" t="n"/>
      <c r="L28" s="30" t="n"/>
      <c r="M28" s="30" t="n"/>
      <c r="N28" s="30" t="n"/>
      <c r="O28" s="30" t="n"/>
      <c r="P28" s="30" t="n"/>
      <c r="Q28" s="30" t="n"/>
      <c r="R28" s="30" t="inlineStr">
        <is>
          <t>A and R</t>
        </is>
      </c>
      <c r="S28" s="30" t="inlineStr">
        <is>
          <t>R</t>
        </is>
      </c>
      <c r="T28" s="30" t="n"/>
      <c r="U28" s="30" t="n"/>
      <c r="V28" s="30" t="n"/>
      <c r="W28" s="30" t="n"/>
      <c r="X28" s="30" t="n"/>
      <c r="Y28" s="30" t="inlineStr">
        <is>
          <t>S</t>
        </is>
      </c>
    </row>
    <row r="29" ht="42" customHeight="1">
      <c r="A29" s="29" t="inlineStr">
        <is>
          <t>TR3(d)</t>
        </is>
      </c>
      <c r="B29" s="29" t="inlineStr">
        <is>
          <t>Indicator</t>
        </is>
      </c>
      <c r="C29" s="29" t="inlineStr">
        <is>
          <t>Education and research</t>
        </is>
      </c>
      <c r="D29" s="29" t="inlineStr">
        <is>
          <t>Transformational research</t>
        </is>
      </c>
      <c r="E29" s="29" t="inlineStr">
        <is>
          <t>Expert assessment of progress in embedding sustainable research practices across the institution.</t>
        </is>
      </c>
      <c r="F29" s="29" t="inlineStr">
        <is>
          <t>Qualitative</t>
        </is>
      </c>
      <c r="G29" s="29" t="inlineStr"/>
      <c r="I29" s="30" t="n"/>
      <c r="J29" s="30" t="n"/>
      <c r="K29" s="30" t="n"/>
      <c r="L29" s="30" t="n"/>
      <c r="M29" s="30" t="n"/>
      <c r="N29" s="30" t="n"/>
      <c r="O29" s="30" t="n"/>
      <c r="P29" s="30" t="n"/>
      <c r="Q29" s="30" t="n"/>
      <c r="R29" s="30" t="inlineStr">
        <is>
          <t>A and R</t>
        </is>
      </c>
      <c r="S29" s="30" t="inlineStr">
        <is>
          <t>R</t>
        </is>
      </c>
      <c r="T29" s="30" t="n"/>
      <c r="U29" s="30" t="n"/>
      <c r="V29" s="30" t="n"/>
      <c r="W29" s="30" t="n"/>
      <c r="X29" s="30" t="n"/>
      <c r="Y29" s="30" t="inlineStr">
        <is>
          <t>S</t>
        </is>
      </c>
    </row>
    <row r="30">
      <c r="A30" s="26" t="inlineStr">
        <is>
          <t>D2</t>
        </is>
      </c>
      <c r="B30" s="26" t="inlineStr">
        <is>
          <t>Domain</t>
        </is>
      </c>
      <c r="C30" s="26" t="inlineStr"/>
      <c r="D30" s="26" t="inlineStr"/>
      <c r="E30" s="26" t="inlineStr">
        <is>
          <t>Sustainability leadership</t>
        </is>
      </c>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row>
    <row r="31">
      <c r="A31" s="27" t="inlineStr">
        <is>
          <t>CL</t>
        </is>
      </c>
      <c r="B31" s="27" t="inlineStr">
        <is>
          <t>Priority</t>
        </is>
      </c>
      <c r="C31" s="27" t="inlineStr"/>
      <c r="D31" s="27" t="inlineStr"/>
      <c r="E31" s="27" t="inlineStr">
        <is>
          <t>Climate leadership</t>
        </is>
      </c>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row>
    <row r="32" ht="45" customHeight="1">
      <c r="A32" s="28" t="inlineStr">
        <is>
          <t>CL1</t>
        </is>
      </c>
      <c r="B32" s="28" t="inlineStr">
        <is>
          <t>Target</t>
        </is>
      </c>
      <c r="C32" s="28" t="inlineStr">
        <is>
          <t>Sustainability leadership</t>
        </is>
      </c>
      <c r="D32" s="28" t="inlineStr">
        <is>
          <t>Climate leadership</t>
        </is>
      </c>
      <c r="E32" s="2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42" customHeight="1">
      <c r="A33" s="29" t="inlineStr">
        <is>
          <t>CL1(a)</t>
        </is>
      </c>
      <c r="B33" s="29" t="inlineStr">
        <is>
          <t>Indicator</t>
        </is>
      </c>
      <c r="C33" s="29" t="inlineStr">
        <is>
          <t>Sustainability leadership</t>
        </is>
      </c>
      <c r="D33" s="29" t="inlineStr">
        <is>
          <t>Climate leadership</t>
        </is>
      </c>
      <c r="E33" s="29" t="inlineStr">
        <is>
          <t>Annual Greenhouse Gas Inventory (including emissions scopes 1, 2 and 3) demonstrates carbon emission reductions, including maintaining procurement of 100% renewable electricity for all scope 2 sources[1]</t>
        </is>
      </c>
      <c r="F33" s="29" t="inlineStr">
        <is>
          <t>Quantitative</t>
        </is>
      </c>
      <c r="G33" s="29" t="inlineStr"/>
      <c r="I33" s="30" t="n"/>
      <c r="J33" s="30" t="inlineStr">
        <is>
          <t>A and R</t>
        </is>
      </c>
      <c r="K33" s="30" t="n"/>
      <c r="L33" s="30" t="n"/>
      <c r="M33" s="30" t="n"/>
      <c r="N33" s="30" t="n"/>
      <c r="O33" s="30" t="inlineStr">
        <is>
          <t>R (quant)</t>
        </is>
      </c>
      <c r="P33" s="30" t="n"/>
      <c r="Q33" s="30" t="n"/>
      <c r="R33" s="30" t="n"/>
      <c r="S33" s="30" t="n"/>
      <c r="T33" s="30" t="n"/>
      <c r="U33" s="30" t="n"/>
      <c r="V33" s="30" t="n"/>
      <c r="W33" s="30" t="n"/>
      <c r="X33" s="30" t="n"/>
      <c r="Y33" s="30" t="inlineStr">
        <is>
          <t>S</t>
        </is>
      </c>
    </row>
    <row r="34" ht="42" customHeight="1">
      <c r="A34" s="29" t="inlineStr">
        <is>
          <t>CL1(b)</t>
        </is>
      </c>
      <c r="B34" s="29" t="inlineStr">
        <is>
          <t>Indicator</t>
        </is>
      </c>
      <c r="C34" s="29" t="inlineStr">
        <is>
          <t>Sustainability leadership</t>
        </is>
      </c>
      <c r="D34" s="29" t="inlineStr">
        <is>
          <t>Climate leadership</t>
        </is>
      </c>
      <c r="E34" s="29" t="inlineStr">
        <is>
          <t>Development of Greenhouse Gas  intensity metrics</t>
        </is>
      </c>
      <c r="F34" s="29" t="inlineStr">
        <is>
          <t>Quantitative</t>
        </is>
      </c>
      <c r="G34" s="29" t="inlineStr"/>
      <c r="I34" s="30" t="n"/>
      <c r="J34" s="30" t="inlineStr">
        <is>
          <t>A and R</t>
        </is>
      </c>
      <c r="K34" s="30" t="n"/>
      <c r="L34" s="30" t="n"/>
      <c r="M34" s="30" t="n"/>
      <c r="N34" s="30" t="n"/>
      <c r="O34" s="30" t="inlineStr">
        <is>
          <t>R (quant)</t>
        </is>
      </c>
      <c r="P34" s="30" t="n"/>
      <c r="Q34" s="30" t="n"/>
      <c r="R34" s="30" t="n"/>
      <c r="S34" s="30" t="n"/>
      <c r="T34" s="30" t="n"/>
      <c r="U34" s="30" t="n"/>
      <c r="V34" s="30" t="n"/>
      <c r="W34" s="30" t="n"/>
      <c r="X34" s="30" t="n"/>
      <c r="Y34" s="30" t="inlineStr">
        <is>
          <t>S</t>
        </is>
      </c>
    </row>
    <row r="35" ht="42" customHeight="1">
      <c r="A35" s="29" t="inlineStr">
        <is>
          <t>CL1(c)</t>
        </is>
      </c>
      <c r="B35" s="29" t="inlineStr">
        <is>
          <t>Indicator</t>
        </is>
      </c>
      <c r="C35" s="29" t="inlineStr">
        <is>
          <t>Sustainability leadership</t>
        </is>
      </c>
      <c r="D35" s="29" t="inlineStr">
        <is>
          <t>Climate leadership</t>
        </is>
      </c>
      <c r="E35" s="29" t="inlineStr">
        <is>
          <t>Review of Climate Leadership targets by 2030.[2]</t>
        </is>
      </c>
      <c r="F35" s="29" t="inlineStr">
        <is>
          <t>Mixed</t>
        </is>
      </c>
      <c r="G35" s="29" t="inlineStr"/>
      <c r="I35" s="30" t="n"/>
      <c r="J35" s="30" t="inlineStr">
        <is>
          <t>A and R</t>
        </is>
      </c>
      <c r="K35" s="30" t="n"/>
      <c r="L35" s="30" t="inlineStr">
        <is>
          <t>R</t>
        </is>
      </c>
      <c r="M35" s="30" t="n"/>
      <c r="N35" s="30" t="n"/>
      <c r="O35" s="30" t="n"/>
      <c r="P35" s="30" t="n"/>
      <c r="Q35" s="30" t="n"/>
      <c r="R35" s="30" t="n"/>
      <c r="S35" s="30" t="n"/>
      <c r="T35" s="30" t="n"/>
      <c r="U35" s="30" t="n"/>
      <c r="V35" s="30" t="n"/>
      <c r="W35" s="30" t="n"/>
      <c r="X35" s="30" t="n"/>
      <c r="Y35" s="30" t="inlineStr">
        <is>
          <t>S</t>
        </is>
      </c>
    </row>
    <row r="36" ht="45" customHeight="1">
      <c r="A36" s="28" t="inlineStr">
        <is>
          <t>CL2</t>
        </is>
      </c>
      <c r="B36" s="28" t="inlineStr">
        <is>
          <t>Target</t>
        </is>
      </c>
      <c r="C36" s="28" t="inlineStr">
        <is>
          <t>Sustainability leadership</t>
        </is>
      </c>
      <c r="D36" s="28" t="inlineStr">
        <is>
          <t>Climate leadership</t>
        </is>
      </c>
      <c r="E36" s="28" t="inlineStr">
        <is>
          <t>Develop understanding of our research and education programs that contribute to accelerating global decarbonisation and our own climate transition.</t>
        </is>
      </c>
    </row>
    <row r="37" ht="42" customHeight="1">
      <c r="A37" s="29" t="inlineStr">
        <is>
          <t>CL2(a)</t>
        </is>
      </c>
      <c r="B37" s="29" t="inlineStr">
        <is>
          <t>Indicator</t>
        </is>
      </c>
      <c r="C37" s="29" t="inlineStr">
        <is>
          <t>Sustainability leadership</t>
        </is>
      </c>
      <c r="D37" s="29" t="inlineStr">
        <is>
          <t>Climate leadership</t>
        </is>
      </c>
      <c r="E37" s="29" t="inlineStr">
        <is>
          <t>By 2028, develop and document institutional mapping of research and education activities that are designed to contribute to global decarbonisation</t>
        </is>
      </c>
      <c r="F37" s="29" t="inlineStr">
        <is>
          <t>Mixed</t>
        </is>
      </c>
      <c r="G37" s="29" t="inlineStr"/>
      <c r="I37" s="30" t="n"/>
      <c r="J37" s="30" t="n"/>
      <c r="K37" s="30" t="n"/>
      <c r="L37" s="30" t="n"/>
      <c r="M37" s="30" t="n"/>
      <c r="N37" s="30" t="n"/>
      <c r="O37" s="30" t="n"/>
      <c r="P37" s="30" t="n"/>
      <c r="Q37" s="30" t="n"/>
      <c r="R37" s="30" t="inlineStr">
        <is>
          <t>A and R</t>
        </is>
      </c>
      <c r="S37" s="30" t="n"/>
      <c r="T37" s="30" t="inlineStr">
        <is>
          <t>R</t>
        </is>
      </c>
      <c r="U37" s="30" t="n"/>
      <c r="V37" s="30" t="n"/>
      <c r="W37" s="30" t="n"/>
      <c r="X37" s="30" t="n"/>
      <c r="Y37" s="30" t="inlineStr">
        <is>
          <t>R (compile)</t>
        </is>
      </c>
    </row>
    <row r="38" ht="42" customHeight="1">
      <c r="A38" s="29" t="inlineStr">
        <is>
          <t>CL2(b)</t>
        </is>
      </c>
      <c r="B38" s="29" t="inlineStr">
        <is>
          <t>Indicator</t>
        </is>
      </c>
      <c r="C38" s="29" t="inlineStr">
        <is>
          <t>Sustainability leadership</t>
        </is>
      </c>
      <c r="D38" s="29" t="inlineStr">
        <is>
          <t>Climate leadership</t>
        </is>
      </c>
      <c r="E38" s="29" t="inlineStr">
        <is>
          <t>Prioritised pipeline of decarbonisation focused research and education opportunities aligned with University emissions reduction priorities from 2028</t>
        </is>
      </c>
      <c r="F38" s="29" t="inlineStr">
        <is>
          <t>Quantitative</t>
        </is>
      </c>
      <c r="G38" s="29" t="inlineStr"/>
      <c r="I38" s="30" t="n"/>
      <c r="J38" s="30" t="n"/>
      <c r="K38" s="30" t="n"/>
      <c r="L38" s="30" t="n"/>
      <c r="M38" s="30" t="n"/>
      <c r="N38" s="30" t="n"/>
      <c r="O38" s="30" t="n"/>
      <c r="P38" s="30" t="n"/>
      <c r="Q38" s="30" t="n"/>
      <c r="R38" s="30" t="n"/>
      <c r="S38" s="30" t="n"/>
      <c r="T38" s="30" t="n"/>
      <c r="U38" s="30" t="n"/>
      <c r="V38" s="30" t="n"/>
      <c r="W38" s="30" t="n"/>
      <c r="X38" s="30" t="n"/>
      <c r="Y38" s="30" t="inlineStr">
        <is>
          <t>R (compile)</t>
        </is>
      </c>
    </row>
    <row r="39" ht="42" customHeight="1">
      <c r="A39" s="29" t="inlineStr">
        <is>
          <t>CL2(c)</t>
        </is>
      </c>
      <c r="B39" s="29" t="inlineStr">
        <is>
          <t>Indicator</t>
        </is>
      </c>
      <c r="C39" s="29" t="inlineStr">
        <is>
          <t>Sustainability leadership</t>
        </is>
      </c>
      <c r="D39" s="29" t="inlineStr">
        <is>
          <t>Climate leadership</t>
        </is>
      </c>
      <c r="E39" s="29" t="inlineStr">
        <is>
          <t>Ongoing communications that evidence the University’s climate action, research and learning to inform policy, sector and community decarbonisation efforts.</t>
        </is>
      </c>
      <c r="F39" s="29" t="inlineStr">
        <is>
          <t>Mixed</t>
        </is>
      </c>
      <c r="G39" s="29" t="inlineStr"/>
      <c r="I39" s="30" t="n"/>
      <c r="J39" s="30" t="n"/>
      <c r="K39" s="30" t="n"/>
      <c r="L39" s="30" t="n"/>
      <c r="M39" s="30" t="n"/>
      <c r="N39" s="30" t="n"/>
      <c r="O39" s="30" t="n"/>
      <c r="P39" s="30" t="n"/>
      <c r="Q39" s="30" t="n"/>
      <c r="R39" s="30" t="inlineStr">
        <is>
          <t>A and R</t>
        </is>
      </c>
      <c r="S39" s="30" t="n"/>
      <c r="T39" s="30" t="inlineStr">
        <is>
          <t>R</t>
        </is>
      </c>
      <c r="U39" s="30" t="n"/>
      <c r="V39" s="30" t="n"/>
      <c r="W39" s="30" t="n"/>
      <c r="X39" s="30" t="n"/>
      <c r="Y39" s="30" t="inlineStr">
        <is>
          <t>R (compile)</t>
        </is>
      </c>
    </row>
    <row r="40" ht="45" customHeight="1">
      <c r="A40" s="28" t="inlineStr">
        <is>
          <t>CL3</t>
        </is>
      </c>
      <c r="B40" s="28" t="inlineStr">
        <is>
          <t>Target</t>
        </is>
      </c>
      <c r="C40" s="28" t="inlineStr">
        <is>
          <t>Sustainability leadership</t>
        </is>
      </c>
      <c r="D40" s="28" t="inlineStr">
        <is>
          <t>Climate leadership</t>
        </is>
      </c>
      <c r="E40" s="28" t="inlineStr">
        <is>
          <t>Reach and maintain high levels of climate-change resilience maturity</t>
        </is>
      </c>
    </row>
    <row r="41" ht="42" customHeight="1">
      <c r="A41" s="29" t="inlineStr">
        <is>
          <t>CL3(a)</t>
        </is>
      </c>
      <c r="B41" s="29" t="inlineStr">
        <is>
          <t>Indicator</t>
        </is>
      </c>
      <c r="C41" s="29" t="inlineStr">
        <is>
          <t>Sustainability leadership</t>
        </is>
      </c>
      <c r="D41" s="29" t="inlineStr">
        <is>
          <t>Climate leadership</t>
        </is>
      </c>
      <c r="E41" s="29"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9" t="inlineStr">
        <is>
          <t>Mixed</t>
        </is>
      </c>
      <c r="G41" s="29" t="inlineStr"/>
      <c r="I41" s="30" t="n"/>
      <c r="J41" s="30" t="inlineStr">
        <is>
          <t>A and R</t>
        </is>
      </c>
      <c r="K41" s="30" t="inlineStr">
        <is>
          <t>R</t>
        </is>
      </c>
      <c r="L41" s="30" t="n"/>
      <c r="M41" s="30" t="n"/>
      <c r="N41" s="30" t="n"/>
      <c r="O41" s="30" t="n"/>
      <c r="P41" s="30" t="n"/>
      <c r="Q41" s="30" t="inlineStr">
        <is>
          <t>R</t>
        </is>
      </c>
      <c r="R41" s="30" t="n"/>
      <c r="S41" s="30" t="n"/>
      <c r="T41" s="30" t="n"/>
      <c r="U41" s="30" t="n"/>
      <c r="V41" s="30" t="n"/>
      <c r="W41" s="30" t="n"/>
      <c r="X41" s="30" t="n"/>
      <c r="Y41" s="30" t="inlineStr">
        <is>
          <t>S</t>
        </is>
      </c>
    </row>
    <row r="42">
      <c r="A42" s="27" t="inlineStr">
        <is>
          <t>NB</t>
        </is>
      </c>
      <c r="B42" s="27" t="inlineStr">
        <is>
          <t>Priority</t>
        </is>
      </c>
      <c r="C42" s="27" t="inlineStr"/>
      <c r="D42" s="27" t="inlineStr"/>
      <c r="E42" s="27" t="inlineStr">
        <is>
          <t>Nature and biodiversity</t>
        </is>
      </c>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row>
    <row r="43" ht="45" customHeight="1">
      <c r="A43" s="28" t="inlineStr">
        <is>
          <t>NB1</t>
        </is>
      </c>
      <c r="B43" s="28" t="inlineStr">
        <is>
          <t>Target</t>
        </is>
      </c>
      <c r="C43" s="28" t="inlineStr">
        <is>
          <t>Sustainability leadership</t>
        </is>
      </c>
      <c r="D43" s="28" t="inlineStr">
        <is>
          <t>Nature and biodiversity</t>
        </is>
      </c>
      <c r="E43" s="28" t="inlineStr">
        <is>
          <t>Achieve an increase of biodiversity relative to defined baseline years for each campus.</t>
        </is>
      </c>
    </row>
    <row r="44" ht="42" customHeight="1">
      <c r="A44" s="29" t="inlineStr">
        <is>
          <t>NB1(a)</t>
        </is>
      </c>
      <c r="B44" s="29" t="inlineStr">
        <is>
          <t>Indicator</t>
        </is>
      </c>
      <c r="C44" s="29" t="inlineStr">
        <is>
          <t>Sustainability leadership</t>
        </is>
      </c>
      <c r="D44" s="29" t="inlineStr">
        <is>
          <t>Nature and biodiversity</t>
        </is>
      </c>
      <c r="E44" s="29" t="inlineStr">
        <is>
          <t>Monitoring of biodiversity metrics from the Biodiversity Baseline Data Project</t>
        </is>
      </c>
      <c r="F44" s="29" t="inlineStr">
        <is>
          <t>Quantitative</t>
        </is>
      </c>
      <c r="G44" s="29" t="inlineStr"/>
      <c r="I44" s="30" t="n"/>
      <c r="J44" s="30" t="inlineStr">
        <is>
          <t>A and R</t>
        </is>
      </c>
      <c r="K44" s="30" t="n"/>
      <c r="L44" s="30" t="n"/>
      <c r="M44" s="30" t="n"/>
      <c r="N44" s="30" t="n"/>
      <c r="O44" s="30" t="inlineStr">
        <is>
          <t>R (quant)</t>
        </is>
      </c>
      <c r="P44" s="30" t="n"/>
      <c r="Q44" s="30" t="n"/>
      <c r="R44" s="30" t="n"/>
      <c r="S44" s="30" t="n"/>
      <c r="T44" s="30" t="n"/>
      <c r="U44" s="30" t="n"/>
      <c r="V44" s="30" t="n"/>
      <c r="W44" s="30" t="n"/>
      <c r="X44" s="30" t="n"/>
      <c r="Y44" s="30" t="inlineStr">
        <is>
          <t>S</t>
        </is>
      </c>
    </row>
    <row r="45" ht="42" customHeight="1">
      <c r="A45" s="29" t="inlineStr">
        <is>
          <t>NB1(b)</t>
        </is>
      </c>
      <c r="B45" s="29" t="inlineStr">
        <is>
          <t>Indicator</t>
        </is>
      </c>
      <c r="C45" s="29" t="inlineStr">
        <is>
          <t>Sustainability leadership</t>
        </is>
      </c>
      <c r="D45" s="29" t="inlineStr">
        <is>
          <t>Nature and biodiversity</t>
        </is>
      </c>
      <c r="E45" s="29" t="inlineStr">
        <is>
          <t>Size, health and diversity of remnant vegetation at the Dookie and Creswick campuses</t>
        </is>
      </c>
      <c r="F45" s="29" t="inlineStr">
        <is>
          <t>Mixed</t>
        </is>
      </c>
      <c r="G45" s="29" t="inlineStr"/>
      <c r="I45" s="30" t="n"/>
      <c r="J45" s="30" t="inlineStr">
        <is>
          <t>A and R</t>
        </is>
      </c>
      <c r="K45" s="30" t="n"/>
      <c r="L45" s="30" t="n"/>
      <c r="M45" s="30" t="n"/>
      <c r="N45" s="30" t="n"/>
      <c r="O45" s="30" t="inlineStr">
        <is>
          <t>R</t>
        </is>
      </c>
      <c r="P45" s="30" t="n"/>
      <c r="Q45" s="30" t="n"/>
      <c r="R45" s="30" t="n"/>
      <c r="S45" s="30" t="n"/>
      <c r="T45" s="30" t="n"/>
      <c r="U45" s="30" t="n"/>
      <c r="V45" s="30" t="n"/>
      <c r="W45" s="30" t="n"/>
      <c r="X45" s="30" t="n"/>
      <c r="Y45" s="30" t="inlineStr">
        <is>
          <t>S</t>
        </is>
      </c>
    </row>
    <row r="46" ht="42" customHeight="1">
      <c r="A46" s="29" t="inlineStr">
        <is>
          <t>NB1(c)</t>
        </is>
      </c>
      <c r="B46" s="29" t="inlineStr">
        <is>
          <t>Indicator</t>
        </is>
      </c>
      <c r="C46" s="29" t="inlineStr">
        <is>
          <t>Sustainability leadership</t>
        </is>
      </c>
      <c r="D46" s="29" t="inlineStr">
        <is>
          <t>Nature and biodiversity</t>
        </is>
      </c>
      <c r="E46" s="29" t="inlineStr">
        <is>
          <t>Defined quality measurement framework</t>
        </is>
      </c>
      <c r="F46" s="29" t="inlineStr">
        <is>
          <t>Mixed</t>
        </is>
      </c>
      <c r="G46" s="29" t="inlineStr"/>
      <c r="I46" s="30" t="n"/>
      <c r="J46" s="30" t="inlineStr">
        <is>
          <t>A and R</t>
        </is>
      </c>
      <c r="K46" s="30" t="n"/>
      <c r="L46" s="30" t="n"/>
      <c r="M46" s="30" t="n"/>
      <c r="N46" s="30" t="n"/>
      <c r="O46" s="30" t="inlineStr">
        <is>
          <t>R</t>
        </is>
      </c>
      <c r="P46" s="30" t="n"/>
      <c r="Q46" s="30" t="n"/>
      <c r="R46" s="30" t="n"/>
      <c r="S46" s="30" t="n"/>
      <c r="T46" s="30" t="n"/>
      <c r="U46" s="30" t="n"/>
      <c r="V46" s="30" t="n"/>
      <c r="W46" s="30" t="n"/>
      <c r="X46" s="30" t="n"/>
      <c r="Y46" s="30" t="inlineStr">
        <is>
          <t>S</t>
        </is>
      </c>
    </row>
    <row r="47" ht="42" customHeight="1">
      <c r="A47" s="29" t="inlineStr">
        <is>
          <t>NB1(d)</t>
        </is>
      </c>
      <c r="B47" s="29" t="inlineStr">
        <is>
          <t>Indicator</t>
        </is>
      </c>
      <c r="C47" s="29" t="inlineStr">
        <is>
          <t>Sustainability leadership</t>
        </is>
      </c>
      <c r="D47" s="29" t="inlineStr">
        <is>
          <t>Nature and biodiversity</t>
        </is>
      </c>
      <c r="E47" s="29" t="inlineStr">
        <is>
          <t>Defined and quantified campus connectivity</t>
        </is>
      </c>
      <c r="F47" s="29" t="inlineStr">
        <is>
          <t>Mixed</t>
        </is>
      </c>
      <c r="G47" s="29" t="inlineStr"/>
      <c r="I47" s="30" t="n"/>
      <c r="J47" s="30" t="inlineStr">
        <is>
          <t>A and R</t>
        </is>
      </c>
      <c r="K47" s="30" t="n"/>
      <c r="L47" s="30" t="n"/>
      <c r="M47" s="30" t="n"/>
      <c r="N47" s="30" t="n"/>
      <c r="O47" s="30" t="inlineStr">
        <is>
          <t>R</t>
        </is>
      </c>
      <c r="P47" s="30" t="n"/>
      <c r="Q47" s="30" t="n"/>
      <c r="R47" s="30" t="n"/>
      <c r="S47" s="30" t="n"/>
      <c r="T47" s="30" t="n"/>
      <c r="U47" s="30" t="n"/>
      <c r="V47" s="30" t="n"/>
      <c r="W47" s="30" t="n"/>
      <c r="X47" s="30" t="n"/>
      <c r="Y47" s="30" t="inlineStr">
        <is>
          <t>S</t>
        </is>
      </c>
    </row>
    <row r="48" ht="45" customHeight="1">
      <c r="A48" s="28" t="inlineStr">
        <is>
          <t>NB2</t>
        </is>
      </c>
      <c r="B48" s="28" t="inlineStr">
        <is>
          <t>Target</t>
        </is>
      </c>
      <c r="C48" s="28" t="inlineStr">
        <is>
          <t>Sustainability leadership</t>
        </is>
      </c>
      <c r="D48" s="28" t="inlineStr">
        <is>
          <t>Nature and biodiversity</t>
        </is>
      </c>
      <c r="E48" s="28" t="inlineStr">
        <is>
          <t>Improve our understanding of our supply chain impacts on nature.</t>
        </is>
      </c>
    </row>
    <row r="49" ht="42" customHeight="1">
      <c r="A49" s="29" t="inlineStr">
        <is>
          <t>NB2(a)</t>
        </is>
      </c>
      <c r="B49" s="29" t="inlineStr">
        <is>
          <t>Indicator</t>
        </is>
      </c>
      <c r="C49" s="29" t="inlineStr">
        <is>
          <t>Sustainability leadership</t>
        </is>
      </c>
      <c r="D49" s="29" t="inlineStr">
        <is>
          <t>Nature and biodiversity</t>
        </is>
      </c>
      <c r="E49" s="29" t="inlineStr">
        <is>
          <t>Documented baseline nature footprint analysis</t>
        </is>
      </c>
      <c r="F49" s="29" t="inlineStr">
        <is>
          <t>Mixed</t>
        </is>
      </c>
      <c r="G49" s="29" t="inlineStr"/>
      <c r="I49" s="30" t="n"/>
      <c r="J49" s="30" t="n"/>
      <c r="K49" s="30" t="n"/>
      <c r="L49" s="30" t="n"/>
      <c r="M49" s="30" t="n"/>
      <c r="N49" s="30" t="n"/>
      <c r="O49" s="30" t="n"/>
      <c r="P49" s="30" t="n"/>
      <c r="Q49" s="30" t="n"/>
      <c r="R49" s="30" t="inlineStr">
        <is>
          <t>A and R</t>
        </is>
      </c>
      <c r="S49" s="30" t="inlineStr">
        <is>
          <t>R</t>
        </is>
      </c>
      <c r="T49" s="30" t="n"/>
      <c r="U49" s="30" t="n"/>
      <c r="V49" s="30" t="n"/>
      <c r="W49" s="30" t="n"/>
      <c r="X49" s="30" t="n"/>
      <c r="Y49" s="30" t="inlineStr">
        <is>
          <t>S</t>
        </is>
      </c>
    </row>
    <row r="50" ht="42" customHeight="1">
      <c r="A50" s="29" t="inlineStr">
        <is>
          <t>NB2(b)</t>
        </is>
      </c>
      <c r="B50" s="29" t="inlineStr">
        <is>
          <t>Indicator</t>
        </is>
      </c>
      <c r="C50" s="29" t="inlineStr">
        <is>
          <t>Sustainability leadership</t>
        </is>
      </c>
      <c r="D50" s="29" t="inlineStr">
        <is>
          <t>Nature and biodiversity</t>
        </is>
      </c>
      <c r="E50" s="29" t="inlineStr">
        <is>
          <t>Evidence of established framework to monitor and track supply-chain nature impacts over time</t>
        </is>
      </c>
      <c r="F50" s="29" t="inlineStr">
        <is>
          <t>Qualitative</t>
        </is>
      </c>
      <c r="G50" s="29" t="inlineStr"/>
      <c r="I50" s="30" t="n"/>
      <c r="J50" s="30" t="inlineStr">
        <is>
          <t>A and R</t>
        </is>
      </c>
      <c r="K50" s="30" t="n"/>
      <c r="L50" s="30" t="n"/>
      <c r="M50" s="30" t="n"/>
      <c r="N50" s="30" t="n"/>
      <c r="O50" s="30" t="inlineStr">
        <is>
          <t>R</t>
        </is>
      </c>
      <c r="P50" s="30" t="n"/>
      <c r="Q50" s="30" t="n"/>
      <c r="R50" s="30" t="n"/>
      <c r="S50" s="30" t="n"/>
      <c r="T50" s="30" t="n"/>
      <c r="U50" s="30" t="n"/>
      <c r="V50" s="30" t="n"/>
      <c r="W50" s="30" t="n"/>
      <c r="X50" s="30" t="n"/>
      <c r="Y50" s="30" t="inlineStr">
        <is>
          <t>S</t>
        </is>
      </c>
    </row>
    <row r="51" ht="42" customHeight="1">
      <c r="A51" s="29" t="inlineStr">
        <is>
          <t>NB2(c)</t>
        </is>
      </c>
      <c r="B51" s="29" t="inlineStr">
        <is>
          <t>Indicator</t>
        </is>
      </c>
      <c r="C51" s="29" t="inlineStr">
        <is>
          <t>Sustainability leadership</t>
        </is>
      </c>
      <c r="D51" s="29" t="inlineStr">
        <is>
          <t>Nature and biodiversity</t>
        </is>
      </c>
      <c r="E51" s="29" t="inlineStr">
        <is>
          <t>Evidence of prioritised high risk procurement categories or suppliers for nature impact management</t>
        </is>
      </c>
      <c r="F51" s="29" t="inlineStr">
        <is>
          <t>Qualitative</t>
        </is>
      </c>
      <c r="G51" s="29" t="inlineStr"/>
      <c r="I51" s="30" t="n"/>
      <c r="J51" s="30" t="inlineStr">
        <is>
          <t>A and R</t>
        </is>
      </c>
      <c r="K51" s="30" t="n"/>
      <c r="L51" s="30" t="n"/>
      <c r="M51" s="30" t="inlineStr">
        <is>
          <t>R</t>
        </is>
      </c>
      <c r="N51" s="30" t="n"/>
      <c r="O51" s="30" t="inlineStr">
        <is>
          <t>R</t>
        </is>
      </c>
      <c r="P51" s="30" t="n"/>
      <c r="Q51" s="30" t="n"/>
      <c r="R51" s="30" t="n"/>
      <c r="S51" s="30" t="n"/>
      <c r="T51" s="30" t="n"/>
      <c r="U51" s="30" t="n"/>
      <c r="V51" s="30" t="n"/>
      <c r="W51" s="30" t="n"/>
      <c r="X51" s="30" t="n"/>
      <c r="Y51" s="30" t="inlineStr">
        <is>
          <t>S</t>
        </is>
      </c>
    </row>
    <row r="52">
      <c r="A52" s="27" t="inlineStr">
        <is>
          <t>AI</t>
        </is>
      </c>
      <c r="B52" s="27" t="inlineStr">
        <is>
          <t>Priority</t>
        </is>
      </c>
      <c r="C52" s="27" t="inlineStr"/>
      <c r="D52" s="27" t="inlineStr"/>
      <c r="E52" s="27" t="inlineStr">
        <is>
          <t>Responsible AI</t>
        </is>
      </c>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row>
    <row r="53" ht="45" customHeight="1">
      <c r="A53" s="28" t="inlineStr">
        <is>
          <t>AI1</t>
        </is>
      </c>
      <c r="B53" s="28" t="inlineStr">
        <is>
          <t>Target</t>
        </is>
      </c>
      <c r="C53" s="28" t="inlineStr">
        <is>
          <t>Sustainability leadership</t>
        </is>
      </c>
      <c r="D53" s="28" t="inlineStr">
        <is>
          <t>Responsible AI</t>
        </is>
      </c>
      <c r="E53" s="28" t="inlineStr">
        <is>
          <t>Improve understanding of our sustainability-related risks and opportunities of AI technologies by 2028.</t>
        </is>
      </c>
    </row>
    <row r="54" ht="42" customHeight="1">
      <c r="A54" s="29" t="inlineStr">
        <is>
          <t>AI1(a)</t>
        </is>
      </c>
      <c r="B54" s="29" t="inlineStr">
        <is>
          <t>Indicator</t>
        </is>
      </c>
      <c r="C54" s="29" t="inlineStr">
        <is>
          <t>Sustainability leadership</t>
        </is>
      </c>
      <c r="D54" s="29" t="inlineStr">
        <is>
          <t>Responsible AI</t>
        </is>
      </c>
      <c r="E54" s="29" t="inlineStr">
        <is>
          <t>Established measurement of estimated operational impacts and opportunities (eg operational impacts could include energy, water, emissions and intensity measures)</t>
        </is>
      </c>
      <c r="F54" s="29" t="inlineStr">
        <is>
          <t>Mixed</t>
        </is>
      </c>
      <c r="G54" s="29" t="inlineStr"/>
      <c r="I54" s="30" t="n"/>
      <c r="J54" s="30" t="inlineStr">
        <is>
          <t>A and R</t>
        </is>
      </c>
      <c r="K54" s="30" t="n"/>
      <c r="L54" s="30" t="inlineStr">
        <is>
          <t>R</t>
        </is>
      </c>
      <c r="M54" s="30" t="n"/>
      <c r="N54" s="30" t="n"/>
      <c r="O54" s="30" t="n"/>
      <c r="P54" s="30" t="inlineStr">
        <is>
          <t>R</t>
        </is>
      </c>
      <c r="Q54" s="30" t="n"/>
      <c r="R54" s="30" t="n"/>
      <c r="S54" s="30" t="n"/>
      <c r="T54" s="30" t="n"/>
      <c r="U54" s="30" t="n"/>
      <c r="V54" s="30" t="n"/>
      <c r="W54" s="30" t="n"/>
      <c r="X54" s="30" t="n"/>
      <c r="Y54" s="30" t="inlineStr">
        <is>
          <t>S</t>
        </is>
      </c>
    </row>
    <row r="55" ht="42" customHeight="1">
      <c r="A55" s="29" t="inlineStr">
        <is>
          <t>AI1(b)</t>
        </is>
      </c>
      <c r="B55" s="29" t="inlineStr">
        <is>
          <t>Indicator</t>
        </is>
      </c>
      <c r="C55" s="29" t="inlineStr">
        <is>
          <t>Sustainability leadership</t>
        </is>
      </c>
      <c r="D55" s="29" t="inlineStr">
        <is>
          <t>Responsible AI</t>
        </is>
      </c>
      <c r="E55" s="29" t="inlineStr">
        <is>
          <t>Case studies of sustainability and AI-related education, research and collaboration activities.</t>
        </is>
      </c>
      <c r="F55" s="29" t="inlineStr">
        <is>
          <t>Qualitative</t>
        </is>
      </c>
      <c r="G55" s="29" t="inlineStr"/>
      <c r="I55" s="30" t="n"/>
      <c r="J55" s="30" t="inlineStr">
        <is>
          <t>A and R</t>
        </is>
      </c>
      <c r="K55" s="30" t="n"/>
      <c r="L55" s="30" t="inlineStr">
        <is>
          <t>R</t>
        </is>
      </c>
      <c r="M55" s="30" t="n"/>
      <c r="N55" s="30" t="n"/>
      <c r="O55" s="30" t="n"/>
      <c r="P55" s="30" t="inlineStr">
        <is>
          <t>R</t>
        </is>
      </c>
      <c r="Q55" s="30" t="n"/>
      <c r="R55" s="30" t="n"/>
      <c r="S55" s="30" t="n"/>
      <c r="T55" s="30" t="n"/>
      <c r="U55" s="30" t="n"/>
      <c r="V55" s="30" t="n"/>
      <c r="W55" s="30" t="n"/>
      <c r="X55" s="30" t="n"/>
      <c r="Y55" s="30" t="inlineStr">
        <is>
          <t>S</t>
        </is>
      </c>
    </row>
    <row r="56">
      <c r="A56" s="26" t="inlineStr">
        <is>
          <t>D3</t>
        </is>
      </c>
      <c r="B56" s="26" t="inlineStr">
        <is>
          <t>Domain</t>
        </is>
      </c>
      <c r="C56" s="26" t="inlineStr"/>
      <c r="D56" s="26" t="inlineStr"/>
      <c r="E56" s="26" t="inlineStr">
        <is>
          <t>Resilient University</t>
        </is>
      </c>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row>
    <row r="57">
      <c r="A57" s="27" t="inlineStr">
        <is>
          <t>EI</t>
        </is>
      </c>
      <c r="B57" s="27" t="inlineStr">
        <is>
          <t>Priority</t>
        </is>
      </c>
      <c r="C57" s="27" t="inlineStr"/>
      <c r="D57" s="27" t="inlineStr"/>
      <c r="E57" s="27" t="inlineStr">
        <is>
          <t>Estate and infrastructure</t>
        </is>
      </c>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row>
    <row r="58" ht="45" customHeight="1">
      <c r="A58" s="28" t="inlineStr">
        <is>
          <t>EI1</t>
        </is>
      </c>
      <c r="B58" s="28" t="inlineStr">
        <is>
          <t>Target</t>
        </is>
      </c>
      <c r="C58" s="28" t="inlineStr">
        <is>
          <t>Resilient University</t>
        </is>
      </c>
      <c r="D58" s="28" t="inlineStr">
        <is>
          <t>Estate and infrastructure</t>
        </is>
      </c>
      <c r="E58" s="28" t="inlineStr">
        <is>
          <t>Integrate environmental sustainability in the way that the University achieves strategic and operational objectives for our estate and infrastructure.</t>
        </is>
      </c>
    </row>
    <row r="59" ht="42" customHeight="1">
      <c r="A59" s="29" t="inlineStr">
        <is>
          <t>EI1(a)</t>
        </is>
      </c>
      <c r="B59" s="29" t="inlineStr">
        <is>
          <t>Indicator</t>
        </is>
      </c>
      <c r="C59" s="29" t="inlineStr">
        <is>
          <t>Resilient University</t>
        </is>
      </c>
      <c r="D59" s="29" t="inlineStr">
        <is>
          <t>Estate and infrastructure</t>
        </is>
      </c>
      <c r="E59" s="29" t="inlineStr">
        <is>
          <t>Evidence of increased maturity of estate and infrastructure planning, development and operations to support the other priority areas in Sustainability 2030</t>
        </is>
      </c>
      <c r="F59" s="29" t="inlineStr">
        <is>
          <t>Mixed</t>
        </is>
      </c>
      <c r="G59" s="29" t="inlineStr"/>
      <c r="I59" s="30" t="n"/>
      <c r="J59" s="30" t="inlineStr">
        <is>
          <t>A and R</t>
        </is>
      </c>
      <c r="K59" s="30" t="inlineStr">
        <is>
          <t>R</t>
        </is>
      </c>
      <c r="L59" s="30" t="n"/>
      <c r="M59" s="30" t="n"/>
      <c r="N59" s="30" t="n"/>
      <c r="O59" s="30" t="n"/>
      <c r="P59" s="30" t="n"/>
      <c r="Q59" s="30" t="n"/>
      <c r="R59" s="30" t="n"/>
      <c r="S59" s="30" t="n"/>
      <c r="T59" s="30" t="n"/>
      <c r="U59" s="30" t="n"/>
      <c r="V59" s="30" t="n"/>
      <c r="W59" s="30" t="n"/>
      <c r="X59" s="30" t="n"/>
      <c r="Y59" s="30" t="inlineStr">
        <is>
          <t>S</t>
        </is>
      </c>
    </row>
    <row r="60" ht="42" customHeight="1">
      <c r="A60" s="29" t="inlineStr">
        <is>
          <t>EI1(b)</t>
        </is>
      </c>
      <c r="B60" s="29" t="inlineStr">
        <is>
          <t>Indicator</t>
        </is>
      </c>
      <c r="C60" s="29" t="inlineStr">
        <is>
          <t>Resilient University</t>
        </is>
      </c>
      <c r="D60" s="29" t="inlineStr">
        <is>
          <t>Estate and infrastructure</t>
        </is>
      </c>
      <c r="E60" s="29" t="inlineStr">
        <is>
          <t>Estimated sustainability impacts of the University’s estate and infrastructure capital plan to inform progress towards emissions reduction targets and other priority areas (to the extent enabled by available information)</t>
        </is>
      </c>
      <c r="F60" s="29" t="inlineStr">
        <is>
          <t>Mixed</t>
        </is>
      </c>
      <c r="G60" s="29" t="inlineStr"/>
      <c r="I60" s="30" t="n"/>
      <c r="J60" s="30" t="inlineStr">
        <is>
          <t>A and R</t>
        </is>
      </c>
      <c r="K60" s="30" t="inlineStr">
        <is>
          <t>R</t>
        </is>
      </c>
      <c r="L60" s="30" t="n"/>
      <c r="M60" s="30" t="n"/>
      <c r="N60" s="30" t="n"/>
      <c r="O60" s="30" t="n"/>
      <c r="P60" s="30" t="n"/>
      <c r="Q60" s="30" t="n"/>
      <c r="R60" s="30" t="n"/>
      <c r="S60" s="30" t="n"/>
      <c r="T60" s="30" t="n"/>
      <c r="U60" s="30" t="n"/>
      <c r="V60" s="30" t="n"/>
      <c r="W60" s="30" t="n"/>
      <c r="X60" s="30" t="n"/>
      <c r="Y60" s="30" t="inlineStr">
        <is>
          <t>S</t>
        </is>
      </c>
    </row>
    <row r="61" ht="42" customHeight="1">
      <c r="A61" s="29" t="inlineStr">
        <is>
          <t>EI1(c)</t>
        </is>
      </c>
      <c r="B61" s="29" t="inlineStr">
        <is>
          <t>Indicator</t>
        </is>
      </c>
      <c r="C61" s="29" t="inlineStr">
        <is>
          <t>Resilient University</t>
        </is>
      </c>
      <c r="D61" s="29" t="inlineStr">
        <is>
          <t>Estate and infrastructure</t>
        </is>
      </c>
      <c r="E61" s="29" t="inlineStr">
        <is>
          <t>Reporting on relevant activities and impacts for the University’s major estate and infrastructure projects and programs aligned with the other priority areas in Sustainability 2030</t>
        </is>
      </c>
      <c r="F61" s="29" t="inlineStr">
        <is>
          <t>Mixed</t>
        </is>
      </c>
      <c r="G61" s="29" t="inlineStr"/>
      <c r="I61" s="30" t="n"/>
      <c r="J61" s="30" t="inlineStr">
        <is>
          <t>A and R</t>
        </is>
      </c>
      <c r="K61" s="30" t="inlineStr">
        <is>
          <t>R</t>
        </is>
      </c>
      <c r="L61" s="30" t="n"/>
      <c r="M61" s="30" t="n"/>
      <c r="N61" s="30" t="n"/>
      <c r="O61" s="30" t="n"/>
      <c r="P61" s="30" t="n"/>
      <c r="Q61" s="30" t="n"/>
      <c r="R61" s="30" t="n"/>
      <c r="S61" s="30" t="n"/>
      <c r="T61" s="30" t="n"/>
      <c r="U61" s="30" t="n"/>
      <c r="V61" s="30" t="n"/>
      <c r="W61" s="30" t="n"/>
      <c r="X61" s="30" t="n"/>
      <c r="Y61" s="30" t="inlineStr">
        <is>
          <t>S</t>
        </is>
      </c>
    </row>
    <row r="62" ht="42" customHeight="1">
      <c r="A62" s="29" t="inlineStr">
        <is>
          <t>EI1(d)</t>
        </is>
      </c>
      <c r="B62" s="29" t="inlineStr">
        <is>
          <t>Indicator</t>
        </is>
      </c>
      <c r="C62" s="29" t="inlineStr">
        <is>
          <t>Resilient University</t>
        </is>
      </c>
      <c r="D62" s="29" t="inlineStr">
        <is>
          <t>Estate and infrastructure</t>
        </is>
      </c>
      <c r="E62" s="29" t="inlineStr">
        <is>
          <t>Evidence of understanding and integration of Indigenous approaches to sustainability in estate planning and development programs and projects.</t>
        </is>
      </c>
      <c r="F62" s="29" t="inlineStr">
        <is>
          <t>Qualitative</t>
        </is>
      </c>
      <c r="G62" s="29" t="inlineStr"/>
      <c r="I62" s="30" t="n"/>
      <c r="J62" s="30" t="inlineStr">
        <is>
          <t>A and R</t>
        </is>
      </c>
      <c r="K62" s="30" t="inlineStr">
        <is>
          <t>R</t>
        </is>
      </c>
      <c r="L62" s="30" t="n"/>
      <c r="M62" s="30" t="n"/>
      <c r="N62" s="30" t="n"/>
      <c r="O62" s="30" t="n"/>
      <c r="P62" s="30" t="n"/>
      <c r="Q62" s="30" t="n"/>
      <c r="R62" s="30" t="n"/>
      <c r="S62" s="30" t="n"/>
      <c r="T62" s="30" t="n"/>
      <c r="U62" s="30" t="n"/>
      <c r="V62" s="30" t="n"/>
      <c r="W62" s="30" t="n"/>
      <c r="X62" s="30" t="n"/>
      <c r="Y62" s="30" t="inlineStr">
        <is>
          <t>S</t>
        </is>
      </c>
    </row>
    <row r="63">
      <c r="A63" s="27" t="inlineStr">
        <is>
          <t>CE</t>
        </is>
      </c>
      <c r="B63" s="27" t="inlineStr">
        <is>
          <t>Priority</t>
        </is>
      </c>
      <c r="C63" s="27" t="inlineStr"/>
      <c r="D63" s="27" t="inlineStr"/>
      <c r="E63" s="27" t="inlineStr">
        <is>
          <t>Circular economy</t>
        </is>
      </c>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row>
    <row r="64" ht="45" customHeight="1">
      <c r="A64" s="28" t="inlineStr">
        <is>
          <t>CE1</t>
        </is>
      </c>
      <c r="B64" s="28" t="inlineStr">
        <is>
          <t>Target</t>
        </is>
      </c>
      <c r="C64" s="28" t="inlineStr">
        <is>
          <t>Resilient University</t>
        </is>
      </c>
      <c r="D64" s="28" t="inlineStr">
        <is>
          <t>Circular economy</t>
        </is>
      </c>
      <c r="E64" s="28" t="inlineStr">
        <is>
          <t>Reduce waste to landfill by 10% by CY2030 on the CY2025 baseline.</t>
        </is>
      </c>
    </row>
    <row r="65" ht="42" customHeight="1">
      <c r="A65" s="29" t="inlineStr">
        <is>
          <t>CE1(a)</t>
        </is>
      </c>
      <c r="B65" s="29" t="inlineStr">
        <is>
          <t>Indicator</t>
        </is>
      </c>
      <c r="C65" s="29" t="inlineStr">
        <is>
          <t>Resilient University</t>
        </is>
      </c>
      <c r="D65" s="29" t="inlineStr">
        <is>
          <t>Circular economy</t>
        </is>
      </c>
      <c r="E65" s="29" t="inlineStr">
        <is>
          <t>Comparison of year-to-year tonnes of waste (absolute).</t>
        </is>
      </c>
      <c r="F65" s="29" t="inlineStr">
        <is>
          <t>Quantitative</t>
        </is>
      </c>
      <c r="G65" s="29" t="inlineStr"/>
      <c r="I65" s="30" t="n"/>
      <c r="J65" s="30" t="inlineStr">
        <is>
          <t>A and R</t>
        </is>
      </c>
      <c r="K65" s="30" t="n"/>
      <c r="L65" s="30" t="n"/>
      <c r="M65" s="30" t="n"/>
      <c r="N65" s="30" t="n"/>
      <c r="O65" s="30" t="inlineStr">
        <is>
          <t>R (quant)</t>
        </is>
      </c>
      <c r="P65" s="30" t="n"/>
      <c r="Q65" s="30" t="n"/>
      <c r="R65" s="30" t="n"/>
      <c r="S65" s="30" t="n"/>
      <c r="T65" s="30" t="n"/>
      <c r="U65" s="30" t="n"/>
      <c r="V65" s="30" t="n"/>
      <c r="W65" s="30" t="n"/>
      <c r="X65" s="30" t="n"/>
      <c r="Y65" s="30" t="inlineStr">
        <is>
          <t>S</t>
        </is>
      </c>
    </row>
    <row r="66" ht="45" customHeight="1">
      <c r="A66" s="28" t="inlineStr">
        <is>
          <t>CE2</t>
        </is>
      </c>
      <c r="B66" s="28" t="inlineStr">
        <is>
          <t>Target</t>
        </is>
      </c>
      <c r="C66" s="28" t="inlineStr">
        <is>
          <t>Resilient University</t>
        </is>
      </c>
      <c r="D66" s="28" t="inlineStr">
        <is>
          <t>Circular economy</t>
        </is>
      </c>
      <c r="E66" s="28" t="inlineStr">
        <is>
          <t>Increase diversion of recyclable materials from landfill by 10% by CY2030 on the CY2025 baseline.</t>
        </is>
      </c>
    </row>
    <row r="67" ht="42" customHeight="1">
      <c r="A67" s="29" t="inlineStr">
        <is>
          <t>CE2(a)</t>
        </is>
      </c>
      <c r="B67" s="29" t="inlineStr">
        <is>
          <t>Indicator</t>
        </is>
      </c>
      <c r="C67" s="29" t="inlineStr">
        <is>
          <t>Resilient University</t>
        </is>
      </c>
      <c r="D67" s="29" t="inlineStr">
        <is>
          <t>Circular economy</t>
        </is>
      </c>
      <c r="E67" s="29" t="inlineStr">
        <is>
          <t>Comparison of year-to-year tonnes of recyclables (absolute).</t>
        </is>
      </c>
      <c r="F67" s="29" t="inlineStr">
        <is>
          <t>Quantitative</t>
        </is>
      </c>
      <c r="G67" s="29" t="inlineStr"/>
      <c r="I67" s="30" t="n"/>
      <c r="J67" s="30" t="inlineStr">
        <is>
          <t>A and R</t>
        </is>
      </c>
      <c r="K67" s="30" t="n"/>
      <c r="L67" s="30" t="n"/>
      <c r="M67" s="30" t="n"/>
      <c r="N67" s="30" t="n"/>
      <c r="O67" s="30" t="inlineStr">
        <is>
          <t>R (quant)</t>
        </is>
      </c>
      <c r="P67" s="30" t="n"/>
      <c r="Q67" s="30" t="n"/>
      <c r="R67" s="30" t="n"/>
      <c r="S67" s="30" t="n"/>
      <c r="T67" s="30" t="n"/>
      <c r="U67" s="30" t="n"/>
      <c r="V67" s="30" t="n"/>
      <c r="W67" s="30" t="n"/>
      <c r="X67" s="30" t="n"/>
      <c r="Y67" s="30" t="inlineStr">
        <is>
          <t>S</t>
        </is>
      </c>
    </row>
    <row r="68">
      <c r="A68" s="27" t="inlineStr">
        <is>
          <t>RP</t>
        </is>
      </c>
      <c r="B68" s="27" t="inlineStr">
        <is>
          <t>Priority</t>
        </is>
      </c>
      <c r="C68" s="27" t="inlineStr"/>
      <c r="D68" s="27" t="inlineStr"/>
      <c r="E68" s="27" t="inlineStr">
        <is>
          <t>Responsible procurement</t>
        </is>
      </c>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row>
    <row r="69" ht="45" customHeight="1">
      <c r="A69" s="28" t="inlineStr">
        <is>
          <t>RP1</t>
        </is>
      </c>
      <c r="B69" s="28" t="inlineStr">
        <is>
          <t>Target</t>
        </is>
      </c>
      <c r="C69" s="28" t="inlineStr">
        <is>
          <t>Resilient University</t>
        </is>
      </c>
      <c r="D69" s="28" t="inlineStr">
        <is>
          <t>Responsible procurement</t>
        </is>
      </c>
      <c r="E69" s="28" t="inlineStr">
        <is>
          <t>Strengthen our ethical and sustainable procurement approach.</t>
        </is>
      </c>
    </row>
    <row r="70" ht="42" customHeight="1">
      <c r="A70" s="29" t="inlineStr">
        <is>
          <t>RP1(a)</t>
        </is>
      </c>
      <c r="B70" s="29" t="inlineStr">
        <is>
          <t>Indicator</t>
        </is>
      </c>
      <c r="C70" s="29" t="inlineStr">
        <is>
          <t>Resilient University</t>
        </is>
      </c>
      <c r="D70" s="29" t="inlineStr">
        <is>
          <t>Responsible procurement</t>
        </is>
      </c>
      <c r="E70" s="29" t="inlineStr">
        <is>
          <t>Case studies of maturity improvement related to responsible procurement process and systems.</t>
        </is>
      </c>
      <c r="F70" s="29" t="inlineStr">
        <is>
          <t>Mixed</t>
        </is>
      </c>
      <c r="G70" s="29" t="inlineStr"/>
      <c r="I70" s="30" t="n"/>
      <c r="J70" s="30" t="inlineStr">
        <is>
          <t>A and R</t>
        </is>
      </c>
      <c r="K70" s="30" t="n"/>
      <c r="L70" s="30" t="n"/>
      <c r="M70" s="30" t="inlineStr">
        <is>
          <t>R</t>
        </is>
      </c>
      <c r="N70" s="30" t="n"/>
      <c r="O70" s="30" t="n"/>
      <c r="P70" s="30" t="n"/>
      <c r="Q70" s="30" t="n"/>
      <c r="R70" s="30" t="n"/>
      <c r="S70" s="30" t="n"/>
      <c r="T70" s="30" t="n"/>
      <c r="U70" s="30" t="n"/>
      <c r="V70" s="30" t="n"/>
      <c r="W70" s="30" t="n"/>
      <c r="X70" s="30" t="n"/>
      <c r="Y70" s="30" t="inlineStr">
        <is>
          <t>S</t>
        </is>
      </c>
    </row>
    <row r="71" ht="45" customHeight="1">
      <c r="A71" s="28" t="inlineStr">
        <is>
          <t>RP2</t>
        </is>
      </c>
      <c r="B71" s="28" t="inlineStr">
        <is>
          <t>Target</t>
        </is>
      </c>
      <c r="C71" s="28" t="inlineStr">
        <is>
          <t>Resilient University</t>
        </is>
      </c>
      <c r="D71" s="28" t="inlineStr">
        <is>
          <t>Responsible procurement</t>
        </is>
      </c>
      <c r="E71" s="28" t="inlineStr">
        <is>
          <t>Increase our Indigenous and social spend, reaching 3% Indigenous and 1% social spend of addressable procurement by 2030.</t>
        </is>
      </c>
    </row>
    <row r="72" ht="42" customHeight="1">
      <c r="A72" s="29" t="inlineStr">
        <is>
          <t>RP2(a)</t>
        </is>
      </c>
      <c r="B72" s="29" t="inlineStr">
        <is>
          <t>Indicator</t>
        </is>
      </c>
      <c r="C72" s="29" t="inlineStr">
        <is>
          <t>Resilient University</t>
        </is>
      </c>
      <c r="D72" s="29" t="inlineStr">
        <is>
          <t>Responsible procurement</t>
        </is>
      </c>
      <c r="E72" s="29" t="inlineStr">
        <is>
          <t>Percentage of Indigenous spend of total addressable procurement spend</t>
        </is>
      </c>
      <c r="F72" s="29" t="inlineStr">
        <is>
          <t>Quantitative</t>
        </is>
      </c>
      <c r="G72" s="29" t="inlineStr"/>
      <c r="I72" s="30" t="n"/>
      <c r="J72" s="30" t="inlineStr">
        <is>
          <t>A and R</t>
        </is>
      </c>
      <c r="K72" s="30" t="n"/>
      <c r="L72" s="30" t="n"/>
      <c r="M72" s="30" t="inlineStr">
        <is>
          <t>R (quant)</t>
        </is>
      </c>
      <c r="N72" s="30" t="n"/>
      <c r="O72" s="30" t="n"/>
      <c r="P72" s="30" t="n"/>
      <c r="Q72" s="30" t="n"/>
      <c r="R72" s="30" t="n"/>
      <c r="S72" s="30" t="n"/>
      <c r="T72" s="30" t="n"/>
      <c r="U72" s="30" t="n"/>
      <c r="V72" s="30" t="n"/>
      <c r="W72" s="30" t="n"/>
      <c r="X72" s="30" t="n"/>
      <c r="Y72" s="30" t="inlineStr">
        <is>
          <t>S</t>
        </is>
      </c>
    </row>
    <row r="73" ht="42" customHeight="1">
      <c r="A73" s="29" t="inlineStr">
        <is>
          <t>RP2(b)</t>
        </is>
      </c>
      <c r="B73" s="29" t="inlineStr">
        <is>
          <t>Indicator</t>
        </is>
      </c>
      <c r="C73" s="29" t="inlineStr">
        <is>
          <t>Resilient University</t>
        </is>
      </c>
      <c r="D73" s="29" t="inlineStr">
        <is>
          <t>Responsible procurement</t>
        </is>
      </c>
      <c r="E73" s="29" t="inlineStr">
        <is>
          <t>Percentage of social spend of total addressable procurement spend.</t>
        </is>
      </c>
      <c r="F73" s="29" t="inlineStr">
        <is>
          <t>Quantitative</t>
        </is>
      </c>
      <c r="G73" s="29" t="inlineStr"/>
      <c r="I73" s="30" t="n"/>
      <c r="J73" s="30" t="inlineStr">
        <is>
          <t>A and R</t>
        </is>
      </c>
      <c r="K73" s="30" t="n"/>
      <c r="L73" s="30" t="n"/>
      <c r="M73" s="30" t="inlineStr">
        <is>
          <t>R (quant)</t>
        </is>
      </c>
      <c r="N73" s="30" t="n"/>
      <c r="O73" s="30" t="n"/>
      <c r="P73" s="30" t="n"/>
      <c r="Q73" s="30" t="n"/>
      <c r="R73" s="30" t="n"/>
      <c r="S73" s="30" t="n"/>
      <c r="T73" s="30" t="n"/>
      <c r="U73" s="30" t="n"/>
      <c r="V73" s="30" t="n"/>
      <c r="W73" s="30" t="n"/>
      <c r="X73" s="30" t="n"/>
      <c r="Y73" s="30" t="inlineStr">
        <is>
          <t>S</t>
        </is>
      </c>
    </row>
    <row r="74">
      <c r="A74" s="27" t="inlineStr">
        <is>
          <t>MS</t>
        </is>
      </c>
      <c r="B74" s="27" t="inlineStr">
        <is>
          <t>Priority</t>
        </is>
      </c>
      <c r="C74" s="27" t="inlineStr"/>
      <c r="D74" s="27" t="inlineStr"/>
      <c r="E74" s="27" t="inlineStr">
        <is>
          <t>Modern slavery and human rights</t>
        </is>
      </c>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row>
    <row r="75" ht="45" customHeight="1">
      <c r="A75" s="28" t="inlineStr">
        <is>
          <t>MS1</t>
        </is>
      </c>
      <c r="B75" s="28" t="inlineStr">
        <is>
          <t>Target</t>
        </is>
      </c>
      <c r="C75" s="28" t="inlineStr">
        <is>
          <t>Resilient University</t>
        </is>
      </c>
      <c r="D75" s="28" t="inlineStr">
        <is>
          <t>Modern slavery and human rights</t>
        </is>
      </c>
      <c r="E75" s="28" t="inlineStr">
        <is>
          <t>Manage our approach to modern slavery and human rights-related risks and opportunities.</t>
        </is>
      </c>
    </row>
    <row r="76" ht="42" customHeight="1">
      <c r="A76" s="29" t="inlineStr">
        <is>
          <t>MS1(a)</t>
        </is>
      </c>
      <c r="B76" s="29" t="inlineStr">
        <is>
          <t>Indicator</t>
        </is>
      </c>
      <c r="C76" s="29" t="inlineStr">
        <is>
          <t>Resilient University</t>
        </is>
      </c>
      <c r="D76" s="29" t="inlineStr">
        <is>
          <t>Modern slavery and human rights</t>
        </is>
      </c>
      <c r="E76" s="29" t="inlineStr">
        <is>
          <t>Annual progress reporting via the Modern Slavery Statement</t>
        </is>
      </c>
      <c r="F76" s="29" t="inlineStr">
        <is>
          <t>Qualitative</t>
        </is>
      </c>
      <c r="G76" s="29" t="inlineStr"/>
      <c r="I76" s="30" t="n"/>
      <c r="J76" s="30" t="inlineStr">
        <is>
          <t>A and R</t>
        </is>
      </c>
      <c r="K76" s="30" t="n"/>
      <c r="L76" s="30" t="inlineStr">
        <is>
          <t>R</t>
        </is>
      </c>
      <c r="M76" s="30" t="inlineStr">
        <is>
          <t>R</t>
        </is>
      </c>
      <c r="N76" s="30" t="n"/>
      <c r="O76" s="30" t="n"/>
      <c r="P76" s="30" t="n"/>
      <c r="Q76" s="30" t="n"/>
      <c r="R76" s="30" t="n"/>
      <c r="S76" s="30" t="n"/>
      <c r="T76" s="30" t="n"/>
      <c r="U76" s="30" t="n"/>
      <c r="V76" s="30" t="n"/>
      <c r="W76" s="30" t="n"/>
      <c r="X76" s="30" t="n"/>
      <c r="Y76" s="30" t="inlineStr">
        <is>
          <t>S</t>
        </is>
      </c>
    </row>
    <row r="77">
      <c r="A77" s="27" t="inlineStr">
        <is>
          <t>RI</t>
        </is>
      </c>
      <c r="B77" s="27" t="inlineStr">
        <is>
          <t>Priority</t>
        </is>
      </c>
      <c r="C77" s="27" t="inlineStr"/>
      <c r="D77" s="27" t="inlineStr"/>
      <c r="E77" s="27" t="inlineStr">
        <is>
          <t>Responsible investments</t>
        </is>
      </c>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row>
    <row r="78" ht="45" customHeight="1">
      <c r="A78" s="28" t="inlineStr">
        <is>
          <t>RI1</t>
        </is>
      </c>
      <c r="B78" s="28" t="inlineStr">
        <is>
          <t>Target</t>
        </is>
      </c>
      <c r="C78" s="28" t="inlineStr">
        <is>
          <t>Resilient University</t>
        </is>
      </c>
      <c r="D78" s="28" t="inlineStr">
        <is>
          <t>Responsible investments</t>
        </is>
      </c>
      <c r="E78" s="28" t="inlineStr">
        <is>
          <t>Achieve net zero financed emissions for the University’s investment portfolio by 2050.</t>
        </is>
      </c>
    </row>
    <row r="79" ht="42" customHeight="1">
      <c r="A79" s="29" t="inlineStr">
        <is>
          <t>RI1(a)</t>
        </is>
      </c>
      <c r="B79" s="29" t="inlineStr">
        <is>
          <t>Indicator</t>
        </is>
      </c>
      <c r="C79" s="29" t="inlineStr">
        <is>
          <t>Resilient University</t>
        </is>
      </c>
      <c r="D79" s="29" t="inlineStr">
        <is>
          <t>Responsible investments</t>
        </is>
      </c>
      <c r="E79" s="29" t="inlineStr">
        <is>
          <t>Annual monitoring and reporting on the investment portfolio’s net zero transition progress, including tracking the percentage of assets under management (AUM) managed by investment managers aligned with (or committed to) net zero by 2050</t>
        </is>
      </c>
      <c r="F79" s="29" t="inlineStr">
        <is>
          <t>Quantitative</t>
        </is>
      </c>
      <c r="G79" s="29" t="inlineStr"/>
      <c r="I79" s="30" t="n"/>
      <c r="J79" s="30" t="inlineStr">
        <is>
          <t>A and R</t>
        </is>
      </c>
      <c r="K79" s="30" t="n"/>
      <c r="L79" s="30" t="n"/>
      <c r="M79" s="30" t="n"/>
      <c r="N79" s="30" t="inlineStr">
        <is>
          <t>R (quant)</t>
        </is>
      </c>
      <c r="O79" s="30" t="n"/>
      <c r="P79" s="30" t="n"/>
      <c r="Q79" s="30" t="n"/>
      <c r="R79" s="30" t="n"/>
      <c r="S79" s="30" t="n"/>
      <c r="T79" s="30" t="n"/>
      <c r="U79" s="30" t="n"/>
      <c r="V79" s="30" t="n"/>
      <c r="W79" s="30" t="n"/>
      <c r="X79" s="30" t="n"/>
      <c r="Y79" s="30" t="inlineStr">
        <is>
          <t>S</t>
        </is>
      </c>
    </row>
    <row r="80" ht="42" customHeight="1">
      <c r="A80" s="29" t="inlineStr">
        <is>
          <t>RI1(b)</t>
        </is>
      </c>
      <c r="B80" s="29" t="inlineStr">
        <is>
          <t>Indicator</t>
        </is>
      </c>
      <c r="C80" s="29" t="inlineStr">
        <is>
          <t>Resilient University</t>
        </is>
      </c>
      <c r="D80" s="29" t="inlineStr">
        <is>
          <t>Responsible investments</t>
        </is>
      </c>
      <c r="E80" s="29" t="inlineStr">
        <is>
          <t>Continuous improvement of the reporting of the University’s sustainability-related investment profile metrics, could include investment in climate mitigation and transition solutions, and compliance with related obligations (eg UNPRI).</t>
        </is>
      </c>
      <c r="F80" s="29" t="inlineStr">
        <is>
          <t>Mixed</t>
        </is>
      </c>
      <c r="G80" s="29" t="inlineStr"/>
      <c r="I80" s="30" t="n"/>
      <c r="J80" s="30" t="inlineStr">
        <is>
          <t>A and R</t>
        </is>
      </c>
      <c r="K80" s="30" t="n"/>
      <c r="L80" s="30" t="inlineStr">
        <is>
          <t>R</t>
        </is>
      </c>
      <c r="M80" s="30" t="n"/>
      <c r="N80" s="30" t="inlineStr">
        <is>
          <t>R</t>
        </is>
      </c>
      <c r="O80" s="30" t="n"/>
      <c r="P80" s="30" t="n"/>
      <c r="Q80" s="30" t="n"/>
      <c r="R80" s="30" t="n"/>
      <c r="S80" s="30" t="n"/>
      <c r="T80" s="30" t="n"/>
      <c r="U80" s="30" t="n"/>
      <c r="V80" s="30" t="n"/>
      <c r="W80" s="30" t="n"/>
      <c r="X80" s="30" t="n"/>
      <c r="Y80" s="30" t="inlineStr">
        <is>
          <t>S</t>
        </is>
      </c>
    </row>
    <row r="81">
      <c r="A81" s="26" t="inlineStr">
        <is>
          <t>D4</t>
        </is>
      </c>
      <c r="B81" s="26" t="inlineStr">
        <is>
          <t>Domain</t>
        </is>
      </c>
      <c r="C81" s="26" t="inlineStr"/>
      <c r="D81" s="26" t="inlineStr"/>
      <c r="E81" s="26" t="inlineStr">
        <is>
          <t>Enablers</t>
        </is>
      </c>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row>
    <row r="82">
      <c r="A82" s="27" t="inlineStr">
        <is>
          <t>EN</t>
        </is>
      </c>
      <c r="B82" s="27" t="inlineStr">
        <is>
          <t>Priority</t>
        </is>
      </c>
      <c r="C82" s="27" t="inlineStr"/>
      <c r="D82" s="27" t="inlineStr"/>
      <c r="E82" s="27" t="inlineStr">
        <is>
          <t>Enablers</t>
        </is>
      </c>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row>
    <row r="83" ht="45" customHeight="1">
      <c r="A83" s="28" t="inlineStr">
        <is>
          <t>EN1</t>
        </is>
      </c>
      <c r="B83" s="28" t="inlineStr">
        <is>
          <t>Target</t>
        </is>
      </c>
      <c r="C83" s="28" t="inlineStr">
        <is>
          <t>Enablers</t>
        </is>
      </c>
      <c r="D83" s="28" t="inlineStr">
        <is>
          <t>Enablers</t>
        </is>
      </c>
      <c r="E83" s="28" t="inlineStr">
        <is>
          <t>Enablers</t>
        </is>
      </c>
    </row>
    <row r="84" ht="42" customHeight="1">
      <c r="A84" s="29" t="inlineStr">
        <is>
          <t>EN1(a)</t>
        </is>
      </c>
      <c r="B84" s="29" t="inlineStr">
        <is>
          <t>Indicator</t>
        </is>
      </c>
      <c r="C84" s="29" t="inlineStr">
        <is>
          <t>Enablers</t>
        </is>
      </c>
      <c r="D84" s="29" t="inlineStr">
        <is>
          <t>Enablers</t>
        </is>
      </c>
      <c r="E84" s="29" t="inlineStr">
        <is>
          <t>Evidence of sustainability outcomes informed by Indigenous knowledges</t>
        </is>
      </c>
      <c r="F84" s="29" t="inlineStr">
        <is>
          <t>Qualitative</t>
        </is>
      </c>
      <c r="G84" s="29" t="inlineStr">
        <is>
          <t>6a</t>
        </is>
      </c>
      <c r="I84" s="30" t="inlineStr">
        <is>
          <t>R</t>
        </is>
      </c>
      <c r="J84" s="30" t="n"/>
      <c r="K84" s="30" t="n"/>
      <c r="L84" s="30" t="n"/>
      <c r="M84" s="30" t="n"/>
      <c r="N84" s="30" t="n"/>
      <c r="O84" s="30" t="n"/>
      <c r="P84" s="30" t="n"/>
      <c r="Q84" s="30" t="n"/>
      <c r="R84" s="30" t="inlineStr">
        <is>
          <t>A and R</t>
        </is>
      </c>
      <c r="S84" s="30" t="n"/>
      <c r="T84" s="30" t="n"/>
      <c r="U84" s="30" t="inlineStr">
        <is>
          <t>R</t>
        </is>
      </c>
      <c r="V84" s="30" t="n"/>
      <c r="W84" s="30" t="n"/>
      <c r="X84" s="30" t="inlineStr">
        <is>
          <t>R</t>
        </is>
      </c>
      <c r="Y84" s="30" t="inlineStr">
        <is>
          <t>S</t>
        </is>
      </c>
    </row>
    <row r="85" ht="42" customHeight="1">
      <c r="A85" s="29" t="inlineStr">
        <is>
          <t>EN1(b)</t>
        </is>
      </c>
      <c r="B85" s="29" t="inlineStr">
        <is>
          <t>Indicator</t>
        </is>
      </c>
      <c r="C85" s="29" t="inlineStr">
        <is>
          <t>Enablers</t>
        </is>
      </c>
      <c r="D85" s="29" t="inlineStr">
        <is>
          <t>Enablers</t>
        </is>
      </c>
      <c r="E85" s="29" t="inlineStr">
        <is>
          <t>Living laboratories enabling applied learning, research and operational sustainability outcomes</t>
        </is>
      </c>
      <c r="F85" s="29" t="inlineStr">
        <is>
          <t>Mixed</t>
        </is>
      </c>
      <c r="G85" s="29" t="inlineStr">
        <is>
          <t>2a</t>
        </is>
      </c>
      <c r="I85" s="30" t="inlineStr">
        <is>
          <t>R</t>
        </is>
      </c>
      <c r="J85" s="30" t="inlineStr">
        <is>
          <t>A and R</t>
        </is>
      </c>
      <c r="K85" s="30" t="inlineStr">
        <is>
          <t>R (quant)</t>
        </is>
      </c>
      <c r="L85" s="30" t="inlineStr">
        <is>
          <t>R</t>
        </is>
      </c>
      <c r="M85" s="30" t="n"/>
      <c r="N85" s="30" t="n"/>
      <c r="O85" s="30" t="n"/>
      <c r="P85" s="30" t="n"/>
      <c r="Q85" s="30" t="n"/>
      <c r="R85" s="30" t="n"/>
      <c r="S85" s="30" t="n"/>
      <c r="T85" s="30" t="n"/>
      <c r="U85" s="30" t="n"/>
      <c r="V85" s="30" t="n"/>
      <c r="W85" s="30" t="n"/>
      <c r="X85" s="30" t="n"/>
      <c r="Y85" s="30" t="inlineStr">
        <is>
          <t>S</t>
        </is>
      </c>
    </row>
    <row r="86" ht="42" customHeight="1">
      <c r="A86" s="29" t="inlineStr">
        <is>
          <t>EN1(c)</t>
        </is>
      </c>
      <c r="B86" s="29" t="inlineStr">
        <is>
          <t>Indicator</t>
        </is>
      </c>
      <c r="C86" s="29" t="inlineStr">
        <is>
          <t>Enablers</t>
        </is>
      </c>
      <c r="D86" s="29" t="inlineStr">
        <is>
          <t>Enablers</t>
        </is>
      </c>
      <c r="E86" s="29" t="inlineStr">
        <is>
          <t>Coordinated internal engagement and external partnerships contributing to delivery of sustainability outcomes across priority areas.</t>
        </is>
      </c>
      <c r="F86" s="29" t="inlineStr">
        <is>
          <t>Qualitative</t>
        </is>
      </c>
      <c r="G86" s="29" t="inlineStr">
        <is>
          <t>3a(ii)</t>
        </is>
      </c>
      <c r="I86" s="30" t="inlineStr">
        <is>
          <t>R</t>
        </is>
      </c>
      <c r="J86" s="30" t="inlineStr">
        <is>
          <t>A and R</t>
        </is>
      </c>
      <c r="K86" s="30" t="n"/>
      <c r="L86" s="30" t="inlineStr">
        <is>
          <t>R</t>
        </is>
      </c>
      <c r="M86" s="30" t="inlineStr">
        <is>
          <t>R</t>
        </is>
      </c>
      <c r="N86" s="30" t="n"/>
      <c r="O86" s="30" t="inlineStr">
        <is>
          <t>R</t>
        </is>
      </c>
      <c r="P86" s="30" t="inlineStr">
        <is>
          <t>R</t>
        </is>
      </c>
      <c r="Q86" s="30" t="n"/>
      <c r="R86" s="30" t="inlineStr">
        <is>
          <t>A and R</t>
        </is>
      </c>
      <c r="S86" s="30" t="n"/>
      <c r="T86" s="30" t="inlineStr">
        <is>
          <t>R</t>
        </is>
      </c>
      <c r="U86" s="30" t="inlineStr">
        <is>
          <t>R</t>
        </is>
      </c>
      <c r="V86" s="30" t="inlineStr">
        <is>
          <t>R</t>
        </is>
      </c>
      <c r="W86" s="30" t="n"/>
      <c r="X86" s="30" t="n"/>
      <c r="Y86" s="30" t="inlineStr">
        <is>
          <t>S</t>
        </is>
      </c>
    </row>
    <row r="87" ht="42" customHeight="1">
      <c r="A87" s="29" t="inlineStr">
        <is>
          <t>EN1(d)</t>
        </is>
      </c>
      <c r="B87" s="29" t="inlineStr">
        <is>
          <t>Indicator</t>
        </is>
      </c>
      <c r="C87" s="29" t="inlineStr">
        <is>
          <t>Enablers</t>
        </is>
      </c>
      <c r="D87" s="29" t="inlineStr">
        <is>
          <t>Enablers</t>
        </is>
      </c>
      <c r="E87" s="29" t="inlineStr">
        <is>
          <t>Sustainability objectives integrated into governance and decision‑making processes, supported by transparent reporting.</t>
        </is>
      </c>
      <c r="F87" s="29" t="inlineStr">
        <is>
          <t>Qualitative</t>
        </is>
      </c>
      <c r="G87" s="29" t="inlineStr"/>
      <c r="I87" s="30" t="n"/>
      <c r="J87" s="30" t="inlineStr">
        <is>
          <t>A and R</t>
        </is>
      </c>
      <c r="K87" s="30" t="n"/>
      <c r="L87" s="30" t="inlineStr">
        <is>
          <t>R</t>
        </is>
      </c>
      <c r="M87" s="30" t="inlineStr">
        <is>
          <t>R</t>
        </is>
      </c>
      <c r="N87" s="30" t="n"/>
      <c r="O87" s="30" t="inlineStr">
        <is>
          <t>R</t>
        </is>
      </c>
      <c r="P87" s="30" t="inlineStr">
        <is>
          <t>R</t>
        </is>
      </c>
      <c r="Q87" s="30" t="n"/>
      <c r="R87" s="30" t="n"/>
      <c r="S87" s="30" t="n"/>
      <c r="T87" s="30" t="n"/>
      <c r="U87" s="30" t="n"/>
      <c r="V87" s="30" t="n"/>
      <c r="W87" s="30" t="n"/>
      <c r="X87" s="30" t="n"/>
      <c r="Y87" s="30" t="inlineStr">
        <is>
          <t>S</t>
        </is>
      </c>
    </row>
    <row r="89">
      <c r="E89" s="31" t="inlineStr">
        <is>
          <t>Summary</t>
        </is>
      </c>
    </row>
    <row r="90" ht="45" customHeight="1">
      <c r="E90" s="32" t="inlineStr">
        <is>
          <t>Area &gt;&gt;</t>
        </is>
      </c>
      <c r="I90" s="33">
        <f>I6</f>
        <v/>
      </c>
      <c r="J90" s="33">
        <f>J6</f>
        <v/>
      </c>
      <c r="K90" s="33">
        <f>K6</f>
        <v/>
      </c>
      <c r="L90" s="33">
        <f>L6</f>
        <v/>
      </c>
      <c r="M90" s="33">
        <f>M6</f>
        <v/>
      </c>
      <c r="N90" s="33">
        <f>N6</f>
        <v/>
      </c>
      <c r="O90" s="33">
        <f>O6</f>
        <v/>
      </c>
      <c r="P90" s="33">
        <f>P6</f>
        <v/>
      </c>
      <c r="Q90" s="33">
        <f>Q6</f>
        <v/>
      </c>
      <c r="R90" s="33">
        <f>R6</f>
        <v/>
      </c>
      <c r="S90" s="33">
        <f>S6</f>
        <v/>
      </c>
      <c r="T90" s="33">
        <f>T6</f>
        <v/>
      </c>
      <c r="U90" s="33">
        <f>U6</f>
        <v/>
      </c>
      <c r="V90" s="33">
        <f>V6</f>
        <v/>
      </c>
      <c r="W90" s="33">
        <f>W6</f>
        <v/>
      </c>
      <c r="X90" s="33">
        <f>X6</f>
        <v/>
      </c>
      <c r="Y90" s="33">
        <f>Y6</f>
        <v/>
      </c>
    </row>
    <row r="91">
      <c r="E91" t="inlineStr">
        <is>
          <t>Accountable</t>
        </is>
      </c>
      <c r="F91" s="34" t="inlineStr">
        <is>
          <t>A</t>
        </is>
      </c>
      <c r="I91" s="35">
        <f>COUNTIF(I10:I87,$F91)</f>
        <v/>
      </c>
      <c r="J91" s="35">
        <f>COUNTIF(J10:J87,$F91)</f>
        <v/>
      </c>
      <c r="K91" s="35">
        <f>COUNTIF(K10:K87,$F91)</f>
        <v/>
      </c>
      <c r="L91" s="35">
        <f>COUNTIF(L10:L87,$F91)</f>
        <v/>
      </c>
      <c r="M91" s="35">
        <f>COUNTIF(M10:M87,$F91)</f>
        <v/>
      </c>
      <c r="N91" s="35">
        <f>COUNTIF(N10:N87,$F91)</f>
        <v/>
      </c>
      <c r="O91" s="35">
        <f>COUNTIF(O10:O87,$F91)</f>
        <v/>
      </c>
      <c r="P91" s="35">
        <f>COUNTIF(P10:P87,$F91)</f>
        <v/>
      </c>
      <c r="Q91" s="35">
        <f>COUNTIF(Q10:Q87,$F91)</f>
        <v/>
      </c>
      <c r="R91" s="35">
        <f>COUNTIF(R10:R87,$F91)</f>
        <v/>
      </c>
      <c r="S91" s="35">
        <f>COUNTIF(S10:S87,$F91)</f>
        <v/>
      </c>
      <c r="T91" s="35">
        <f>COUNTIF(T10:T87,$F91)</f>
        <v/>
      </c>
      <c r="U91" s="35">
        <f>COUNTIF(U10:U87,$F91)</f>
        <v/>
      </c>
      <c r="V91" s="35">
        <f>COUNTIF(V10:V87,$F91)</f>
        <v/>
      </c>
      <c r="W91" s="35">
        <f>COUNTIF(W10:W87,$F91)</f>
        <v/>
      </c>
      <c r="X91" s="35">
        <f>COUNTIF(X10:X87,$F91)</f>
        <v/>
      </c>
      <c r="Y91" s="35">
        <f>COUNTIF(Y10:Y87,$F91)</f>
        <v/>
      </c>
    </row>
    <row r="92">
      <c r="E92" t="inlineStr">
        <is>
          <t>Accountable and Responsible</t>
        </is>
      </c>
      <c r="F92" s="36" t="inlineStr">
        <is>
          <t>A and R</t>
        </is>
      </c>
      <c r="I92" s="35">
        <f>COUNTIF(I10:I87,$F92)</f>
        <v/>
      </c>
      <c r="J92" s="35">
        <f>COUNTIF(J10:J87,$F92)</f>
        <v/>
      </c>
      <c r="K92" s="35">
        <f>COUNTIF(K10:K87,$F92)</f>
        <v/>
      </c>
      <c r="L92" s="35">
        <f>COUNTIF(L10:L87,$F92)</f>
        <v/>
      </c>
      <c r="M92" s="35">
        <f>COUNTIF(M10:M87,$F92)</f>
        <v/>
      </c>
      <c r="N92" s="35">
        <f>COUNTIF(N10:N87,$F92)</f>
        <v/>
      </c>
      <c r="O92" s="35">
        <f>COUNTIF(O10:O87,$F92)</f>
        <v/>
      </c>
      <c r="P92" s="35">
        <f>COUNTIF(P10:P87,$F92)</f>
        <v/>
      </c>
      <c r="Q92" s="35">
        <f>COUNTIF(Q10:Q87,$F92)</f>
        <v/>
      </c>
      <c r="R92" s="35">
        <f>COUNTIF(R10:R87,$F92)</f>
        <v/>
      </c>
      <c r="S92" s="35">
        <f>COUNTIF(S10:S87,$F92)</f>
        <v/>
      </c>
      <c r="T92" s="35">
        <f>COUNTIF(T10:T87,$F92)</f>
        <v/>
      </c>
      <c r="U92" s="35">
        <f>COUNTIF(U10:U87,$F92)</f>
        <v/>
      </c>
      <c r="V92" s="35">
        <f>COUNTIF(V10:V87,$F92)</f>
        <v/>
      </c>
      <c r="W92" s="35">
        <f>COUNTIF(W10:W87,$F92)</f>
        <v/>
      </c>
      <c r="X92" s="35">
        <f>COUNTIF(X10:X87,$F92)</f>
        <v/>
      </c>
      <c r="Y92" s="35">
        <f>COUNTIF(Y10:Y87,$F92)</f>
        <v/>
      </c>
    </row>
    <row r="93">
      <c r="E93" t="inlineStr">
        <is>
          <t>Responsible – narrative request</t>
        </is>
      </c>
      <c r="F93" s="37" t="inlineStr">
        <is>
          <t>R</t>
        </is>
      </c>
      <c r="I93" s="35">
        <f>COUNTIF(I10:I87,$F93)</f>
        <v/>
      </c>
      <c r="J93" s="35">
        <f>COUNTIF(J10:J87,$F93)</f>
        <v/>
      </c>
      <c r="K93" s="35">
        <f>COUNTIF(K10:K87,$F93)</f>
        <v/>
      </c>
      <c r="L93" s="35">
        <f>COUNTIF(L10:L87,$F93)</f>
        <v/>
      </c>
      <c r="M93" s="35">
        <f>COUNTIF(M10:M87,$F93)</f>
        <v/>
      </c>
      <c r="N93" s="35">
        <f>COUNTIF(N10:N87,$F93)</f>
        <v/>
      </c>
      <c r="O93" s="35">
        <f>COUNTIF(O10:O87,$F93)</f>
        <v/>
      </c>
      <c r="P93" s="35">
        <f>COUNTIF(P10:P87,$F93)</f>
        <v/>
      </c>
      <c r="Q93" s="35">
        <f>COUNTIF(Q10:Q87,$F93)</f>
        <v/>
      </c>
      <c r="R93" s="35">
        <f>COUNTIF(R10:R87,$F93)</f>
        <v/>
      </c>
      <c r="S93" s="35">
        <f>COUNTIF(S10:S87,$F93)</f>
        <v/>
      </c>
      <c r="T93" s="35">
        <f>COUNTIF(T10:T87,$F93)</f>
        <v/>
      </c>
      <c r="U93" s="35">
        <f>COUNTIF(U10:U87,$F93)</f>
        <v/>
      </c>
      <c r="V93" s="35">
        <f>COUNTIF(V10:V87,$F93)</f>
        <v/>
      </c>
      <c r="W93" s="35">
        <f>COUNTIF(W10:W87,$F93)</f>
        <v/>
      </c>
      <c r="X93" s="35">
        <f>COUNTIF(X10:X87,$F93)</f>
        <v/>
      </c>
      <c r="Y93" s="35">
        <f>COUNTIF(Y10:Y87,$F93)</f>
        <v/>
      </c>
    </row>
    <row r="94">
      <c r="E94" t="inlineStr">
        <is>
          <t>Responsible – figures for the Databook (Tab 4)</t>
        </is>
      </c>
      <c r="F94" s="38" t="inlineStr">
        <is>
          <t>R (quant)</t>
        </is>
      </c>
      <c r="I94" s="35">
        <f>COUNTIF(I10:I87,$F94)</f>
        <v/>
      </c>
      <c r="J94" s="35">
        <f>COUNTIF(J10:J87,$F94)</f>
        <v/>
      </c>
      <c r="K94" s="35">
        <f>COUNTIF(K10:K87,$F94)</f>
        <v/>
      </c>
      <c r="L94" s="35">
        <f>COUNTIF(L10:L87,$F94)</f>
        <v/>
      </c>
      <c r="M94" s="35">
        <f>COUNTIF(M10:M87,$F94)</f>
        <v/>
      </c>
      <c r="N94" s="35">
        <f>COUNTIF(N10:N87,$F94)</f>
        <v/>
      </c>
      <c r="O94" s="35">
        <f>COUNTIF(O10:O87,$F94)</f>
        <v/>
      </c>
      <c r="P94" s="35">
        <f>COUNTIF(P10:P87,$F94)</f>
        <v/>
      </c>
      <c r="Q94" s="35">
        <f>COUNTIF(Q10:Q87,$F94)</f>
        <v/>
      </c>
      <c r="R94" s="35">
        <f>COUNTIF(R10:R87,$F94)</f>
        <v/>
      </c>
      <c r="S94" s="35">
        <f>COUNTIF(S10:S87,$F94)</f>
        <v/>
      </c>
      <c r="T94" s="35">
        <f>COUNTIF(T10:T87,$F94)</f>
        <v/>
      </c>
      <c r="U94" s="35">
        <f>COUNTIF(U10:U87,$F94)</f>
        <v/>
      </c>
      <c r="V94" s="35">
        <f>COUNTIF(V10:V87,$F94)</f>
        <v/>
      </c>
      <c r="W94" s="35">
        <f>COUNTIF(W10:W87,$F94)</f>
        <v/>
      </c>
      <c r="X94" s="35">
        <f>COUNTIF(X10:X87,$F94)</f>
        <v/>
      </c>
      <c r="Y94" s="35">
        <f>COUNTIF(Y10:Y87,$F94)</f>
        <v/>
      </c>
    </row>
    <row r="95">
      <c r="E95" t="inlineStr">
        <is>
          <t>SST compiles from other responses / no request</t>
        </is>
      </c>
      <c r="F95" s="39" t="inlineStr">
        <is>
          <t>R (compile)</t>
        </is>
      </c>
      <c r="I95" s="35">
        <f>COUNTIF(I10:I87,$F95)</f>
        <v/>
      </c>
      <c r="J95" s="35">
        <f>COUNTIF(J10:J87,$F95)</f>
        <v/>
      </c>
      <c r="K95" s="35">
        <f>COUNTIF(K10:K87,$F95)</f>
        <v/>
      </c>
      <c r="L95" s="35">
        <f>COUNTIF(L10:L87,$F95)</f>
        <v/>
      </c>
      <c r="M95" s="35">
        <f>COUNTIF(M10:M87,$F95)</f>
        <v/>
      </c>
      <c r="N95" s="35">
        <f>COUNTIF(N10:N87,$F95)</f>
        <v/>
      </c>
      <c r="O95" s="35">
        <f>COUNTIF(O10:O87,$F95)</f>
        <v/>
      </c>
      <c r="P95" s="35">
        <f>COUNTIF(P10:P87,$F95)</f>
        <v/>
      </c>
      <c r="Q95" s="35">
        <f>COUNTIF(Q10:Q87,$F95)</f>
        <v/>
      </c>
      <c r="R95" s="35">
        <f>COUNTIF(R10:R87,$F95)</f>
        <v/>
      </c>
      <c r="S95" s="35">
        <f>COUNTIF(S10:S87,$F95)</f>
        <v/>
      </c>
      <c r="T95" s="35">
        <f>COUNTIF(T10:T87,$F95)</f>
        <v/>
      </c>
      <c r="U95" s="35">
        <f>COUNTIF(U10:U87,$F95)</f>
        <v/>
      </c>
      <c r="V95" s="35">
        <f>COUNTIF(V10:V87,$F95)</f>
        <v/>
      </c>
      <c r="W95" s="35">
        <f>COUNTIF(W10:W87,$F95)</f>
        <v/>
      </c>
      <c r="X95" s="35">
        <f>COUNTIF(X10:X87,$F95)</f>
        <v/>
      </c>
      <c r="Y95" s="35">
        <f>COUNTIF(Y10:Y87,$F95)</f>
        <v/>
      </c>
    </row>
    <row r="96">
      <c r="E96" t="inlineStr">
        <is>
          <t>Support</t>
        </is>
      </c>
      <c r="F96" s="40" t="inlineStr">
        <is>
          <t>S</t>
        </is>
      </c>
      <c r="I96" s="35">
        <f>COUNTIF(I10:I87,$F96)</f>
        <v/>
      </c>
      <c r="J96" s="35">
        <f>COUNTIF(J10:J87,$F96)</f>
        <v/>
      </c>
      <c r="K96" s="35">
        <f>COUNTIF(K10:K87,$F96)</f>
        <v/>
      </c>
      <c r="L96" s="35">
        <f>COUNTIF(L10:L87,$F96)</f>
        <v/>
      </c>
      <c r="M96" s="35">
        <f>COUNTIF(M10:M87,$F96)</f>
        <v/>
      </c>
      <c r="N96" s="35">
        <f>COUNTIF(N10:N87,$F96)</f>
        <v/>
      </c>
      <c r="O96" s="35">
        <f>COUNTIF(O10:O87,$F96)</f>
        <v/>
      </c>
      <c r="P96" s="35">
        <f>COUNTIF(P10:P87,$F96)</f>
        <v/>
      </c>
      <c r="Q96" s="35">
        <f>COUNTIF(Q10:Q87,$F96)</f>
        <v/>
      </c>
      <c r="R96" s="35">
        <f>COUNTIF(R10:R87,$F96)</f>
        <v/>
      </c>
      <c r="S96" s="35">
        <f>COUNTIF(S10:S87,$F96)</f>
        <v/>
      </c>
      <c r="T96" s="35">
        <f>COUNTIF(T10:T87,$F96)</f>
        <v/>
      </c>
      <c r="U96" s="35">
        <f>COUNTIF(U10:U87,$F96)</f>
        <v/>
      </c>
      <c r="V96" s="35">
        <f>COUNTIF(V10:V87,$F96)</f>
        <v/>
      </c>
      <c r="W96" s="35">
        <f>COUNTIF(W10:W87,$F96)</f>
        <v/>
      </c>
      <c r="X96" s="35">
        <f>COUNTIF(X10:X87,$F96)</f>
        <v/>
      </c>
      <c r="Y96" s="35">
        <f>COUNTIF(Y10:Y87,$F96)</f>
        <v/>
      </c>
    </row>
    <row r="97">
      <c r="E97" t="inlineStr">
        <is>
          <t>Consulted</t>
        </is>
      </c>
      <c r="F97" s="41" t="inlineStr">
        <is>
          <t>C</t>
        </is>
      </c>
      <c r="I97" s="35">
        <f>COUNTIF(I10:I87,$F97)</f>
        <v/>
      </c>
      <c r="J97" s="35">
        <f>COUNTIF(J10:J87,$F97)</f>
        <v/>
      </c>
      <c r="K97" s="35">
        <f>COUNTIF(K10:K87,$F97)</f>
        <v/>
      </c>
      <c r="L97" s="35">
        <f>COUNTIF(L10:L87,$F97)</f>
        <v/>
      </c>
      <c r="M97" s="35">
        <f>COUNTIF(M10:M87,$F97)</f>
        <v/>
      </c>
      <c r="N97" s="35">
        <f>COUNTIF(N10:N87,$F97)</f>
        <v/>
      </c>
      <c r="O97" s="35">
        <f>COUNTIF(O10:O87,$F97)</f>
        <v/>
      </c>
      <c r="P97" s="35">
        <f>COUNTIF(P10:P87,$F97)</f>
        <v/>
      </c>
      <c r="Q97" s="35">
        <f>COUNTIF(Q10:Q87,$F97)</f>
        <v/>
      </c>
      <c r="R97" s="35">
        <f>COUNTIF(R10:R87,$F97)</f>
        <v/>
      </c>
      <c r="S97" s="35">
        <f>COUNTIF(S10:S87,$F97)</f>
        <v/>
      </c>
      <c r="T97" s="35">
        <f>COUNTIF(T10:T87,$F97)</f>
        <v/>
      </c>
      <c r="U97" s="35">
        <f>COUNTIF(U10:U87,$F97)</f>
        <v/>
      </c>
      <c r="V97" s="35">
        <f>COUNTIF(V10:V87,$F97)</f>
        <v/>
      </c>
      <c r="W97" s="35">
        <f>COUNTIF(W10:W87,$F97)</f>
        <v/>
      </c>
      <c r="X97" s="35">
        <f>COUNTIF(X10:X87,$F97)</f>
        <v/>
      </c>
      <c r="Y97" s="35">
        <f>COUNTIF(Y10:Y87,$F97)</f>
        <v/>
      </c>
    </row>
    <row r="98">
      <c r="E98" t="inlineStr">
        <is>
          <t>Informed</t>
        </is>
      </c>
      <c r="F98" s="42" t="inlineStr">
        <is>
          <t>I</t>
        </is>
      </c>
      <c r="I98" s="35">
        <f>COUNTIF(I10:I87,$F98)</f>
        <v/>
      </c>
      <c r="J98" s="35">
        <f>COUNTIF(J10:J87,$F98)</f>
        <v/>
      </c>
      <c r="K98" s="35">
        <f>COUNTIF(K10:K87,$F98)</f>
        <v/>
      </c>
      <c r="L98" s="35">
        <f>COUNTIF(L10:L87,$F98)</f>
        <v/>
      </c>
      <c r="M98" s="35">
        <f>COUNTIF(M10:M87,$F98)</f>
        <v/>
      </c>
      <c r="N98" s="35">
        <f>COUNTIF(N10:N87,$F98)</f>
        <v/>
      </c>
      <c r="O98" s="35">
        <f>COUNTIF(O10:O87,$F98)</f>
        <v/>
      </c>
      <c r="P98" s="35">
        <f>COUNTIF(P10:P87,$F98)</f>
        <v/>
      </c>
      <c r="Q98" s="35">
        <f>COUNTIF(Q10:Q87,$F98)</f>
        <v/>
      </c>
      <c r="R98" s="35">
        <f>COUNTIF(R10:R87,$F98)</f>
        <v/>
      </c>
      <c r="S98" s="35">
        <f>COUNTIF(S10:S87,$F98)</f>
        <v/>
      </c>
      <c r="T98" s="35">
        <f>COUNTIF(T10:T87,$F98)</f>
        <v/>
      </c>
      <c r="U98" s="35">
        <f>COUNTIF(U10:U87,$F98)</f>
        <v/>
      </c>
      <c r="V98" s="35">
        <f>COUNTIF(V10:V87,$F98)</f>
        <v/>
      </c>
      <c r="W98" s="35">
        <f>COUNTIF(W10:W87,$F98)</f>
        <v/>
      </c>
      <c r="X98" s="35">
        <f>COUNTIF(X10:X87,$F98)</f>
        <v/>
      </c>
      <c r="Y98" s="35">
        <f>COUNTIF(Y10:Y87,$F98)</f>
        <v/>
      </c>
    </row>
    <row r="99">
      <c r="E99" s="32" t="inlineStr">
        <is>
          <t>Total A</t>
        </is>
      </c>
      <c r="I99" s="23">
        <f>I91+I92</f>
        <v/>
      </c>
      <c r="J99" s="23">
        <f>J91+J92</f>
        <v/>
      </c>
      <c r="K99" s="23">
        <f>K91+K92</f>
        <v/>
      </c>
      <c r="L99" s="23">
        <f>L91+L92</f>
        <v/>
      </c>
      <c r="M99" s="23">
        <f>M91+M92</f>
        <v/>
      </c>
      <c r="N99" s="23">
        <f>N91+N92</f>
        <v/>
      </c>
      <c r="O99" s="23">
        <f>O91+O92</f>
        <v/>
      </c>
      <c r="P99" s="23">
        <f>P91+P92</f>
        <v/>
      </c>
      <c r="Q99" s="23">
        <f>Q91+Q92</f>
        <v/>
      </c>
      <c r="R99" s="23">
        <f>R91+R92</f>
        <v/>
      </c>
      <c r="S99" s="23">
        <f>S91+S92</f>
        <v/>
      </c>
      <c r="T99" s="23">
        <f>T91+T92</f>
        <v/>
      </c>
      <c r="U99" s="23">
        <f>U91+U92</f>
        <v/>
      </c>
      <c r="V99" s="23">
        <f>V91+V92</f>
        <v/>
      </c>
      <c r="W99" s="23">
        <f>W91+W92</f>
        <v/>
      </c>
      <c r="X99" s="23">
        <f>X91+X92</f>
        <v/>
      </c>
      <c r="Y99" s="23">
        <f>Y91+Y92</f>
        <v/>
      </c>
    </row>
    <row r="100">
      <c r="E100" s="32" t="inlineStr">
        <is>
          <t>Total R (all types)</t>
        </is>
      </c>
      <c r="I100" s="23">
        <f>I92+I93+I94+I95</f>
        <v/>
      </c>
      <c r="J100" s="23">
        <f>J92+J93+J94+J95</f>
        <v/>
      </c>
      <c r="K100" s="23">
        <f>K92+K93+K94+K95</f>
        <v/>
      </c>
      <c r="L100" s="23">
        <f>L92+L93+L94+L95</f>
        <v/>
      </c>
      <c r="M100" s="23">
        <f>M92+M93+M94+M95</f>
        <v/>
      </c>
      <c r="N100" s="23">
        <f>N92+N93+N94+N95</f>
        <v/>
      </c>
      <c r="O100" s="23">
        <f>O92+O93+O94+O95</f>
        <v/>
      </c>
      <c r="P100" s="23">
        <f>P92+P93+P94+P95</f>
        <v/>
      </c>
      <c r="Q100" s="23">
        <f>Q92+Q93+Q94+Q95</f>
        <v/>
      </c>
      <c r="R100" s="23">
        <f>R92+R93+R94+R95</f>
        <v/>
      </c>
      <c r="S100" s="23">
        <f>S92+S93+S94+S95</f>
        <v/>
      </c>
      <c r="T100" s="23">
        <f>T92+T93+T94+T95</f>
        <v/>
      </c>
      <c r="U100" s="23">
        <f>U92+U93+U94+U95</f>
        <v/>
      </c>
      <c r="V100" s="23">
        <f>V92+V93+V94+V95</f>
        <v/>
      </c>
      <c r="W100" s="23">
        <f>W92+W93+W94+W95</f>
        <v/>
      </c>
      <c r="X100" s="23">
        <f>X92+X93+X94+X95</f>
        <v/>
      </c>
      <c r="Y100" s="23">
        <f>Y92+Y93+Y94+Y95</f>
        <v/>
      </c>
    </row>
    <row r="101">
      <c r="E101" s="32" t="inlineStr">
        <is>
          <t>Total indicators involved</t>
        </is>
      </c>
      <c r="I101" s="23">
        <f>SUM(I91:I98)</f>
        <v/>
      </c>
      <c r="J101" s="23">
        <f>SUM(J91:J98)</f>
        <v/>
      </c>
      <c r="K101" s="23">
        <f>SUM(K91:K98)</f>
        <v/>
      </c>
      <c r="L101" s="23">
        <f>SUM(L91:L98)</f>
        <v/>
      </c>
      <c r="M101" s="23">
        <f>SUM(M91:M98)</f>
        <v/>
      </c>
      <c r="N101" s="23">
        <f>SUM(N91:N98)</f>
        <v/>
      </c>
      <c r="O101" s="23">
        <f>SUM(O91:O98)</f>
        <v/>
      </c>
      <c r="P101" s="23">
        <f>SUM(P91:P98)</f>
        <v/>
      </c>
      <c r="Q101" s="23">
        <f>SUM(Q91:Q98)</f>
        <v/>
      </c>
      <c r="R101" s="23">
        <f>SUM(R91:R98)</f>
        <v/>
      </c>
      <c r="S101" s="23">
        <f>SUM(S91:S98)</f>
        <v/>
      </c>
      <c r="T101" s="23">
        <f>SUM(T91:T98)</f>
        <v/>
      </c>
      <c r="U101" s="23">
        <f>SUM(U91:U98)</f>
        <v/>
      </c>
      <c r="V101" s="23">
        <f>SUM(V91:V98)</f>
        <v/>
      </c>
      <c r="W101" s="23">
        <f>SUM(W91:W98)</f>
        <v/>
      </c>
      <c r="X101" s="23">
        <f>SUM(X91:X98)</f>
        <v/>
      </c>
      <c r="Y101" s="23">
        <f>SUM(Y91:Y98)</f>
        <v/>
      </c>
    </row>
  </sheetData>
  <autoFilter ref="A6:Y87"/>
  <mergeCells count="2">
    <mergeCell ref="I5:Y5"/>
    <mergeCell ref="B2:G2"/>
  </mergeCells>
  <conditionalFormatting sqref="I10:Y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Y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6"/>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c r="A1" s="1" t="inlineStr">
        <is>
          <t>↑</t>
        </is>
      </c>
      <c r="B1" s="2" t="inlineStr">
        <is>
          <t>End-2026 target status assessment and reporting</t>
        </is>
      </c>
    </row>
    <row r="2">
      <c r="B2" s="3" t="inlineStr">
        <is>
          <t>4. Request tracker</t>
        </is>
      </c>
    </row>
    <row r="4">
      <c r="B4" s="31" t="inlineStr">
        <is>
          <t>Summary</t>
        </is>
      </c>
    </row>
    <row r="5">
      <c r="C5" s="32" t="inlineStr">
        <is>
          <t>Not sent</t>
        </is>
      </c>
      <c r="E5" s="32" t="inlineStr">
        <is>
          <t>Sent</t>
        </is>
      </c>
      <c r="G5" s="32" t="inlineStr">
        <is>
          <t>1:1 meeting</t>
        </is>
      </c>
      <c r="I5" s="32" t="inlineStr">
        <is>
          <t>Received</t>
        </is>
      </c>
      <c r="L5" s="32" t="inlineStr">
        <is>
          <t>Response rate</t>
        </is>
      </c>
      <c r="N5" s="32" t="inlineStr">
        <is>
          <t>Rows owner-confirmed</t>
        </is>
      </c>
    </row>
    <row r="6">
      <c r="C6">
        <f>COUNTIF($N$10:$N$26,"Not sent")</f>
        <v/>
      </c>
      <c r="E6">
        <f>COUNTIF($N$10:$N$26,"Sent")</f>
        <v/>
      </c>
      <c r="G6">
        <f>COUNTIF($N$10:$N$26,"1:1 meeting")</f>
        <v/>
      </c>
      <c r="I6">
        <f>COUNTIF($N$10:$N$26,"Received")</f>
        <v/>
      </c>
      <c r="L6" s="43">
        <f>IFERROR((COUNTIF($N$10:$N$26,"Received")+COUNTIF($N$10:$N$26,"First review")+COUNTIF($N$10:$N$26,"Follow-up")+COUNTIF($N$10:$N$26,"Complete"))/(COUNTA($N$10:$N$26)-COUNTIF($N$10:$N$26,"Not required")),0)</f>
        <v/>
      </c>
      <c r="N6">
        <f>SUM($M$10:$M$26)&amp;" / "&amp;SUM($F$10:$F$26)</f>
        <v/>
      </c>
    </row>
    <row r="7">
      <c r="C7" s="32" t="inlineStr">
        <is>
          <t>First review</t>
        </is>
      </c>
      <c r="E7" s="32" t="inlineStr">
        <is>
          <t>Follow-up</t>
        </is>
      </c>
      <c r="G7" s="32" t="inlineStr">
        <is>
          <t>Complete</t>
        </is>
      </c>
      <c r="I7" s="32" t="inlineStr">
        <is>
          <t>Not required</t>
        </is>
      </c>
    </row>
    <row r="8">
      <c r="C8">
        <f>COUNTIF($N$10:$N$26,"First review")</f>
        <v/>
      </c>
      <c r="E8">
        <f>COUNTIF($N$10:$N$26,"Follow-up")</f>
        <v/>
      </c>
      <c r="G8">
        <f>COUNTIF($N$10:$N$26,"Complete")</f>
        <v/>
      </c>
      <c r="I8">
        <f>COUNTIF($N$10:$N$26,"Not required")</f>
        <v/>
      </c>
    </row>
    <row r="9">
      <c r="B9" s="6" t="inlineStr">
        <is>
          <t>#</t>
        </is>
      </c>
      <c r="C9" s="6" t="inlineStr">
        <is>
          <t>Group</t>
        </is>
      </c>
      <c r="D9" s="6" t="inlineStr">
        <is>
          <t>Unit / section</t>
        </is>
      </c>
      <c r="E9" s="6" t="inlineStr">
        <is>
          <t>Key contact</t>
        </is>
      </c>
      <c r="F9" s="6" t="inlineStr">
        <is>
          <t>No. of indicators requested</t>
        </is>
      </c>
      <c r="G9" s="6" t="inlineStr">
        <is>
          <t>Request workbook</t>
        </is>
      </c>
      <c r="H9" s="6" t="inlineStr">
        <is>
          <t>Date sent</t>
        </is>
      </c>
      <c r="I9" s="6" t="inlineStr">
        <is>
          <t>Due date</t>
        </is>
      </c>
      <c r="J9" s="6" t="inlineStr">
        <is>
          <t>Reminder date</t>
        </is>
      </c>
      <c r="K9" s="6" t="inlineStr">
        <is>
          <t>Optional 1:1 meeting (date)</t>
        </is>
      </c>
      <c r="L9" s="6" t="inlineStr">
        <is>
          <t>Rows answered (auto)</t>
        </is>
      </c>
      <c r="M9" s="6" t="inlineStr">
        <is>
          <t>Owner confirmed rows (auto)</t>
        </is>
      </c>
      <c r="N9" s="6" t="inlineStr">
        <is>
          <t>Status</t>
        </is>
      </c>
      <c r="O9" s="6" t="inlineStr">
        <is>
          <t>Days overdue</t>
        </is>
      </c>
      <c r="P9" s="6" t="inlineStr">
        <is>
          <t>Notes / follow-up</t>
        </is>
      </c>
    </row>
    <row r="10">
      <c r="B10" s="8" t="inlineStr">
        <is>
          <t>F1</t>
        </is>
      </c>
      <c r="C10" s="8" t="inlineStr">
        <is>
          <t>Faculty</t>
        </is>
      </c>
      <c r="D10" s="8" t="inlineStr">
        <is>
          <t>ABP – Faculty of Architecture, Building and Planning</t>
        </is>
      </c>
      <c r="E10" s="8" t="inlineStr">
        <is>
          <t>TBC</t>
        </is>
      </c>
      <c r="F10" s="8" t="n">
        <v>9</v>
      </c>
      <c r="G10" s="8" t="inlineStr">
        <is>
          <t>ABP - SR26 sustainability reporting request.xlsx</t>
        </is>
      </c>
      <c r="H10" s="44" t="n"/>
      <c r="I10" s="44" t="n">
        <v>46371</v>
      </c>
      <c r="J10" s="44">
        <f>IF(I10="","",I10-7)</f>
        <v/>
      </c>
      <c r="K10" s="44" t="inlineStr"/>
      <c r="L10" s="8">
        <f>COUNTIF('Faculties'!$L$10:$L$19,"?*")</f>
        <v/>
      </c>
      <c r="M10" s="8">
        <f>COUNTIF('Faculties'!$Q$10:$Q$19,"Yes")</f>
        <v/>
      </c>
      <c r="N10" s="8" t="inlineStr">
        <is>
          <t>Not sent</t>
        </is>
      </c>
      <c r="O10" s="8">
        <f>IF(OR(I10="",L10&gt;=F10),"",MAX(0,TODAY()-I10))</f>
        <v/>
      </c>
      <c r="P10" s="8" t="inlineStr"/>
    </row>
    <row r="11">
      <c r="B11" s="8" t="inlineStr">
        <is>
          <t>F2</t>
        </is>
      </c>
      <c r="C11" s="8" t="inlineStr">
        <is>
          <t>Faculty</t>
        </is>
      </c>
      <c r="D11" s="8" t="inlineStr">
        <is>
          <t>ARTS – Faculty of Arts</t>
        </is>
      </c>
      <c r="E11" s="8" t="inlineStr">
        <is>
          <t>TBC</t>
        </is>
      </c>
      <c r="F11" s="8" t="n">
        <v>9</v>
      </c>
      <c r="G11" s="8" t="inlineStr">
        <is>
          <t>ARTS - SR26 sustainability reporting request.xlsx</t>
        </is>
      </c>
      <c r="H11" s="44" t="n"/>
      <c r="I11" s="44" t="n">
        <v>46371</v>
      </c>
      <c r="J11" s="44">
        <f>IF(I11="","",I11-7)</f>
        <v/>
      </c>
      <c r="K11" s="44" t="inlineStr"/>
      <c r="L11" s="8">
        <f>COUNTIF('Faculties'!$L$26:$L$35,"?*")</f>
        <v/>
      </c>
      <c r="M11" s="8">
        <f>COUNTIF('Faculties'!$Q$26:$Q$35,"Yes")</f>
        <v/>
      </c>
      <c r="N11" s="8" t="inlineStr">
        <is>
          <t>Not sent</t>
        </is>
      </c>
      <c r="O11" s="8">
        <f>IF(OR(I11="",L11&gt;=F11),"",MAX(0,TODAY()-I11))</f>
        <v/>
      </c>
      <c r="P11" s="8" t="inlineStr"/>
    </row>
    <row r="12">
      <c r="B12" s="8" t="inlineStr">
        <is>
          <t>F3</t>
        </is>
      </c>
      <c r="C12" s="8" t="inlineStr">
        <is>
          <t>Faculty</t>
        </is>
      </c>
      <c r="D12" s="8" t="inlineStr">
        <is>
          <t>FBE – Faculty of Business and Economics</t>
        </is>
      </c>
      <c r="E12" s="8" t="inlineStr">
        <is>
          <t>TBC</t>
        </is>
      </c>
      <c r="F12" s="8" t="n">
        <v>9</v>
      </c>
      <c r="G12" s="8" t="inlineStr">
        <is>
          <t>FBE - SR26 sustainability reporting request.xlsx</t>
        </is>
      </c>
      <c r="H12" s="44" t="n"/>
      <c r="I12" s="44" t="n">
        <v>46371</v>
      </c>
      <c r="J12" s="44">
        <f>IF(I12="","",I12-7)</f>
        <v/>
      </c>
      <c r="K12" s="44" t="inlineStr"/>
      <c r="L12" s="8">
        <f>COUNTIF('Faculties'!$L$42:$L$51,"?*")</f>
        <v/>
      </c>
      <c r="M12" s="8">
        <f>COUNTIF('Faculties'!$Q$42:$Q$51,"Yes")</f>
        <v/>
      </c>
      <c r="N12" s="8" t="inlineStr">
        <is>
          <t>Not sent</t>
        </is>
      </c>
      <c r="O12" s="8">
        <f>IF(OR(I12="",L12&gt;=F12),"",MAX(0,TODAY()-I12))</f>
        <v/>
      </c>
      <c r="P12" s="8" t="inlineStr"/>
    </row>
    <row r="13">
      <c r="B13" s="8" t="inlineStr">
        <is>
          <t>F4</t>
        </is>
      </c>
      <c r="C13" s="8" t="inlineStr">
        <is>
          <t>Faculty</t>
        </is>
      </c>
      <c r="D13" s="8" t="inlineStr">
        <is>
          <t>SCI – Faculty of Science</t>
        </is>
      </c>
      <c r="E13" s="8" t="inlineStr">
        <is>
          <t>TBC</t>
        </is>
      </c>
      <c r="F13" s="8" t="n">
        <v>9</v>
      </c>
      <c r="G13" s="8" t="inlineStr">
        <is>
          <t>SCI - SR26 sustainability reporting request.xlsx</t>
        </is>
      </c>
      <c r="H13" s="44" t="n"/>
      <c r="I13" s="44" t="n">
        <v>46371</v>
      </c>
      <c r="J13" s="44">
        <f>IF(I13="","",I13-7)</f>
        <v/>
      </c>
      <c r="K13" s="44" t="inlineStr"/>
      <c r="L13" s="8">
        <f>COUNTIF('Faculties'!$L$58:$L$67,"?*")</f>
        <v/>
      </c>
      <c r="M13" s="8">
        <f>COUNTIF('Faculties'!$Q$58:$Q$67,"Yes")</f>
        <v/>
      </c>
      <c r="N13" s="8" t="inlineStr">
        <is>
          <t>Not sent</t>
        </is>
      </c>
      <c r="O13" s="8">
        <f>IF(OR(I13="",L13&gt;=F13),"",MAX(0,TODAY()-I13))</f>
        <v/>
      </c>
      <c r="P13" s="8" t="inlineStr"/>
    </row>
    <row r="14">
      <c r="B14" s="8" t="inlineStr">
        <is>
          <t>C1</t>
        </is>
      </c>
      <c r="C14" s="8" t="inlineStr">
        <is>
          <t>Central</t>
        </is>
      </c>
      <c r="D14" s="8" t="inlineStr">
        <is>
          <t>CI&amp;S – Estate Planning &amp; Development (TBC: confirm with Gerard)</t>
        </is>
      </c>
      <c r="E14" s="8" t="inlineStr">
        <is>
          <t>TBC</t>
        </is>
      </c>
      <c r="F14" s="8" t="n">
        <v>5</v>
      </c>
      <c r="G14" s="8" t="inlineStr">
        <is>
          <t>CIandS - SR26 sustainability reporting request.xlsx</t>
        </is>
      </c>
      <c r="H14" s="44" t="n"/>
      <c r="I14" s="44" t="n">
        <v>46371</v>
      </c>
      <c r="J14" s="44">
        <f>IF(I14="","",I14-7)</f>
        <v/>
      </c>
      <c r="K14" s="44" t="inlineStr"/>
      <c r="L14" s="8">
        <f>COUNTIF('CI&amp;S'!$L$10:$L$15,"?*")</f>
        <v/>
      </c>
      <c r="M14" s="8">
        <f>COUNTIF('CI&amp;S'!$Q$10:$Q$15,"Yes")</f>
        <v/>
      </c>
      <c r="N14" s="8" t="inlineStr">
        <is>
          <t>Not sent</t>
        </is>
      </c>
      <c r="O14" s="8">
        <f>IF(OR(I14="",L14&gt;=F14),"",MAX(0,TODAY()-I14))</f>
        <v/>
      </c>
      <c r="P14" s="8" t="inlineStr"/>
    </row>
    <row r="15">
      <c r="B15" s="8" t="inlineStr">
        <is>
          <t>C2</t>
        </is>
      </c>
      <c r="C15" s="8" t="inlineStr">
        <is>
          <t>Central</t>
        </is>
      </c>
      <c r="D15" s="8" t="inlineStr">
        <is>
          <t>CI&amp;S – Sustainability Strategy (incl. CLLAP)</t>
        </is>
      </c>
      <c r="E15" s="8" t="inlineStr">
        <is>
          <t>TBC</t>
        </is>
      </c>
      <c r="F15" s="8" t="n">
        <v>14</v>
      </c>
      <c r="G15" s="8" t="inlineStr">
        <is>
          <t>CIandS - SR26 sustainability reporting request.xlsx</t>
        </is>
      </c>
      <c r="H15" s="44" t="n"/>
      <c r="I15" s="44" t="n">
        <v>46371</v>
      </c>
      <c r="J15" s="44">
        <f>IF(I15="","",I15-7)</f>
        <v/>
      </c>
      <c r="K15" s="44" t="inlineStr"/>
      <c r="L15" s="8">
        <f>COUNTIF('CI&amp;S'!$L$22:$L$36,"?*")</f>
        <v/>
      </c>
      <c r="M15" s="8">
        <f>COUNTIF('CI&amp;S'!$Q$22:$Q$36,"Yes")</f>
        <v/>
      </c>
      <c r="N15" s="8" t="inlineStr">
        <is>
          <t>Not sent</t>
        </is>
      </c>
      <c r="O15" s="8">
        <f>IF(OR(I15="",L15&gt;=F15),"",MAX(0,TODAY()-I15))</f>
        <v/>
      </c>
      <c r="P15" s="8" t="inlineStr"/>
    </row>
    <row r="16">
      <c r="B16" s="8" t="inlineStr">
        <is>
          <t>C3</t>
        </is>
      </c>
      <c r="C16" s="8" t="inlineStr">
        <is>
          <t>Central</t>
        </is>
      </c>
      <c r="D16" s="8" t="inlineStr">
        <is>
          <t>CFOG – Procurement</t>
        </is>
      </c>
      <c r="E16" s="8" t="inlineStr">
        <is>
          <t>TBC</t>
        </is>
      </c>
      <c r="F16" s="8" t="n">
        <v>6</v>
      </c>
      <c r="G16" s="8" t="inlineStr">
        <is>
          <t>CFOG - SR26 sustainability reporting request.xlsx</t>
        </is>
      </c>
      <c r="H16" s="44" t="n"/>
      <c r="I16" s="44" t="n">
        <v>46371</v>
      </c>
      <c r="J16" s="44">
        <f>IF(I16="","",I16-7)</f>
        <v/>
      </c>
      <c r="K16" s="44" t="inlineStr"/>
      <c r="L16" s="8">
        <f>COUNTIF('CFOG'!$L$10:$L$16,"?*")</f>
        <v/>
      </c>
      <c r="M16" s="8">
        <f>COUNTIF('CFOG'!$Q$10:$Q$16,"Yes")</f>
        <v/>
      </c>
      <c r="N16" s="8" t="inlineStr">
        <is>
          <t>Not sent</t>
        </is>
      </c>
      <c r="O16" s="8">
        <f>IF(OR(I16="",L16&gt;=F16),"",MAX(0,TODAY()-I16))</f>
        <v/>
      </c>
      <c r="P16" s="8" t="inlineStr"/>
    </row>
    <row r="17">
      <c r="B17" s="8" t="inlineStr">
        <is>
          <t>C4</t>
        </is>
      </c>
      <c r="C17" s="8" t="inlineStr">
        <is>
          <t>Central</t>
        </is>
      </c>
      <c r="D17" s="8" t="inlineStr">
        <is>
          <t>CFOG – Treasury &amp; Investments</t>
        </is>
      </c>
      <c r="E17" s="8" t="inlineStr">
        <is>
          <t>TBC</t>
        </is>
      </c>
      <c r="F17" s="8" t="n">
        <v>1</v>
      </c>
      <c r="G17" s="8" t="inlineStr">
        <is>
          <t>CFOG - SR26 sustainability reporting request.xlsx</t>
        </is>
      </c>
      <c r="H17" s="44" t="n"/>
      <c r="I17" s="44" t="n">
        <v>46371</v>
      </c>
      <c r="J17" s="44">
        <f>IF(I17="","",I17-7)</f>
        <v/>
      </c>
      <c r="K17" s="44" t="inlineStr"/>
      <c r="L17" s="8">
        <f>COUNTIF('CFOG'!$L$23:$L$24,"?*")</f>
        <v/>
      </c>
      <c r="M17" s="8">
        <f>COUNTIF('CFOG'!$Q$23:$Q$24,"Yes")</f>
        <v/>
      </c>
      <c r="N17" s="8" t="inlineStr">
        <is>
          <t>Not sent</t>
        </is>
      </c>
      <c r="O17" s="8">
        <f>IF(OR(I17="",L17&gt;=F17),"",MAX(0,TODAY()-I17))</f>
        <v/>
      </c>
      <c r="P17" s="8" t="inlineStr"/>
    </row>
    <row r="18">
      <c r="B18" s="8" t="inlineStr">
        <is>
          <t>C5</t>
        </is>
      </c>
      <c r="C18" s="8" t="inlineStr">
        <is>
          <t>Central</t>
        </is>
      </c>
      <c r="D18" s="8" t="inlineStr">
        <is>
          <t>ESG – Campus Operations &amp; Sustainability Delivery</t>
        </is>
      </c>
      <c r="E18" s="8" t="inlineStr">
        <is>
          <t>TBC</t>
        </is>
      </c>
      <c r="F18" s="8" t="n">
        <v>7</v>
      </c>
      <c r="G18" s="8" t="inlineStr">
        <is>
          <t>ESG - SR26 sustainability reporting request.xlsx</t>
        </is>
      </c>
      <c r="H18" s="44" t="n"/>
      <c r="I18" s="44" t="n">
        <v>46371</v>
      </c>
      <c r="J18" s="44">
        <f>IF(I18="","",I18-7)</f>
        <v/>
      </c>
      <c r="K18" s="44" t="inlineStr"/>
      <c r="L18" s="8">
        <f>COUNTIF('ESG'!$L$10:$L$17,"?*")</f>
        <v/>
      </c>
      <c r="M18" s="8">
        <f>COUNTIF('ESG'!$Q$10:$Q$17,"Yes")</f>
        <v/>
      </c>
      <c r="N18" s="8" t="inlineStr">
        <is>
          <t>Not sent</t>
        </is>
      </c>
      <c r="O18" s="8">
        <f>IF(OR(I18="",L18&gt;=F18),"",MAX(0,TODAY()-I18))</f>
        <v/>
      </c>
      <c r="P18" s="8" t="inlineStr"/>
    </row>
    <row r="19">
      <c r="B19" s="8" t="inlineStr">
        <is>
          <t>C6</t>
        </is>
      </c>
      <c r="C19" s="8" t="inlineStr">
        <is>
          <t>Central</t>
        </is>
      </c>
      <c r="D19" s="8" t="inlineStr">
        <is>
          <t>CIOG – Responsible AI &amp; digital</t>
        </is>
      </c>
      <c r="E19" s="8" t="inlineStr">
        <is>
          <t>TBC</t>
        </is>
      </c>
      <c r="F19" s="8" t="n">
        <v>4</v>
      </c>
      <c r="G19" s="8" t="inlineStr">
        <is>
          <t>CIOG - SR26 sustainability reporting request.xlsx</t>
        </is>
      </c>
      <c r="H19" s="44" t="n"/>
      <c r="I19" s="44" t="n">
        <v>46371</v>
      </c>
      <c r="J19" s="44">
        <f>IF(I19="","",I19-7)</f>
        <v/>
      </c>
      <c r="K19" s="44" t="inlineStr"/>
      <c r="L19" s="8">
        <f>COUNTIF('CIOG'!$L$10:$L$14,"?*")</f>
        <v/>
      </c>
      <c r="M19" s="8">
        <f>COUNTIF('CIOG'!$Q$10:$Q$14,"Yes")</f>
        <v/>
      </c>
      <c r="N19" s="8" t="inlineStr">
        <is>
          <t>Not sent</t>
        </is>
      </c>
      <c r="O19" s="8">
        <f>IF(OR(I19="",L19&gt;=F19),"",MAX(0,TODAY()-I19))</f>
        <v/>
      </c>
      <c r="P19" s="8" t="inlineStr"/>
    </row>
    <row r="20">
      <c r="B20" s="8" t="inlineStr">
        <is>
          <t>C7</t>
        </is>
      </c>
      <c r="C20" s="8" t="inlineStr">
        <is>
          <t>Central</t>
        </is>
      </c>
      <c r="D20" s="8" t="inlineStr">
        <is>
          <t>MRE – Research (incl. MBI – TBC)</t>
        </is>
      </c>
      <c r="E20" s="8" t="inlineStr">
        <is>
          <t>TBC</t>
        </is>
      </c>
      <c r="F20" s="8" t="n">
        <v>8</v>
      </c>
      <c r="G20" s="8" t="inlineStr">
        <is>
          <t>MRE - SR26 sustainability reporting request.xlsx</t>
        </is>
      </c>
      <c r="H20" s="44" t="n"/>
      <c r="I20" s="44" t="n">
        <v>46371</v>
      </c>
      <c r="J20" s="44">
        <f>IF(I20="","",I20-7)</f>
        <v/>
      </c>
      <c r="K20" s="44" t="inlineStr"/>
      <c r="L20" s="8">
        <f>COUNTIF('MRE'!$L$10:$L$18,"?*")</f>
        <v/>
      </c>
      <c r="M20" s="8">
        <f>COUNTIF('MRE'!$Q$10:$Q$18,"Yes")</f>
        <v/>
      </c>
      <c r="N20" s="8" t="inlineStr">
        <is>
          <t>Not sent</t>
        </is>
      </c>
      <c r="O20" s="8">
        <f>IF(OR(I20="",L20&gt;=F20),"",MAX(0,TODAY()-I20))</f>
        <v/>
      </c>
      <c r="P20" s="8" t="inlineStr"/>
    </row>
    <row r="21">
      <c r="B21" s="8" t="inlineStr">
        <is>
          <t>C8</t>
        </is>
      </c>
      <c r="C21" s="8" t="inlineStr">
        <is>
          <t>Central</t>
        </is>
      </c>
      <c r="D21" s="8" t="inlineStr">
        <is>
          <t>AC&amp;M – Advancement, Communication and Marketing</t>
        </is>
      </c>
      <c r="E21" s="8" t="inlineStr">
        <is>
          <t>TBC</t>
        </is>
      </c>
      <c r="F21" s="8" t="n">
        <v>4</v>
      </c>
      <c r="G21" s="8" t="inlineStr">
        <is>
          <t>ACM - SR26 sustainability reporting request.xlsx</t>
        </is>
      </c>
      <c r="H21" s="44" t="n"/>
      <c r="I21" s="44" t="n">
        <v>46371</v>
      </c>
      <c r="J21" s="44">
        <f>IF(I21="","",I21-7)</f>
        <v/>
      </c>
      <c r="K21" s="44" t="inlineStr"/>
      <c r="L21" s="8">
        <f>COUNTIF('AC&amp;M'!$L$10:$L$14,"?*")</f>
        <v/>
      </c>
      <c r="M21" s="8">
        <f>COUNTIF('AC&amp;M'!$Q$10:$Q$14,"Yes")</f>
        <v/>
      </c>
      <c r="N21" s="8" t="inlineStr">
        <is>
          <t>Not sent</t>
        </is>
      </c>
      <c r="O21" s="8">
        <f>IF(OR(I21="",L21&gt;=F21),"",MAX(0,TODAY()-I21))</f>
        <v/>
      </c>
      <c r="P21" s="8" t="inlineStr"/>
    </row>
    <row r="22">
      <c r="B22" s="8" t="inlineStr">
        <is>
          <t>C9</t>
        </is>
      </c>
      <c r="C22" s="8" t="inlineStr">
        <is>
          <t>Central</t>
        </is>
      </c>
      <c r="D22" s="8" t="inlineStr">
        <is>
          <t>GCE – Global, Culture and Engagement</t>
        </is>
      </c>
      <c r="E22" s="8" t="inlineStr">
        <is>
          <t>TBC</t>
        </is>
      </c>
      <c r="F22" s="8" t="n">
        <v>2</v>
      </c>
      <c r="G22" s="8" t="inlineStr">
        <is>
          <t>GCE - SR26 sustainability reporting request.xlsx</t>
        </is>
      </c>
      <c r="H22" s="44" t="n"/>
      <c r="I22" s="44" t="n">
        <v>46371</v>
      </c>
      <c r="J22" s="44">
        <f>IF(I22="","",I22-7)</f>
        <v/>
      </c>
      <c r="K22" s="44" t="inlineStr"/>
      <c r="L22" s="8">
        <f>COUNTIF('GCE'!$L$10:$L$12,"?*")</f>
        <v/>
      </c>
      <c r="M22" s="8">
        <f>COUNTIF('GCE'!$Q$10:$Q$12,"Yes")</f>
        <v/>
      </c>
      <c r="N22" s="8" t="inlineStr">
        <is>
          <t>Not sent</t>
        </is>
      </c>
      <c r="O22" s="8">
        <f>IF(OR(I22="",L22&gt;=F22),"",MAX(0,TODAY()-I22))</f>
        <v/>
      </c>
      <c r="P22" s="8" t="inlineStr"/>
    </row>
    <row r="23">
      <c r="B23" s="8" t="inlineStr">
        <is>
          <t>C10</t>
        </is>
      </c>
      <c r="C23" s="8" t="inlineStr">
        <is>
          <t>Central</t>
        </is>
      </c>
      <c r="D23" s="8" t="inlineStr">
        <is>
          <t>Education – Chancellery Education</t>
        </is>
      </c>
      <c r="E23" s="8" t="inlineStr">
        <is>
          <t>TBC</t>
        </is>
      </c>
      <c r="F23" s="8" t="n">
        <v>3</v>
      </c>
      <c r="G23" s="8" t="inlineStr">
        <is>
          <t>Education - SR26 sustainability reporting request.xlsx</t>
        </is>
      </c>
      <c r="H23" s="44" t="n"/>
      <c r="I23" s="44" t="n">
        <v>46371</v>
      </c>
      <c r="J23" s="44">
        <f>IF(I23="","",I23-7)</f>
        <v/>
      </c>
      <c r="K23" s="44" t="inlineStr"/>
      <c r="L23" s="8">
        <f>COUNTIF('Education'!$L$10:$L$13,"?*")</f>
        <v/>
      </c>
      <c r="M23" s="8">
        <f>COUNTIF('Education'!$Q$10:$Q$13,"Yes")</f>
        <v/>
      </c>
      <c r="N23" s="8" t="inlineStr">
        <is>
          <t>Not sent</t>
        </is>
      </c>
      <c r="O23" s="8">
        <f>IF(OR(I23="",L23&gt;=F23),"",MAX(0,TODAY()-I23))</f>
        <v/>
      </c>
      <c r="P23" s="8" t="inlineStr"/>
    </row>
    <row r="24">
      <c r="B24" s="8" t="inlineStr">
        <is>
          <t>C11</t>
        </is>
      </c>
      <c r="C24" s="8" t="inlineStr">
        <is>
          <t>Central</t>
        </is>
      </c>
      <c r="D24" s="8" t="inlineStr">
        <is>
          <t>SaSS – Student and Scholarly Services</t>
        </is>
      </c>
      <c r="E24" s="8" t="inlineStr">
        <is>
          <t>TBC</t>
        </is>
      </c>
      <c r="F24" s="8" t="n">
        <v>2</v>
      </c>
      <c r="G24" s="8" t="inlineStr">
        <is>
          <t>SaSS - SR26 sustainability reporting request.xlsx</t>
        </is>
      </c>
      <c r="H24" s="44" t="n"/>
      <c r="I24" s="44" t="n">
        <v>46371</v>
      </c>
      <c r="J24" s="44">
        <f>IF(I24="","",I24-7)</f>
        <v/>
      </c>
      <c r="K24" s="44" t="inlineStr"/>
      <c r="L24" s="8">
        <f>COUNTIF('SaSS'!$L$10:$L$12,"?*")</f>
        <v/>
      </c>
      <c r="M24" s="8">
        <f>COUNTIF('SaSS'!$Q$10:$Q$12,"Yes")</f>
        <v/>
      </c>
      <c r="N24" s="8" t="inlineStr">
        <is>
          <t>Not sent</t>
        </is>
      </c>
      <c r="O24" s="8">
        <f>IF(OR(I24="",L24&gt;=F24),"",MAX(0,TODAY()-I24))</f>
        <v/>
      </c>
      <c r="P24" s="8" t="inlineStr"/>
    </row>
    <row r="25">
      <c r="B25" s="8" t="inlineStr">
        <is>
          <t>C12</t>
        </is>
      </c>
      <c r="C25" s="8" t="inlineStr">
        <is>
          <t>Central</t>
        </is>
      </c>
      <c r="D25" s="8" t="inlineStr">
        <is>
          <t>Indigenous – Chancellery Indigenous</t>
        </is>
      </c>
      <c r="E25" s="8" t="inlineStr">
        <is>
          <t>TBC</t>
        </is>
      </c>
      <c r="F25" s="8" t="n">
        <v>1</v>
      </c>
      <c r="G25" s="8" t="inlineStr">
        <is>
          <t>Indigenous - SR26 sustainability reporting request.xlsx</t>
        </is>
      </c>
      <c r="H25" s="44" t="n"/>
      <c r="I25" s="44" t="n">
        <v>46371</v>
      </c>
      <c r="J25" s="44">
        <f>IF(I25="","",I25-7)</f>
        <v/>
      </c>
      <c r="K25" s="44" t="inlineStr"/>
      <c r="L25" s="8">
        <f>COUNTIF('Indigenous'!$L$10:$L$11,"?*")</f>
        <v/>
      </c>
      <c r="M25" s="8">
        <f>COUNTIF('Indigenous'!$Q$10:$Q$11,"Yes")</f>
        <v/>
      </c>
      <c r="N25" s="8" t="inlineStr">
        <is>
          <t>Not sent</t>
        </is>
      </c>
      <c r="O25" s="8">
        <f>IF(OR(I25="",L25&gt;=F25),"",MAX(0,TODAY()-I25))</f>
        <v/>
      </c>
      <c r="P25" s="8" t="inlineStr"/>
    </row>
    <row r="26">
      <c r="B26" s="8" t="inlineStr">
        <is>
          <t>C13</t>
        </is>
      </c>
      <c r="C26" s="8" t="inlineStr">
        <is>
          <t>Central</t>
        </is>
      </c>
      <c r="D26" s="8" t="inlineStr">
        <is>
          <t>Legal &amp; Risk – Risk &amp; resilience</t>
        </is>
      </c>
      <c r="E26" s="8" t="inlineStr">
        <is>
          <t>TBC</t>
        </is>
      </c>
      <c r="F26" s="8" t="n">
        <v>1</v>
      </c>
      <c r="G26" s="8" t="inlineStr">
        <is>
          <t>LandR - SR26 sustainability reporting request.xlsx</t>
        </is>
      </c>
      <c r="H26" s="44" t="n"/>
      <c r="I26" s="44" t="n">
        <v>46371</v>
      </c>
      <c r="J26" s="44">
        <f>IF(I26="","",I26-7)</f>
        <v/>
      </c>
      <c r="K26" s="44" t="inlineStr"/>
      <c r="L26" s="8">
        <f>COUNTIF('L&amp;R'!$L$10:$L$11,"?*")</f>
        <v/>
      </c>
      <c r="M26" s="8">
        <f>COUNTIF('L&amp;R'!$Q$10:$Q$11,"Yes")</f>
        <v/>
      </c>
      <c r="N26" s="8" t="inlineStr">
        <is>
          <t>Not sent</t>
        </is>
      </c>
      <c r="O26" s="8">
        <f>IF(OR(I26="",L26&gt;=F26),"",MAX(0,TODAY()-I26))</f>
        <v/>
      </c>
      <c r="P26" s="8" t="inlineStr"/>
    </row>
  </sheetData>
  <dataValidations count="1">
    <dataValidation sqref="N10:N26" showDropDown="0" showInputMessage="0" showErrorMessage="0" allowBlank="1" errorTitle="Invalid entry" error="Please select from the dropdown" type="list">
      <formula1>=Lists!$D$2:$D$9</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0"/>
    <pageSetUpPr/>
  </sheetPr>
  <dimension ref="A1:R6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Faculties</t>
        </is>
      </c>
    </row>
    <row r="3">
      <c r="B3" s="20" t="inlineStr">
        <is>
          <t>Consolidated responses – paste from returned request workbooks (identical column layout). Click [+] above Columns H–K for end-2025 responses.</t>
        </is>
      </c>
    </row>
    <row r="5">
      <c r="B5" s="45" t="inlineStr">
        <is>
          <t>1.1  ABP – Faculty of Architecture, Building and Planning</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EE1(a)</t>
        </is>
      </c>
      <c r="C10" s="50" t="inlineStr">
        <is>
          <t>Exceptional education</t>
        </is>
      </c>
      <c r="D10" s="50" t="inlineStr">
        <is>
          <t>Provide our students with learning experiences that help them build the knowledge, skills and relationships to lead change for sustainable societies.</t>
        </is>
      </c>
      <c r="E10" s="50" t="inlineStr">
        <is>
          <t>Evidence of innovative approaches to sustainability teaching and learning</t>
        </is>
      </c>
      <c r="F10"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Partially met</t>
        </is>
      </c>
      <c r="J10" s="8"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8" t="inlineStr"/>
      <c r="L10" s="10">
        <f>IF([1]'1. Reporting template'!L16="","",[1]'1. Reporting template'!L16)</f>
        <v/>
      </c>
      <c r="M10" s="10">
        <f>IF([1]'1. Reporting template'!M16="","",[1]'1. Reporting template'!M16)</f>
        <v/>
      </c>
      <c r="N10" s="10">
        <f>IF([1]'1. Reporting template'!N16="","",[1]'1. Reporting template'!N16)</f>
        <v/>
      </c>
      <c r="O10" s="10">
        <f>IF([1]'1. Reporting template'!O16="","",[1]'1. Reporting template'!O16)</f>
        <v/>
      </c>
      <c r="P10" s="10">
        <f>IF([1]'1. Reporting template'!P16="","",[1]'1. Reporting template'!P16)</f>
        <v/>
      </c>
      <c r="Q10" s="10">
        <f>IF([1]'1. Reporting template'!Q16="","",[1]'1. Reporting template'!Q16)</f>
        <v/>
      </c>
      <c r="R10" s="10">
        <f>IF([1]'1. Reporting template'!R16="","",[1]'1. Reporting template'!R16)</f>
        <v/>
      </c>
    </row>
    <row r="11" ht="150" customHeight="1">
      <c r="B11" s="7" t="inlineStr">
        <is>
          <t>EE1(b)</t>
        </is>
      </c>
      <c r="C11" s="50" t="inlineStr">
        <is>
          <t>Exceptional education</t>
        </is>
      </c>
      <c r="D11" s="50" t="inlineStr">
        <is>
          <t>Provide our students with learning experiences that help them build the knowledge, skills and relationships to lead change for sustainable societies.</t>
        </is>
      </c>
      <c r="E11" s="50" t="inlineStr">
        <is>
          <t>Pilots of possible approaches for understanding and developing students’ sustainability self-efficacy</t>
        </is>
      </c>
      <c r="F11"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10">
        <f>IF([1]'1. Reporting template'!L17="","",[1]'1. Reporting template'!L17)</f>
        <v/>
      </c>
      <c r="M11" s="10">
        <f>IF([1]'1. Reporting template'!M17="","",[1]'1. Reporting template'!M17)</f>
        <v/>
      </c>
      <c r="N11" s="10">
        <f>IF([1]'1. Reporting template'!N17="","",[1]'1. Reporting template'!N17)</f>
        <v/>
      </c>
      <c r="O11" s="10">
        <f>IF([1]'1. Reporting template'!O17="","",[1]'1. Reporting template'!O17)</f>
        <v/>
      </c>
      <c r="P11" s="10">
        <f>IF([1]'1. Reporting template'!P17="","",[1]'1. Reporting template'!P17)</f>
        <v/>
      </c>
      <c r="Q11" s="10">
        <f>IF([1]'1. Reporting template'!Q17="","",[1]'1. Reporting template'!Q17)</f>
        <v/>
      </c>
      <c r="R11" s="10">
        <f>IF([1]'1. Reporting template'!R17="","",[1]'1. Reporting template'!R17)</f>
        <v/>
      </c>
    </row>
    <row r="12" ht="150" customHeight="1">
      <c r="B12" s="7" t="inlineStr">
        <is>
          <t>TR1(a)</t>
        </is>
      </c>
      <c r="C12" s="50" t="inlineStr">
        <is>
          <t>Transformational research</t>
        </is>
      </c>
      <c r="D12" s="50" t="inlineStr">
        <is>
          <t>Utilise the expertise of the University’s researchers through mutually beneficial partnerships to help address the University’s operational sustainability challenges.</t>
        </is>
      </c>
      <c r="E12" s="50" t="inlineStr">
        <is>
          <t>Expert-reviewed evidence of researchers contributing to operational sustainability priorities through partnerships, advisory input, living labs, applied projects or decision-support</t>
        </is>
      </c>
      <c r="F12" s="8" t="inlineStr">
        <is>
          <t>In end-2025 reporting your faculty reported on the related SP2030 target 2a and rated it 'Met or exceeded'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2" s="8" t="inlineStr">
        <is>
          <t>We will report on examples of researchers helping solve the University's own operational sustainability challenges, alongside CLLAP projects reported by CI&amp;S, and share them with operational teams to identify further collaboration.</t>
        </is>
      </c>
      <c r="H12" s="8" t="inlineStr">
        <is>
          <t>2a</t>
        </is>
      </c>
      <c r="I12" s="8" t="inlineStr">
        <is>
          <t>Met or exceeded</t>
        </is>
      </c>
      <c r="J12"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2" s="8" t="inlineStr"/>
      <c r="L12" s="10">
        <f>IF([1]'1. Reporting template'!L18="","",[1]'1. Reporting template'!L18)</f>
        <v/>
      </c>
      <c r="M12" s="10">
        <f>IF([1]'1. Reporting template'!M18="","",[1]'1. Reporting template'!M18)</f>
        <v/>
      </c>
      <c r="N12" s="10">
        <f>IF([1]'1. Reporting template'!N18="","",[1]'1. Reporting template'!N18)</f>
        <v/>
      </c>
      <c r="O12" s="10">
        <f>IF([1]'1. Reporting template'!O18="","",[1]'1. Reporting template'!O18)</f>
        <v/>
      </c>
      <c r="P12" s="10">
        <f>IF([1]'1. Reporting template'!P18="","",[1]'1. Reporting template'!P18)</f>
        <v/>
      </c>
      <c r="Q12" s="10">
        <f>IF([1]'1. Reporting template'!Q18="","",[1]'1. Reporting template'!Q18)</f>
        <v/>
      </c>
      <c r="R12" s="10">
        <f>IF([1]'1. Reporting template'!R18="","",[1]'1. Reporting template'!R18)</f>
        <v/>
      </c>
    </row>
    <row r="13" ht="150" customHeight="1">
      <c r="B13" s="7" t="inlineStr">
        <is>
          <t>TR2(a)</t>
        </is>
      </c>
      <c r="C13" s="50" t="inlineStr">
        <is>
          <t>Transformational research</t>
        </is>
      </c>
      <c r="D13" s="50" t="inlineStr">
        <is>
          <t>Deliver high-quality research and partnerships that contribute to sustainability outcomes and demonstrable societal benefit.</t>
        </is>
      </c>
      <c r="E13" s="50" t="inlineStr">
        <is>
          <t>Evidence of sustainability-related research impact across diverse pathways, could include policy, industry, community, practice, cultural and institutional outcomes</t>
        </is>
      </c>
      <c r="F13"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3" s="8" t="inlineStr">
        <is>
          <t>We will collate research impact examples across faculties to show the breadth of sustainability-related research impact in the Transformational research section of the 2026 Sustainability Report, complementing University-wide metrics from MRE.</t>
        </is>
      </c>
      <c r="H13" s="8" t="inlineStr">
        <is>
          <t>5b(i)</t>
        </is>
      </c>
      <c r="I13" s="8" t="inlineStr">
        <is>
          <t>Met or exceeded</t>
        </is>
      </c>
      <c r="J13"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8" t="inlineStr">
        <is>
          <t>www.beyondepic.io</t>
        </is>
      </c>
      <c r="L13" s="10">
        <f>IF([1]'1. Reporting template'!L19="","",[1]'1. Reporting template'!L19)</f>
        <v/>
      </c>
      <c r="M13" s="10">
        <f>IF([1]'1. Reporting template'!M19="","",[1]'1. Reporting template'!M19)</f>
        <v/>
      </c>
      <c r="N13" s="10">
        <f>IF([1]'1. Reporting template'!N19="","",[1]'1. Reporting template'!N19)</f>
        <v/>
      </c>
      <c r="O13" s="10">
        <f>IF([1]'1. Reporting template'!O19="","",[1]'1. Reporting template'!O19)</f>
        <v/>
      </c>
      <c r="P13" s="10">
        <f>IF([1]'1. Reporting template'!P19="","",[1]'1. Reporting template'!P19)</f>
        <v/>
      </c>
      <c r="Q13" s="10">
        <f>IF([1]'1. Reporting template'!Q19="","",[1]'1. Reporting template'!Q19)</f>
        <v/>
      </c>
      <c r="R13" s="10">
        <f>IF([1]'1. Reporting template'!R19="","",[1]'1. Reporting template'!R19)</f>
        <v/>
      </c>
    </row>
    <row r="14" ht="150" customHeight="1">
      <c r="B14" s="7" t="inlineStr">
        <is>
          <t>TR2(d)</t>
        </is>
      </c>
      <c r="C14" s="50" t="inlineStr">
        <is>
          <t>Transformational research</t>
        </is>
      </c>
      <c r="D14" s="50" t="inlineStr">
        <is>
          <t>Deliver high-quality research and partnerships that contribute to sustainability outcomes and demonstrable societal benefit.</t>
        </is>
      </c>
      <c r="E14" s="50" t="inlineStr">
        <is>
          <t>Case-based evidence demonstrating how research has contributed to meaningful sustainability outcomes.</t>
        </is>
      </c>
      <c r="F14"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4" s="8" t="inlineStr">
        <is>
          <t>We will select the strongest examples to develop as full research case studies for the 2026 Sustainability Report (we may contact you for more detail and images).</t>
        </is>
      </c>
      <c r="H14" s="8" t="inlineStr">
        <is>
          <t>5b(i)</t>
        </is>
      </c>
      <c r="I14" s="8" t="inlineStr">
        <is>
          <t>Met or exceeded</t>
        </is>
      </c>
      <c r="J14"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4" s="8" t="inlineStr">
        <is>
          <t>www.beyondepic.io</t>
        </is>
      </c>
      <c r="L14" s="10">
        <f>IF([1]'1. Reporting template'!L20="","",[1]'1. Reporting template'!L20)</f>
        <v/>
      </c>
      <c r="M14" s="10">
        <f>IF([1]'1. Reporting template'!M20="","",[1]'1. Reporting template'!M20)</f>
        <v/>
      </c>
      <c r="N14" s="10">
        <f>IF([1]'1. Reporting template'!N20="","",[1]'1. Reporting template'!N20)</f>
        <v/>
      </c>
      <c r="O14" s="10">
        <f>IF([1]'1. Reporting template'!O20="","",[1]'1. Reporting template'!O20)</f>
        <v/>
      </c>
      <c r="P14" s="10">
        <f>IF([1]'1. Reporting template'!P20="","",[1]'1. Reporting template'!P20)</f>
        <v/>
      </c>
      <c r="Q14" s="10">
        <f>IF([1]'1. Reporting template'!Q20="","",[1]'1. Reporting template'!Q20)</f>
        <v/>
      </c>
      <c r="R14" s="10">
        <f>IF([1]'1. Reporting template'!R20="","",[1]'1. Reporting template'!R20)</f>
        <v/>
      </c>
    </row>
    <row r="15" ht="150" customHeight="1">
      <c r="B15" s="7" t="inlineStr">
        <is>
          <t>TR3(b)</t>
        </is>
      </c>
      <c r="C15" s="50" t="inlineStr">
        <is>
          <t>Transformational research</t>
        </is>
      </c>
      <c r="D15" s="50" t="inlineStr">
        <is>
          <t>Embed sustainability within research systems, processes, capability and culture, so research is conducted responsibly, efficiently and with reduced environmental impact.</t>
        </is>
      </c>
      <c r="E15" s="50" t="inlineStr">
        <is>
          <t>Demonstrated examples of more sustainable research practices in laboratories, fieldwork, procurement, travel or infrastructure use</t>
        </is>
      </c>
      <c r="F15"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5" s="8" t="inlineStr">
        <is>
          <t>We will report on ways the University is making research practices more sustainable in the 2026 Sustainability Report, and share practical examples (e.g. green labs) across faculties.</t>
        </is>
      </c>
      <c r="H15" s="8" t="inlineStr">
        <is>
          <t>5c(ii)</t>
        </is>
      </c>
      <c r="I15" s="8" t="inlineStr">
        <is>
          <t>Partially met</t>
        </is>
      </c>
      <c r="J15"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5" s="8" t="inlineStr"/>
      <c r="L15" s="10">
        <f>IF([1]'1. Reporting template'!L21="","",[1]'1. Reporting template'!L21)</f>
        <v/>
      </c>
      <c r="M15" s="10">
        <f>IF([1]'1. Reporting template'!M21="","",[1]'1. Reporting template'!M21)</f>
        <v/>
      </c>
      <c r="N15" s="10">
        <f>IF([1]'1. Reporting template'!N21="","",[1]'1. Reporting template'!N21)</f>
        <v/>
      </c>
      <c r="O15" s="10">
        <f>IF([1]'1. Reporting template'!O21="","",[1]'1. Reporting template'!O21)</f>
        <v/>
      </c>
      <c r="P15" s="10">
        <f>IF([1]'1. Reporting template'!P21="","",[1]'1. Reporting template'!P21)</f>
        <v/>
      </c>
      <c r="Q15" s="10">
        <f>IF([1]'1. Reporting template'!Q21="","",[1]'1. Reporting template'!Q21)</f>
        <v/>
      </c>
      <c r="R15" s="10">
        <f>IF([1]'1. Reporting template'!R21="","",[1]'1. Reporting template'!R21)</f>
        <v/>
      </c>
    </row>
    <row r="16" ht="150" customHeight="1">
      <c r="B16" s="7" t="inlineStr">
        <is>
          <t>EN1(a)</t>
        </is>
      </c>
      <c r="C16" s="50" t="inlineStr">
        <is>
          <t>Enablers</t>
        </is>
      </c>
      <c r="D16" s="50" t="inlineStr">
        <is>
          <t>Enablers</t>
        </is>
      </c>
      <c r="E16" s="50" t="inlineStr">
        <is>
          <t>Evidence of sustainability outcomes informed by Indigenous knowledges</t>
        </is>
      </c>
      <c r="F16" s="8" t="inlineStr">
        <is>
          <t>In end-2025 reporting your faculty reported on the related SP2030 target 6a and rated it 'Met or exceeded'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6" s="8" t="inlineStr">
        <is>
          <t>We will report on the ways Indigenous knowledges inform sustainability activities across the University, and develop selected examples into case studies with appropriate permissions.</t>
        </is>
      </c>
      <c r="H16" s="8" t="inlineStr">
        <is>
          <t>6a</t>
        </is>
      </c>
      <c r="I16" s="8" t="inlineStr">
        <is>
          <t>Met or exceeded</t>
        </is>
      </c>
      <c r="J16" s="8"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6" s="8" t="inlineStr"/>
      <c r="L16" s="10">
        <f>IF([1]'1. Reporting template'!L22="","",[1]'1. Reporting template'!L22)</f>
        <v/>
      </c>
      <c r="M16" s="10">
        <f>IF([1]'1. Reporting template'!M22="","",[1]'1. Reporting template'!M22)</f>
        <v/>
      </c>
      <c r="N16" s="10">
        <f>IF([1]'1. Reporting template'!N22="","",[1]'1. Reporting template'!N22)</f>
        <v/>
      </c>
      <c r="O16" s="10">
        <f>IF([1]'1. Reporting template'!O22="","",[1]'1. Reporting template'!O22)</f>
        <v/>
      </c>
      <c r="P16" s="10">
        <f>IF([1]'1. Reporting template'!P22="","",[1]'1. Reporting template'!P22)</f>
        <v/>
      </c>
      <c r="Q16" s="10">
        <f>IF([1]'1. Reporting template'!Q22="","",[1]'1. Reporting template'!Q22)</f>
        <v/>
      </c>
      <c r="R16" s="10">
        <f>IF([1]'1. Reporting template'!R22="","",[1]'1. Reporting template'!R22)</f>
        <v/>
      </c>
    </row>
    <row r="17" ht="150" customHeight="1">
      <c r="B17" s="7" t="inlineStr">
        <is>
          <t>EN1(b)</t>
        </is>
      </c>
      <c r="C17" s="50" t="inlineStr">
        <is>
          <t>Enablers</t>
        </is>
      </c>
      <c r="D17" s="50" t="inlineStr">
        <is>
          <t>Enablers</t>
        </is>
      </c>
      <c r="E17" s="50" t="inlineStr">
        <is>
          <t>Living laboratories enabling applied learning, research and operational sustainability outcomes</t>
        </is>
      </c>
      <c r="F17" s="8" t="inlineStr">
        <is>
          <t>In end-2025 reporting your faculty reported on the related SP2030 target 2a and rated it 'Met or exceeded'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7" s="8" t="inlineStr">
        <is>
          <t>We will share examples of sustainability-related living labs from across the University in the 2026 Sustainability Report, alongside CLLAP projects reported by CI&amp;S.</t>
        </is>
      </c>
      <c r="H17" s="8" t="inlineStr">
        <is>
          <t>2a</t>
        </is>
      </c>
      <c r="I17" s="8" t="inlineStr">
        <is>
          <t>Met or exceeded</t>
        </is>
      </c>
      <c r="J17"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7" s="8" t="inlineStr"/>
      <c r="L17" s="10">
        <f>IF([1]'1. Reporting template'!L23="","",[1]'1. Reporting template'!L23)</f>
        <v/>
      </c>
      <c r="M17" s="10">
        <f>IF([1]'1. Reporting template'!M23="","",[1]'1. Reporting template'!M23)</f>
        <v/>
      </c>
      <c r="N17" s="10">
        <f>IF([1]'1. Reporting template'!N23="","",[1]'1. Reporting template'!N23)</f>
        <v/>
      </c>
      <c r="O17" s="10">
        <f>IF([1]'1. Reporting template'!O23="","",[1]'1. Reporting template'!O23)</f>
        <v/>
      </c>
      <c r="P17" s="10">
        <f>IF([1]'1. Reporting template'!P23="","",[1]'1. Reporting template'!P23)</f>
        <v/>
      </c>
      <c r="Q17" s="10">
        <f>IF([1]'1. Reporting template'!Q23="","",[1]'1. Reporting template'!Q23)</f>
        <v/>
      </c>
      <c r="R17" s="10">
        <f>IF([1]'1. Reporting template'!R23="","",[1]'1. Reporting template'!R23)</f>
        <v/>
      </c>
    </row>
    <row r="18" ht="150" customHeight="1">
      <c r="B18" s="7" t="inlineStr">
        <is>
          <t>EN1(c)</t>
        </is>
      </c>
      <c r="C18" s="50" t="inlineStr">
        <is>
          <t>Enablers</t>
        </is>
      </c>
      <c r="D18" s="50" t="inlineStr">
        <is>
          <t>Enablers</t>
        </is>
      </c>
      <c r="E18" s="50" t="inlineStr">
        <is>
          <t>Coordinated internal engagement and external partnerships contributing to delivery of sustainability outcomes across priority areas.</t>
        </is>
      </c>
      <c r="F18"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8" s="8" t="inlineStr">
        <is>
          <t>We will report on internal engagement and partnerships contributing to Sustainability 2030 outcomes, and update our record of sustainability-focused communities of practice and contacts across the University.</t>
        </is>
      </c>
      <c r="H18" s="8" t="inlineStr">
        <is>
          <t>3a(ii)</t>
        </is>
      </c>
      <c r="I18" s="8" t="inlineStr">
        <is>
          <t>Met or exceeded</t>
        </is>
      </c>
      <c r="J18" s="8"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8" s="8" t="inlineStr"/>
      <c r="L18" s="10">
        <f>IF([1]'1. Reporting template'!L24="","",[1]'1. Reporting template'!L24)</f>
        <v/>
      </c>
      <c r="M18" s="10">
        <f>IF([1]'1. Reporting template'!M24="","",[1]'1. Reporting template'!M24)</f>
        <v/>
      </c>
      <c r="N18" s="10">
        <f>IF([1]'1. Reporting template'!N24="","",[1]'1. Reporting template'!N24)</f>
        <v/>
      </c>
      <c r="O18" s="10">
        <f>IF([1]'1. Reporting template'!O24="","",[1]'1. Reporting template'!O24)</f>
        <v/>
      </c>
      <c r="P18" s="10">
        <f>IF([1]'1. Reporting template'!P24="","",[1]'1. Reporting template'!P24)</f>
        <v/>
      </c>
      <c r="Q18" s="10">
        <f>IF([1]'1. Reporting template'!Q24="","",[1]'1. Reporting template'!Q24)</f>
        <v/>
      </c>
      <c r="R18" s="10">
        <f>IF([1]'1. Reporting template'!R24="","",[1]'1. Reporting template'!R24)</f>
        <v/>
      </c>
    </row>
    <row r="19"/>
    <row r="21">
      <c r="B21" s="45" t="inlineStr">
        <is>
          <t>1.2  ARTS – Faculty of Arts</t>
        </is>
      </c>
    </row>
    <row r="23">
      <c r="C23" s="46" t="inlineStr">
        <is>
          <t>Sustainability 2030 target and indicator</t>
        </is>
      </c>
      <c r="H23" s="46" t="inlineStr">
        <is>
          <t>SR25 response</t>
        </is>
      </c>
      <c r="L23" s="47" t="inlineStr">
        <is>
          <t>End-2026 reporting (PLEASE COMPLETE THIS SECTION)</t>
        </is>
      </c>
    </row>
    <row r="24">
      <c r="B24" s="6" t="inlineStr">
        <is>
          <t>Ref</t>
        </is>
      </c>
      <c r="C24" s="6" t="inlineStr">
        <is>
          <t>Priority area</t>
        </is>
      </c>
      <c r="D24" s="6" t="inlineStr">
        <is>
          <t>Sustainability 2030 target</t>
        </is>
      </c>
      <c r="E24" s="6" t="inlineStr">
        <is>
          <t>Indicator</t>
        </is>
      </c>
      <c r="F24" s="6" t="inlineStr">
        <is>
          <t>2026 Reporting request</t>
        </is>
      </c>
      <c r="G24" s="6" t="inlineStr">
        <is>
          <t>How SST will use this data</t>
        </is>
      </c>
      <c r="H24" s="6" t="inlineStr">
        <is>
          <t>Related SR25 ref</t>
        </is>
      </c>
      <c r="I24" s="6" t="inlineStr">
        <is>
          <t>End-2025 confirmed status</t>
        </is>
      </c>
      <c r="J24" s="6" t="inlineStr">
        <is>
          <t>End-2025 reporting response</t>
        </is>
      </c>
      <c r="K24" s="6" t="inlineStr">
        <is>
          <t>Links and supporting information</t>
        </is>
      </c>
      <c r="L24" s="48" t="inlineStr">
        <is>
          <t>Confirm end-2026 target status</t>
        </is>
      </c>
      <c r="M24" s="48" t="inlineStr">
        <is>
          <t>OPTION 1:  Target-level reporting (Column D)</t>
        </is>
      </c>
      <c r="N24" s="48" t="inlineStr">
        <is>
          <t>OPTION 2:  Indicator level reporting (Column E/F)</t>
        </is>
      </c>
      <c r="O24" s="48" t="inlineStr">
        <is>
          <t>Supporting information/comments</t>
        </is>
      </c>
      <c r="P24" s="48" t="inlineStr">
        <is>
          <t>Data source and limitations</t>
        </is>
      </c>
      <c r="Q24" s="48" t="inlineStr">
        <is>
          <t>Data owner confirms information is accurate</t>
        </is>
      </c>
      <c r="R24" s="48" t="inlineStr">
        <is>
          <t>Confirmed by (name, role, date)</t>
        </is>
      </c>
    </row>
    <row r="25">
      <c r="B25" s="49" t="inlineStr"/>
      <c r="C25" s="49" t="inlineStr"/>
      <c r="D25" s="49" t="inlineStr"/>
      <c r="E25" s="49" t="inlineStr"/>
      <c r="F25" s="49" t="inlineStr"/>
      <c r="G25" s="49" t="inlineStr"/>
      <c r="H25" s="49" t="inlineStr"/>
      <c r="I25" s="49" t="inlineStr"/>
      <c r="J25" s="49" t="inlineStr"/>
      <c r="K25" s="49" t="inlineStr"/>
      <c r="L25" s="49" t="inlineStr">
        <is>
          <t>(Met or exceeded; partially met; not met; not yet started)</t>
        </is>
      </c>
      <c r="M25" s="49" t="inlineStr">
        <is>
          <t>Provide further evidence of target status assessment in the form of:
A general update on activities in relation to the overarching target (Column D)</t>
        </is>
      </c>
      <c r="N25" s="49" t="inlineStr">
        <is>
          <t>Provide further evidence of target status assessment in the form of:
Data and commentary in direct response to the reporting request (Column F)</t>
        </is>
      </c>
      <c r="O25" s="49" t="inlineStr">
        <is>
          <t>Provide any additional information to support the target status assessment (e.g. links, images, rationale for selection of target status)</t>
        </is>
      </c>
      <c r="P25" s="49" t="inlineStr">
        <is>
          <t>Where did this information come from (system, report, survey, person)? Note any gaps or limitations.</t>
        </is>
      </c>
      <c r="Q25" s="49" t="inlineStr">
        <is>
          <t>Select 'Yes' to confirm the information provided is accurate and can be used for reporting</t>
        </is>
      </c>
      <c r="R25" s="49" t="inlineStr">
        <is>
          <t>Name, role and date of the person confirming</t>
        </is>
      </c>
    </row>
    <row r="26" ht="150" customHeight="1">
      <c r="B26" s="7" t="inlineStr">
        <is>
          <t>EE1(a)</t>
        </is>
      </c>
      <c r="C26" s="50" t="inlineStr">
        <is>
          <t>Exceptional education</t>
        </is>
      </c>
      <c r="D26" s="50" t="inlineStr">
        <is>
          <t>Provide our students with learning experiences that help them build the knowledge, skills and relationships to lead change for sustainable societies.</t>
        </is>
      </c>
      <c r="E26" s="50" t="inlineStr">
        <is>
          <t>Evidence of innovative approaches to sustainability teaching and learning</t>
        </is>
      </c>
      <c r="F26"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26"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6" s="8" t="inlineStr">
        <is>
          <t>4a(ii)</t>
        </is>
      </c>
      <c r="I26" s="8" t="inlineStr">
        <is>
          <t>Partially met</t>
        </is>
      </c>
      <c r="J26" s="8"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6" s="8" t="inlineStr"/>
      <c r="L26" s="8" t="n"/>
      <c r="M26" s="8" t="n"/>
      <c r="N26" s="8" t="n"/>
      <c r="O26" s="8" t="n"/>
      <c r="P26" s="8" t="n"/>
      <c r="Q26" s="8" t="n"/>
      <c r="R26" s="8" t="n"/>
    </row>
    <row r="27" ht="150" customHeight="1">
      <c r="B27" s="7" t="inlineStr">
        <is>
          <t>EE1(b)</t>
        </is>
      </c>
      <c r="C27" s="50" t="inlineStr">
        <is>
          <t>Exceptional education</t>
        </is>
      </c>
      <c r="D27" s="50" t="inlineStr">
        <is>
          <t>Provide our students with learning experiences that help them build the knowledge, skills and relationships to lead change for sustainable societies.</t>
        </is>
      </c>
      <c r="E27" s="50" t="inlineStr">
        <is>
          <t>Pilots of possible approaches for understanding and developing students’ sustainability self-efficacy</t>
        </is>
      </c>
      <c r="F2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27" s="8" t="inlineStr">
        <is>
          <t>This is a new indicator. We will use responses to establish a baseline of how (and whether) faculties are understanding student sustainability self-efficacy, and report on early pilots in the 2026 Sustainability Report. A nil response is useful to us.</t>
        </is>
      </c>
      <c r="H27" s="8" t="inlineStr">
        <is>
          <t>N/A – new indicator</t>
        </is>
      </c>
      <c r="I27" s="8" t="inlineStr"/>
      <c r="J27" s="8" t="inlineStr"/>
      <c r="K27" s="8" t="inlineStr"/>
      <c r="L27" s="8" t="n"/>
      <c r="M27" s="8" t="n"/>
      <c r="N27" s="8" t="n"/>
      <c r="O27" s="8" t="n"/>
      <c r="P27" s="8" t="n"/>
      <c r="Q27" s="8" t="n"/>
      <c r="R27" s="8" t="n"/>
    </row>
    <row r="28" ht="150" customHeight="1">
      <c r="B28" s="7" t="inlineStr">
        <is>
          <t>TR1(a)</t>
        </is>
      </c>
      <c r="C28" s="50" t="inlineStr">
        <is>
          <t>Transformational research</t>
        </is>
      </c>
      <c r="D28" s="50" t="inlineStr">
        <is>
          <t>Utilise the expertise of the University’s researchers through mutually beneficial partnerships to help address the University’s operational sustainability challenges.</t>
        </is>
      </c>
      <c r="E28" s="50" t="inlineStr">
        <is>
          <t>Expert-reviewed evidence of researchers contributing to operational sustainability priorities through partnerships, advisory input, living labs, applied projects or decision-support</t>
        </is>
      </c>
      <c r="F28" s="8" t="inlineStr">
        <is>
          <t>In end-2025 reporting your faculty reported on the related SP2030 target 2a and rated it 'Met or exceeded'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28" s="8" t="inlineStr">
        <is>
          <t>We will report on examples of researchers helping solve the University's own operational sustainability challenges, alongside CLLAP projects reported by CI&amp;S, and share them with operational teams to identify further collaboration.</t>
        </is>
      </c>
      <c r="H28" s="8" t="inlineStr">
        <is>
          <t>2a</t>
        </is>
      </c>
      <c r="I28" s="8" t="inlineStr">
        <is>
          <t>Met or exceeded</t>
        </is>
      </c>
      <c r="J28" s="8" t="inlineStr">
        <is>
          <t>See attached report. (RH note: Saved in responses folder)</t>
        </is>
      </c>
      <c r="K28" s="8" t="inlineStr">
        <is>
          <t>Draft report on the Living Lab project is here: Report John Medley Living Lab Project FINAL.docx</t>
        </is>
      </c>
      <c r="L28" s="8" t="n"/>
      <c r="M28" s="8" t="n"/>
      <c r="N28" s="8" t="n"/>
      <c r="O28" s="8" t="n"/>
      <c r="P28" s="8" t="n"/>
      <c r="Q28" s="8" t="n"/>
      <c r="R28" s="8" t="n"/>
    </row>
    <row r="29" ht="150" customHeight="1">
      <c r="B29" s="7" t="inlineStr">
        <is>
          <t>TR2(a)</t>
        </is>
      </c>
      <c r="C29" s="50" t="inlineStr">
        <is>
          <t>Transformational research</t>
        </is>
      </c>
      <c r="D29" s="50" t="inlineStr">
        <is>
          <t>Deliver high-quality research and partnerships that contribute to sustainability outcomes and demonstrable societal benefit.</t>
        </is>
      </c>
      <c r="E29" s="50" t="inlineStr">
        <is>
          <t>Evidence of sustainability-related research impact across diverse pathways, could include policy, industry, community, practice, cultural and institutional outcomes</t>
        </is>
      </c>
      <c r="F29"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9" s="8" t="inlineStr">
        <is>
          <t>We will collate research impact examples across faculties to show the breadth of sustainability-related research impact in the Transformational research section of the 2026 Sustainability Report, complementing University-wide metrics from MRE.</t>
        </is>
      </c>
      <c r="H29" s="8" t="inlineStr">
        <is>
          <t>5b(i)</t>
        </is>
      </c>
      <c r="I29" s="8" t="inlineStr">
        <is>
          <t>Met or exceeded</t>
        </is>
      </c>
      <c r="J29" s="8" t="inlineStr">
        <is>
          <t>In addition to the matters listed at mid-2025, the Ass Dean joined the Board of MBI and hosted a major showcase of MBI activities to Arts Faculty researchers which boosted involvement in the BDI's researech clusters</t>
        </is>
      </c>
      <c r="K29" s="8" t="inlineStr"/>
      <c r="L29" s="8" t="n"/>
      <c r="M29" s="8" t="n"/>
      <c r="N29" s="8" t="n"/>
      <c r="O29" s="8" t="n"/>
      <c r="P29" s="8" t="n"/>
      <c r="Q29" s="8" t="n"/>
      <c r="R29" s="8" t="n"/>
    </row>
    <row r="30" ht="150" customHeight="1">
      <c r="B30" s="7" t="inlineStr">
        <is>
          <t>TR2(d)</t>
        </is>
      </c>
      <c r="C30" s="50" t="inlineStr">
        <is>
          <t>Transformational research</t>
        </is>
      </c>
      <c r="D30" s="50" t="inlineStr">
        <is>
          <t>Deliver high-quality research and partnerships that contribute to sustainability outcomes and demonstrable societal benefit.</t>
        </is>
      </c>
      <c r="E30" s="50" t="inlineStr">
        <is>
          <t>Case-based evidence demonstrating how research has contributed to meaningful sustainability outcomes.</t>
        </is>
      </c>
      <c r="F30"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30" s="8" t="inlineStr">
        <is>
          <t>We will select the strongest examples to develop as full research case studies for the 2026 Sustainability Report (we may contact you for more detail and images).</t>
        </is>
      </c>
      <c r="H30" s="8" t="inlineStr">
        <is>
          <t>5b(i)</t>
        </is>
      </c>
      <c r="I30" s="8" t="inlineStr">
        <is>
          <t>Met or exceeded</t>
        </is>
      </c>
      <c r="J30" s="8" t="inlineStr">
        <is>
          <t>In addition to the matters listed at mid-2025, the Ass Dean joined the Board of MBI and hosted a major showcase of MBI activities to Arts Faculty researchers which boosted involvement in the BDI's researech clusters</t>
        </is>
      </c>
      <c r="K30" s="8" t="inlineStr"/>
      <c r="L30" s="8" t="n"/>
      <c r="M30" s="8" t="n"/>
      <c r="N30" s="8" t="n"/>
      <c r="O30" s="8" t="n"/>
      <c r="P30" s="8" t="n"/>
      <c r="Q30" s="8" t="n"/>
      <c r="R30" s="8" t="n"/>
    </row>
    <row r="31" ht="150" customHeight="1">
      <c r="B31" s="7" t="inlineStr">
        <is>
          <t>TR3(b)</t>
        </is>
      </c>
      <c r="C31" s="50" t="inlineStr">
        <is>
          <t>Transformational research</t>
        </is>
      </c>
      <c r="D31" s="50" t="inlineStr">
        <is>
          <t>Embed sustainability within research systems, processes, capability and culture, so research is conducted responsibly, efficiently and with reduced environmental impact.</t>
        </is>
      </c>
      <c r="E31" s="50" t="inlineStr">
        <is>
          <t>Demonstrated examples of more sustainable research practices in laboratories, fieldwork, procurement, travel or infrastructure use</t>
        </is>
      </c>
      <c r="F31" s="8" t="inlineStr">
        <is>
          <t>In end-2025 reporting your faculty reported on the related SP2030 target 5c(ii) and rated it 'Not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31" s="8" t="inlineStr">
        <is>
          <t>We will report on ways the University is making research practices more sustainable in the 2026 Sustainability Report, and share practical examples (e.g. green labs) across faculties.</t>
        </is>
      </c>
      <c r="H31" s="8" t="inlineStr">
        <is>
          <t>5c(ii)</t>
        </is>
      </c>
      <c r="I31" s="8" t="inlineStr">
        <is>
          <t>Not met</t>
        </is>
      </c>
      <c r="J31" s="8" t="inlineStr">
        <is>
          <t>This needs more specific attention
In general terms, the Faculty has focused on reducing air travel, the major environmental impact of our research activity.</t>
        </is>
      </c>
      <c r="K31" s="8" t="inlineStr"/>
      <c r="L31" s="8" t="n"/>
      <c r="M31" s="8" t="n"/>
      <c r="N31" s="8" t="n"/>
      <c r="O31" s="8" t="n"/>
      <c r="P31" s="8" t="n"/>
      <c r="Q31" s="8" t="n"/>
      <c r="R31" s="8" t="n"/>
    </row>
    <row r="32" ht="150" customHeight="1">
      <c r="B32" s="7" t="inlineStr">
        <is>
          <t>EN1(a)</t>
        </is>
      </c>
      <c r="C32" s="50" t="inlineStr">
        <is>
          <t>Enablers</t>
        </is>
      </c>
      <c r="D32" s="50" t="inlineStr">
        <is>
          <t>Enablers</t>
        </is>
      </c>
      <c r="E32" s="50" t="inlineStr">
        <is>
          <t>Evidence of sustainability outcomes informed by Indigenous knowledges</t>
        </is>
      </c>
      <c r="F32"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8" t="inlineStr">
        <is>
          <t>We will report on the ways Indigenous knowledges inform sustainability activities across the University, and develop selected examples into case studies with appropriate permissions.</t>
        </is>
      </c>
      <c r="H32" s="8" t="inlineStr">
        <is>
          <t>6a</t>
        </is>
      </c>
      <c r="I32" s="8" t="inlineStr">
        <is>
          <t>Partially met</t>
        </is>
      </c>
      <c r="J32" s="8"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8" t="inlineStr"/>
      <c r="L32" s="8" t="n"/>
      <c r="M32" s="8" t="n"/>
      <c r="N32" s="8" t="n"/>
      <c r="O32" s="8" t="n"/>
      <c r="P32" s="8" t="n"/>
      <c r="Q32" s="8" t="n"/>
      <c r="R32" s="8" t="n"/>
    </row>
    <row r="33" ht="150" customHeight="1">
      <c r="B33" s="7" t="inlineStr">
        <is>
          <t>EN1(b)</t>
        </is>
      </c>
      <c r="C33" s="50" t="inlineStr">
        <is>
          <t>Enablers</t>
        </is>
      </c>
      <c r="D33" s="50" t="inlineStr">
        <is>
          <t>Enablers</t>
        </is>
      </c>
      <c r="E33" s="50" t="inlineStr">
        <is>
          <t>Living laboratories enabling applied learning, research and operational sustainability outcomes</t>
        </is>
      </c>
      <c r="F33" s="8" t="inlineStr">
        <is>
          <t>In end-2025 reporting your faculty reported on the related SP2030 target 2a and rated it 'Met or exceeded'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33" s="8" t="inlineStr">
        <is>
          <t>We will share examples of sustainability-related living labs from across the University in the 2026 Sustainability Report, alongside CLLAP projects reported by CI&amp;S.</t>
        </is>
      </c>
      <c r="H33" s="8" t="inlineStr">
        <is>
          <t>2a</t>
        </is>
      </c>
      <c r="I33" s="8" t="inlineStr">
        <is>
          <t>Met or exceeded</t>
        </is>
      </c>
      <c r="J33" s="8" t="inlineStr">
        <is>
          <t>See attached report. (RH note: Saved in responses folder)</t>
        </is>
      </c>
      <c r="K33" s="8" t="inlineStr">
        <is>
          <t>Draft report on the Living Lab project is here: Report John Medley Living Lab Project FINAL.docx</t>
        </is>
      </c>
      <c r="L33" s="8" t="n"/>
      <c r="M33" s="8" t="n"/>
      <c r="N33" s="8" t="n"/>
      <c r="O33" s="8" t="n"/>
      <c r="P33" s="8" t="n"/>
      <c r="Q33" s="8" t="n"/>
      <c r="R33" s="8" t="n"/>
    </row>
    <row r="34" ht="150" customHeight="1">
      <c r="B34" s="7" t="inlineStr">
        <is>
          <t>EN1(c)</t>
        </is>
      </c>
      <c r="C34" s="50" t="inlineStr">
        <is>
          <t>Enablers</t>
        </is>
      </c>
      <c r="D34" s="50" t="inlineStr">
        <is>
          <t>Enablers</t>
        </is>
      </c>
      <c r="E34" s="50" t="inlineStr">
        <is>
          <t>Coordinated internal engagement and external partnerships contributing to delivery of sustainability outcomes across priority areas.</t>
        </is>
      </c>
      <c r="F34"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34" s="8" t="inlineStr">
        <is>
          <t>We will report on internal engagement and partnerships contributing to Sustainability 2030 outcomes, and update our record of sustainability-focused communities of practice and contacts across the University.</t>
        </is>
      </c>
      <c r="H34" s="8" t="inlineStr">
        <is>
          <t>3a(ii)</t>
        </is>
      </c>
      <c r="I34" s="8" t="inlineStr">
        <is>
          <t>Partially met</t>
        </is>
      </c>
      <c r="J34" s="8"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8" t="inlineStr"/>
      <c r="L34" s="8" t="n"/>
      <c r="M34" s="8" t="n"/>
      <c r="N34" s="8" t="n"/>
      <c r="O34" s="8" t="n"/>
      <c r="P34" s="8" t="n"/>
      <c r="Q34" s="8" t="n"/>
      <c r="R34" s="8" t="n"/>
    </row>
    <row r="35"/>
    <row r="37">
      <c r="B37" s="45" t="inlineStr">
        <is>
          <t>1.3  FBE – Faculty of Business and Economics</t>
        </is>
      </c>
    </row>
    <row r="39">
      <c r="C39" s="46" t="inlineStr">
        <is>
          <t>Sustainability 2030 target and indicator</t>
        </is>
      </c>
      <c r="H39" s="46" t="inlineStr">
        <is>
          <t>SR25 response</t>
        </is>
      </c>
      <c r="L39" s="47" t="inlineStr">
        <is>
          <t>End-2026 reporting (PLEASE COMPLETE THIS SECTION)</t>
        </is>
      </c>
    </row>
    <row r="40">
      <c r="B40" s="6" t="inlineStr">
        <is>
          <t>Ref</t>
        </is>
      </c>
      <c r="C40" s="6" t="inlineStr">
        <is>
          <t>Priority area</t>
        </is>
      </c>
      <c r="D40" s="6" t="inlineStr">
        <is>
          <t>Sustainability 2030 target</t>
        </is>
      </c>
      <c r="E40" s="6" t="inlineStr">
        <is>
          <t>Indicator</t>
        </is>
      </c>
      <c r="F40" s="6" t="inlineStr">
        <is>
          <t>2026 Reporting request</t>
        </is>
      </c>
      <c r="G40" s="6" t="inlineStr">
        <is>
          <t>How SST will use this data</t>
        </is>
      </c>
      <c r="H40" s="6" t="inlineStr">
        <is>
          <t>Related SR25 ref</t>
        </is>
      </c>
      <c r="I40" s="6" t="inlineStr">
        <is>
          <t>End-2025 confirmed status</t>
        </is>
      </c>
      <c r="J40" s="6" t="inlineStr">
        <is>
          <t>End-2025 reporting response</t>
        </is>
      </c>
      <c r="K40" s="6" t="inlineStr">
        <is>
          <t>Links and supporting information</t>
        </is>
      </c>
      <c r="L40" s="48" t="inlineStr">
        <is>
          <t>Confirm end-2026 target status</t>
        </is>
      </c>
      <c r="M40" s="48" t="inlineStr">
        <is>
          <t>OPTION 1:  Target-level reporting (Column D)</t>
        </is>
      </c>
      <c r="N40" s="48" t="inlineStr">
        <is>
          <t>OPTION 2:  Indicator level reporting (Column E/F)</t>
        </is>
      </c>
      <c r="O40" s="48" t="inlineStr">
        <is>
          <t>Supporting information/comments</t>
        </is>
      </c>
      <c r="P40" s="48" t="inlineStr">
        <is>
          <t>Data source and limitations</t>
        </is>
      </c>
      <c r="Q40" s="48" t="inlineStr">
        <is>
          <t>Data owner confirms information is accurate</t>
        </is>
      </c>
      <c r="R40" s="48" t="inlineStr">
        <is>
          <t>Confirmed by (name, role, date)</t>
        </is>
      </c>
    </row>
    <row r="41">
      <c r="B41" s="49" t="inlineStr"/>
      <c r="C41" s="49" t="inlineStr"/>
      <c r="D41" s="49" t="inlineStr"/>
      <c r="E41" s="49" t="inlineStr"/>
      <c r="F41" s="49" t="inlineStr"/>
      <c r="G41" s="49" t="inlineStr"/>
      <c r="H41" s="49" t="inlineStr"/>
      <c r="I41" s="49" t="inlineStr"/>
      <c r="J41" s="49" t="inlineStr"/>
      <c r="K41" s="49" t="inlineStr"/>
      <c r="L41" s="49" t="inlineStr">
        <is>
          <t>(Met or exceeded; partially met; not met; not yet started)</t>
        </is>
      </c>
      <c r="M41" s="49" t="inlineStr">
        <is>
          <t>Provide further evidence of target status assessment in the form of:
A general update on activities in relation to the overarching target (Column D)</t>
        </is>
      </c>
      <c r="N41" s="49" t="inlineStr">
        <is>
          <t>Provide further evidence of target status assessment in the form of:
Data and commentary in direct response to the reporting request (Column F)</t>
        </is>
      </c>
      <c r="O41" s="49" t="inlineStr">
        <is>
          <t>Provide any additional information to support the target status assessment (e.g. links, images, rationale for selection of target status)</t>
        </is>
      </c>
      <c r="P41" s="49" t="inlineStr">
        <is>
          <t>Where did this information come from (system, report, survey, person)? Note any gaps or limitations.</t>
        </is>
      </c>
      <c r="Q41" s="49" t="inlineStr">
        <is>
          <t>Select 'Yes' to confirm the information provided is accurate and can be used for reporting</t>
        </is>
      </c>
      <c r="R41" s="49" t="inlineStr">
        <is>
          <t>Name, role and date of the person confirming</t>
        </is>
      </c>
    </row>
    <row r="42" ht="150" customHeight="1">
      <c r="B42" s="7" t="inlineStr">
        <is>
          <t>EE1(a)</t>
        </is>
      </c>
      <c r="C42" s="50" t="inlineStr">
        <is>
          <t>Exceptional education</t>
        </is>
      </c>
      <c r="D42" s="50" t="inlineStr">
        <is>
          <t>Provide our students with learning experiences that help them build the knowledge, skills and relationships to lead change for sustainable societies.</t>
        </is>
      </c>
      <c r="E42" s="50" t="inlineStr">
        <is>
          <t>Evidence of innovative approaches to sustainability teaching and learning</t>
        </is>
      </c>
      <c r="F42"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4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2" s="8" t="inlineStr">
        <is>
          <t>4a(ii)</t>
        </is>
      </c>
      <c r="I42" s="8" t="inlineStr">
        <is>
          <t>Partially met</t>
        </is>
      </c>
      <c r="J42" s="8"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2" s="8" t="inlineStr"/>
      <c r="L42" s="8" t="n"/>
      <c r="M42" s="8" t="n"/>
      <c r="N42" s="8" t="n"/>
      <c r="O42" s="8" t="n"/>
      <c r="P42" s="8" t="n"/>
      <c r="Q42" s="8" t="n"/>
      <c r="R42" s="8" t="n"/>
    </row>
    <row r="43" ht="150" customHeight="1">
      <c r="B43" s="7" t="inlineStr">
        <is>
          <t>EE1(b)</t>
        </is>
      </c>
      <c r="C43" s="50" t="inlineStr">
        <is>
          <t>Exceptional education</t>
        </is>
      </c>
      <c r="D43" s="50" t="inlineStr">
        <is>
          <t>Provide our students with learning experiences that help them build the knowledge, skills and relationships to lead change for sustainable societies.</t>
        </is>
      </c>
      <c r="E43" s="50" t="inlineStr">
        <is>
          <t>Pilots of possible approaches for understanding and developing students’ sustainability self-efficacy</t>
        </is>
      </c>
      <c r="F43"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43" s="8" t="inlineStr">
        <is>
          <t>This is a new indicator. We will use responses to establish a baseline of how (and whether) faculties are understanding student sustainability self-efficacy, and report on early pilots in the 2026 Sustainability Report. A nil response is useful to us.</t>
        </is>
      </c>
      <c r="H43" s="8" t="inlineStr">
        <is>
          <t>N/A – new indicator</t>
        </is>
      </c>
      <c r="I43" s="8" t="inlineStr"/>
      <c r="J43" s="8" t="inlineStr"/>
      <c r="K43" s="8" t="inlineStr"/>
      <c r="L43" s="8" t="n"/>
      <c r="M43" s="8" t="n"/>
      <c r="N43" s="8" t="n"/>
      <c r="O43" s="8" t="n"/>
      <c r="P43" s="8" t="n"/>
      <c r="Q43" s="8" t="n"/>
      <c r="R43" s="8" t="n"/>
    </row>
    <row r="44" ht="150" customHeight="1">
      <c r="B44" s="7" t="inlineStr">
        <is>
          <t>TR1(a)</t>
        </is>
      </c>
      <c r="C44" s="50" t="inlineStr">
        <is>
          <t>Transformational research</t>
        </is>
      </c>
      <c r="D44" s="50" t="inlineStr">
        <is>
          <t>Utilise the expertise of the University’s researchers through mutually beneficial partnerships to help address the University’s operational sustainability challenges.</t>
        </is>
      </c>
      <c r="E44" s="50" t="inlineStr">
        <is>
          <t>Expert-reviewed evidence of researchers contributing to operational sustainability priorities through partnerships, advisory input, living labs, applied projects or decision-support</t>
        </is>
      </c>
      <c r="F44" s="8" t="inlineStr">
        <is>
          <t>In end-2025 reporting your faculty reported on the related SP2030 target 2a and rated it 'Partially met'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44" s="8" t="inlineStr">
        <is>
          <t>We will report on examples of researchers helping solve the University's own operational sustainability challenges, alongside CLLAP projects reported by CI&amp;S, and share them with operational teams to identify further collaboration.</t>
        </is>
      </c>
      <c r="H44" s="8" t="inlineStr">
        <is>
          <t>2a</t>
        </is>
      </c>
      <c r="I44" s="8" t="inlineStr">
        <is>
          <t>Partially met</t>
        </is>
      </c>
      <c r="J44" s="8" t="inlineStr">
        <is>
          <t>CLLAP report on University Investor Stewardship provided separately</t>
        </is>
      </c>
      <c r="K44" s="8" t="inlineStr"/>
      <c r="L44" s="8" t="n"/>
      <c r="M44" s="8" t="n"/>
      <c r="N44" s="8" t="n"/>
      <c r="O44" s="8" t="n"/>
      <c r="P44" s="8" t="n"/>
      <c r="Q44" s="8" t="n"/>
      <c r="R44" s="8" t="n"/>
    </row>
    <row r="45" ht="150" customHeight="1">
      <c r="B45" s="7" t="inlineStr">
        <is>
          <t>TR2(a)</t>
        </is>
      </c>
      <c r="C45" s="50" t="inlineStr">
        <is>
          <t>Transformational research</t>
        </is>
      </c>
      <c r="D45" s="50" t="inlineStr">
        <is>
          <t>Deliver high-quality research and partnerships that contribute to sustainability outcomes and demonstrable societal benefit.</t>
        </is>
      </c>
      <c r="E45" s="50" t="inlineStr">
        <is>
          <t>Evidence of sustainability-related research impact across diverse pathways, could include policy, industry, community, practice, cultural and institutional outcomes</t>
        </is>
      </c>
      <c r="F45" s="8" t="inlineStr">
        <is>
          <t>In end-2025 reporting your faculty reported on the related SP2030 target 5b(i) and rated it 'Partially met'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8" t="inlineStr">
        <is>
          <t>We will collate research impact examples across faculties to show the breadth of sustainability-related research impact in the Transformational research section of the 2026 Sustainability Report, complementing University-wide metrics from MRE.</t>
        </is>
      </c>
      <c r="H45" s="8" t="inlineStr">
        <is>
          <t>5b(i)</t>
        </is>
      </c>
      <c r="I45" s="8" t="inlineStr">
        <is>
          <t>Partially met</t>
        </is>
      </c>
      <c r="J45"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5" s="8" t="inlineStr">
        <is>
          <t>https://fbe.unimelb.edu.au/research/our-research-at-a-glance</t>
        </is>
      </c>
      <c r="L45" s="8" t="n"/>
      <c r="M45" s="8" t="n"/>
      <c r="N45" s="8" t="n"/>
      <c r="O45" s="8" t="n"/>
      <c r="P45" s="8" t="n"/>
      <c r="Q45" s="8" t="n"/>
      <c r="R45" s="8" t="n"/>
    </row>
    <row r="46" ht="150" customHeight="1">
      <c r="B46" s="7" t="inlineStr">
        <is>
          <t>TR2(d)</t>
        </is>
      </c>
      <c r="C46" s="50" t="inlineStr">
        <is>
          <t>Transformational research</t>
        </is>
      </c>
      <c r="D46" s="50" t="inlineStr">
        <is>
          <t>Deliver high-quality research and partnerships that contribute to sustainability outcomes and demonstrable societal benefit.</t>
        </is>
      </c>
      <c r="E46" s="50" t="inlineStr">
        <is>
          <t>Case-based evidence demonstrating how research has contributed to meaningful sustainability outcomes.</t>
        </is>
      </c>
      <c r="F46" s="8" t="inlineStr">
        <is>
          <t>In end-2025 reporting your faculty reported on the related SP2030 target 5b(i) and rated it 'Partially met'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46" s="8" t="inlineStr">
        <is>
          <t>We will select the strongest examples to develop as full research case studies for the 2026 Sustainability Report (we may contact you for more detail and images).</t>
        </is>
      </c>
      <c r="H46" s="8" t="inlineStr">
        <is>
          <t>5b(i)</t>
        </is>
      </c>
      <c r="I46" s="8" t="inlineStr">
        <is>
          <t>Partially met</t>
        </is>
      </c>
      <c r="J46"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6" s="8" t="inlineStr">
        <is>
          <t>https://fbe.unimelb.edu.au/research/our-research-at-a-glance</t>
        </is>
      </c>
      <c r="L46" s="8" t="n"/>
      <c r="M46" s="8" t="n"/>
      <c r="N46" s="8" t="n"/>
      <c r="O46" s="8" t="n"/>
      <c r="P46" s="8" t="n"/>
      <c r="Q46" s="8" t="n"/>
      <c r="R46" s="8" t="n"/>
    </row>
    <row r="47" ht="150" customHeight="1">
      <c r="B47" s="7" t="inlineStr">
        <is>
          <t>TR3(b)</t>
        </is>
      </c>
      <c r="C47" s="50" t="inlineStr">
        <is>
          <t>Transformational research</t>
        </is>
      </c>
      <c r="D47" s="50" t="inlineStr">
        <is>
          <t>Embed sustainability within research systems, processes, capability and culture, so research is conducted responsibly, efficiently and with reduced environmental impact.</t>
        </is>
      </c>
      <c r="E47" s="50" t="inlineStr">
        <is>
          <t>Demonstrated examples of more sustainable research practices in laboratories, fieldwork, procurement, travel or infrastructure use</t>
        </is>
      </c>
      <c r="F47"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47" s="8" t="inlineStr">
        <is>
          <t>We will report on ways the University is making research practices more sustainable in the 2026 Sustainability Report, and share practical examples (e.g. green labs) across faculties.</t>
        </is>
      </c>
      <c r="H47" s="8" t="inlineStr">
        <is>
          <t>5c(ii)</t>
        </is>
      </c>
      <c r="I47" s="8" t="inlineStr">
        <is>
          <t>Partially met</t>
        </is>
      </c>
      <c r="J47"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7" s="8" t="inlineStr">
        <is>
          <t>https://fbe.unimelb.edu.au/managementmarketing/research/the-sustainability-hub</t>
        </is>
      </c>
      <c r="L47" s="8" t="n"/>
      <c r="M47" s="8" t="n"/>
      <c r="N47" s="8" t="n"/>
      <c r="O47" s="8" t="n"/>
      <c r="P47" s="8" t="n"/>
      <c r="Q47" s="8" t="n"/>
      <c r="R47" s="8" t="n"/>
    </row>
    <row r="48" ht="150" customHeight="1">
      <c r="B48" s="7" t="inlineStr">
        <is>
          <t>EN1(a)</t>
        </is>
      </c>
      <c r="C48" s="50" t="inlineStr">
        <is>
          <t>Enablers</t>
        </is>
      </c>
      <c r="D48" s="50" t="inlineStr">
        <is>
          <t>Enablers</t>
        </is>
      </c>
      <c r="E48" s="50" t="inlineStr">
        <is>
          <t>Evidence of sustainability outcomes informed by Indigenous knowledges</t>
        </is>
      </c>
      <c r="F48"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48" s="8" t="inlineStr">
        <is>
          <t>We will report on the ways Indigenous knowledges inform sustainability activities across the University, and develop selected examples into case studies with appropriate permissions.</t>
        </is>
      </c>
      <c r="H48" s="8" t="inlineStr">
        <is>
          <t>6a</t>
        </is>
      </c>
      <c r="I48" s="8" t="inlineStr">
        <is>
          <t>Partially met</t>
        </is>
      </c>
      <c r="J48" s="8"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8" s="8" t="inlineStr">
        <is>
          <t>https://dilinduwa.com.au/
https://mabocentre.com/</t>
        </is>
      </c>
      <c r="L48" s="8" t="n"/>
      <c r="M48" s="8" t="n"/>
      <c r="N48" s="8" t="n"/>
      <c r="O48" s="8" t="n"/>
      <c r="P48" s="8" t="n"/>
      <c r="Q48" s="8" t="n"/>
      <c r="R48" s="8" t="n"/>
    </row>
    <row r="49" ht="150" customHeight="1">
      <c r="B49" s="7" t="inlineStr">
        <is>
          <t>EN1(b)</t>
        </is>
      </c>
      <c r="C49" s="50" t="inlineStr">
        <is>
          <t>Enablers</t>
        </is>
      </c>
      <c r="D49" s="50" t="inlineStr">
        <is>
          <t>Enablers</t>
        </is>
      </c>
      <c r="E49" s="50" t="inlineStr">
        <is>
          <t>Living laboratories enabling applied learning, research and operational sustainability outcomes</t>
        </is>
      </c>
      <c r="F49" s="8" t="inlineStr">
        <is>
          <t>In end-2025 reporting your faculty reported on the related SP2030 target 2a and rated it 'Partially met'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49" s="8" t="inlineStr">
        <is>
          <t>We will share examples of sustainability-related living labs from across the University in the 2026 Sustainability Report, alongside CLLAP projects reported by CI&amp;S.</t>
        </is>
      </c>
      <c r="H49" s="8" t="inlineStr">
        <is>
          <t>2a</t>
        </is>
      </c>
      <c r="I49" s="8" t="inlineStr">
        <is>
          <t>Partially met</t>
        </is>
      </c>
      <c r="J49" s="8" t="inlineStr">
        <is>
          <t>CLLAP report on University Investor Stewardship provided separately</t>
        </is>
      </c>
      <c r="K49" s="8" t="inlineStr"/>
      <c r="L49" s="8" t="n"/>
      <c r="M49" s="8" t="n"/>
      <c r="N49" s="8" t="n"/>
      <c r="O49" s="8" t="n"/>
      <c r="P49" s="8" t="n"/>
      <c r="Q49" s="8" t="n"/>
      <c r="R49" s="8" t="n"/>
    </row>
    <row r="50" ht="150" customHeight="1">
      <c r="B50" s="7" t="inlineStr">
        <is>
          <t>EN1(c)</t>
        </is>
      </c>
      <c r="C50" s="50" t="inlineStr">
        <is>
          <t>Enablers</t>
        </is>
      </c>
      <c r="D50" s="50" t="inlineStr">
        <is>
          <t>Enablers</t>
        </is>
      </c>
      <c r="E50" s="50" t="inlineStr">
        <is>
          <t>Coordinated internal engagement and external partnerships contributing to delivery of sustainability outcomes across priority areas.</t>
        </is>
      </c>
      <c r="F50"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50" s="8" t="inlineStr">
        <is>
          <t>We will report on internal engagement and partnerships contributing to Sustainability 2030 outcomes, and update our record of sustainability-focused communities of practice and contacts across the University.</t>
        </is>
      </c>
      <c r="H50" s="8" t="inlineStr">
        <is>
          <t>3a(ii)</t>
        </is>
      </c>
      <c r="I50" s="8" t="inlineStr">
        <is>
          <t>Partially met</t>
        </is>
      </c>
      <c r="J50" s="8"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50" s="8" t="inlineStr"/>
      <c r="L50" s="8" t="n"/>
      <c r="M50" s="8" t="n"/>
      <c r="N50" s="8" t="n"/>
      <c r="O50" s="8" t="n"/>
      <c r="P50" s="8" t="n"/>
      <c r="Q50" s="8" t="n"/>
      <c r="R50" s="8" t="n"/>
    </row>
    <row r="51"/>
    <row r="53">
      <c r="B53" s="45" t="inlineStr">
        <is>
          <t>1.4  SCI – Faculty of Science</t>
        </is>
      </c>
    </row>
    <row r="55">
      <c r="C55" s="46" t="inlineStr">
        <is>
          <t>Sustainability 2030 target and indicator</t>
        </is>
      </c>
      <c r="H55" s="46" t="inlineStr">
        <is>
          <t>SR25 response</t>
        </is>
      </c>
      <c r="L55" s="47" t="inlineStr">
        <is>
          <t>End-2026 reporting (PLEASE COMPLETE THIS SECTION)</t>
        </is>
      </c>
    </row>
    <row r="56">
      <c r="B56" s="6" t="inlineStr">
        <is>
          <t>Ref</t>
        </is>
      </c>
      <c r="C56" s="6" t="inlineStr">
        <is>
          <t>Priority area</t>
        </is>
      </c>
      <c r="D56" s="6" t="inlineStr">
        <is>
          <t>Sustainability 2030 target</t>
        </is>
      </c>
      <c r="E56" s="6" t="inlineStr">
        <is>
          <t>Indicator</t>
        </is>
      </c>
      <c r="F56" s="6" t="inlineStr">
        <is>
          <t>2026 Reporting request</t>
        </is>
      </c>
      <c r="G56" s="6" t="inlineStr">
        <is>
          <t>How SST will use this data</t>
        </is>
      </c>
      <c r="H56" s="6" t="inlineStr">
        <is>
          <t>Related SR25 ref</t>
        </is>
      </c>
      <c r="I56" s="6" t="inlineStr">
        <is>
          <t>End-2025 confirmed status</t>
        </is>
      </c>
      <c r="J56" s="6" t="inlineStr">
        <is>
          <t>End-2025 reporting response</t>
        </is>
      </c>
      <c r="K56" s="6" t="inlineStr">
        <is>
          <t>Links and supporting information</t>
        </is>
      </c>
      <c r="L56" s="48" t="inlineStr">
        <is>
          <t>Confirm end-2026 target status</t>
        </is>
      </c>
      <c r="M56" s="48" t="inlineStr">
        <is>
          <t>OPTION 1:  Target-level reporting (Column D)</t>
        </is>
      </c>
      <c r="N56" s="48" t="inlineStr">
        <is>
          <t>OPTION 2:  Indicator level reporting (Column E/F)</t>
        </is>
      </c>
      <c r="O56" s="48" t="inlineStr">
        <is>
          <t>Supporting information/comments</t>
        </is>
      </c>
      <c r="P56" s="48" t="inlineStr">
        <is>
          <t>Data source and limitations</t>
        </is>
      </c>
      <c r="Q56" s="48" t="inlineStr">
        <is>
          <t>Data owner confirms information is accurate</t>
        </is>
      </c>
      <c r="R56" s="48" t="inlineStr">
        <is>
          <t>Confirmed by (name, role, date)</t>
        </is>
      </c>
    </row>
    <row r="57">
      <c r="B57" s="49" t="inlineStr"/>
      <c r="C57" s="49" t="inlineStr"/>
      <c r="D57" s="49" t="inlineStr"/>
      <c r="E57" s="49" t="inlineStr"/>
      <c r="F57" s="49" t="inlineStr"/>
      <c r="G57" s="49" t="inlineStr"/>
      <c r="H57" s="49" t="inlineStr"/>
      <c r="I57" s="49" t="inlineStr"/>
      <c r="J57" s="49" t="inlineStr"/>
      <c r="K57" s="49" t="inlineStr"/>
      <c r="L57" s="49" t="inlineStr">
        <is>
          <t>(Met or exceeded; partially met; not met; not yet started)</t>
        </is>
      </c>
      <c r="M57" s="49" t="inlineStr">
        <is>
          <t>Provide further evidence of target status assessment in the form of:
A general update on activities in relation to the overarching target (Column D)</t>
        </is>
      </c>
      <c r="N57" s="49" t="inlineStr">
        <is>
          <t>Provide further evidence of target status assessment in the form of:
Data and commentary in direct response to the reporting request (Column F)</t>
        </is>
      </c>
      <c r="O57" s="49" t="inlineStr">
        <is>
          <t>Provide any additional information to support the target status assessment (e.g. links, images, rationale for selection of target status)</t>
        </is>
      </c>
      <c r="P57" s="49" t="inlineStr">
        <is>
          <t>Where did this information come from (system, report, survey, person)? Note any gaps or limitations.</t>
        </is>
      </c>
      <c r="Q57" s="49" t="inlineStr">
        <is>
          <t>Select 'Yes' to confirm the information provided is accurate and can be used for reporting</t>
        </is>
      </c>
      <c r="R57" s="49" t="inlineStr">
        <is>
          <t>Name, role and date of the person confirming</t>
        </is>
      </c>
    </row>
    <row r="58" ht="150" customHeight="1">
      <c r="B58" s="7" t="inlineStr">
        <is>
          <t>EE1(a)</t>
        </is>
      </c>
      <c r="C58" s="50" t="inlineStr">
        <is>
          <t>Exceptional education</t>
        </is>
      </c>
      <c r="D58" s="50" t="inlineStr">
        <is>
          <t>Provide our students with learning experiences that help them build the knowledge, skills and relationships to lead change for sustainable societies.</t>
        </is>
      </c>
      <c r="E58" s="50" t="inlineStr">
        <is>
          <t>Evidence of innovative approaches to sustainability teaching and learning</t>
        </is>
      </c>
      <c r="F58" s="8" t="inlineStr">
        <is>
          <t>In end-2025 reporting your faculty reported on the related SP2030 target 4a(ii) and rated it 'Met or exceeded'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58"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8" s="8" t="inlineStr">
        <is>
          <t>4a(ii)</t>
        </is>
      </c>
      <c r="I58" s="8" t="inlineStr">
        <is>
          <t>Met or exceeded</t>
        </is>
      </c>
      <c r="J58" s="8"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8" s="8" t="inlineStr"/>
      <c r="L58" s="8" t="n"/>
      <c r="M58" s="8" t="n"/>
      <c r="N58" s="8" t="n"/>
      <c r="O58" s="8" t="n"/>
      <c r="P58" s="8" t="n"/>
      <c r="Q58" s="8" t="n"/>
      <c r="R58" s="8" t="n"/>
    </row>
    <row r="59" ht="150" customHeight="1">
      <c r="B59" s="7" t="inlineStr">
        <is>
          <t>EE1(b)</t>
        </is>
      </c>
      <c r="C59" s="50" t="inlineStr">
        <is>
          <t>Exceptional education</t>
        </is>
      </c>
      <c r="D59" s="50" t="inlineStr">
        <is>
          <t>Provide our students with learning experiences that help them build the knowledge, skills and relationships to lead change for sustainable societies.</t>
        </is>
      </c>
      <c r="E59" s="50" t="inlineStr">
        <is>
          <t>Pilots of possible approaches for understanding and developing students’ sustainability self-efficacy</t>
        </is>
      </c>
      <c r="F59"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59" s="8" t="inlineStr">
        <is>
          <t>This is a new indicator. We will use responses to establish a baseline of how (and whether) faculties are understanding student sustainability self-efficacy, and report on early pilots in the 2026 Sustainability Report. A nil response is useful to us.</t>
        </is>
      </c>
      <c r="H59" s="8" t="inlineStr">
        <is>
          <t>N/A – new indicator</t>
        </is>
      </c>
      <c r="I59" s="8" t="inlineStr"/>
      <c r="J59" s="8" t="inlineStr"/>
      <c r="K59" s="8" t="inlineStr"/>
      <c r="L59" s="8" t="n"/>
      <c r="M59" s="8" t="n"/>
      <c r="N59" s="8" t="n"/>
      <c r="O59" s="8" t="n"/>
      <c r="P59" s="8" t="n"/>
      <c r="Q59" s="8" t="n"/>
      <c r="R59" s="8" t="n"/>
    </row>
    <row r="60" ht="150" customHeight="1">
      <c r="B60" s="7" t="inlineStr">
        <is>
          <t>TR1(a)</t>
        </is>
      </c>
      <c r="C60" s="50" t="inlineStr">
        <is>
          <t>Transformational research</t>
        </is>
      </c>
      <c r="D60" s="50" t="inlineStr">
        <is>
          <t>Utilise the expertise of the University’s researchers through mutually beneficial partnerships to help address the University’s operational sustainability challenges.</t>
        </is>
      </c>
      <c r="E60" s="50" t="inlineStr">
        <is>
          <t>Expert-reviewed evidence of researchers contributing to operational sustainability priorities through partnerships, advisory input, living labs, applied projects or decision-support</t>
        </is>
      </c>
      <c r="F60" s="8" t="inlineStr">
        <is>
          <t>In end-2025 reporting your faculty reported on the related SP2030 target 2a and rated it 'Partially met'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60" s="8" t="inlineStr">
        <is>
          <t>We will report on examples of researchers helping solve the University's own operational sustainability challenges, alongside CLLAP projects reported by CI&amp;S, and share them with operational teams to identify further collaboration.</t>
        </is>
      </c>
      <c r="H60" s="8" t="inlineStr">
        <is>
          <t>2a</t>
        </is>
      </c>
      <c r="I60" s="8" t="inlineStr">
        <is>
          <t>Partially met</t>
        </is>
      </c>
      <c r="J60"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0" s="8" t="inlineStr">
        <is>
          <t>https://www.unimelb.edu.au/newsroom/news/2024/october/native-harvest-cookbook-aims-to-put-indigenous-food-in-every-aussie-kitchen
https://theconversation.com/we-planted-two-woody-meadows-a-decade-ago-to-see-what-would-thrive-now-the-concept-is-popular-across-australia-269611</t>
        </is>
      </c>
      <c r="L60" s="8" t="n"/>
      <c r="M60" s="8" t="n"/>
      <c r="N60" s="8" t="n"/>
      <c r="O60" s="8" t="n"/>
      <c r="P60" s="8" t="n"/>
      <c r="Q60" s="8" t="n"/>
      <c r="R60" s="8" t="n"/>
    </row>
    <row r="61" ht="150" customHeight="1">
      <c r="B61" s="7" t="inlineStr">
        <is>
          <t>TR2(a)</t>
        </is>
      </c>
      <c r="C61" s="50" t="inlineStr">
        <is>
          <t>Transformational research</t>
        </is>
      </c>
      <c r="D61" s="50" t="inlineStr">
        <is>
          <t>Deliver high-quality research and partnerships that contribute to sustainability outcomes and demonstrable societal benefit.</t>
        </is>
      </c>
      <c r="E61" s="50" t="inlineStr">
        <is>
          <t>Evidence of sustainability-related research impact across diverse pathways, could include policy, industry, community, practice, cultural and institutional outcomes</t>
        </is>
      </c>
      <c r="F61"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61" s="8" t="inlineStr">
        <is>
          <t>We will collate research impact examples across faculties to show the breadth of sustainability-related research impact in the Transformational research section of the 2026 Sustainability Report, complementing University-wide metrics from MRE.</t>
        </is>
      </c>
      <c r="H61" s="8" t="inlineStr">
        <is>
          <t>5b(i)</t>
        </is>
      </c>
      <c r="I61" s="8" t="inlineStr">
        <is>
          <t>Met or exceeded</t>
        </is>
      </c>
      <c r="J61"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1" s="8" t="inlineStr"/>
      <c r="L61" s="8" t="n"/>
      <c r="M61" s="8" t="n"/>
      <c r="N61" s="8" t="n"/>
      <c r="O61" s="8" t="n"/>
      <c r="P61" s="8" t="n"/>
      <c r="Q61" s="8" t="n"/>
      <c r="R61" s="8" t="n"/>
    </row>
    <row r="62" ht="150" customHeight="1">
      <c r="B62" s="7" t="inlineStr">
        <is>
          <t>TR2(d)</t>
        </is>
      </c>
      <c r="C62" s="50" t="inlineStr">
        <is>
          <t>Transformational research</t>
        </is>
      </c>
      <c r="D62" s="50" t="inlineStr">
        <is>
          <t>Deliver high-quality research and partnerships that contribute to sustainability outcomes and demonstrable societal benefit.</t>
        </is>
      </c>
      <c r="E62" s="50" t="inlineStr">
        <is>
          <t>Case-based evidence demonstrating how research has contributed to meaningful sustainability outcomes.</t>
        </is>
      </c>
      <c r="F62"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62" s="8" t="inlineStr">
        <is>
          <t>We will select the strongest examples to develop as full research case studies for the 2026 Sustainability Report (we may contact you for more detail and images).</t>
        </is>
      </c>
      <c r="H62" s="8" t="inlineStr">
        <is>
          <t>5b(i)</t>
        </is>
      </c>
      <c r="I62" s="8" t="inlineStr">
        <is>
          <t>Met or exceeded</t>
        </is>
      </c>
      <c r="J62"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2" s="8" t="inlineStr"/>
      <c r="L62" s="8" t="n"/>
      <c r="M62" s="8" t="n"/>
      <c r="N62" s="8" t="n"/>
      <c r="O62" s="8" t="n"/>
      <c r="P62" s="8" t="n"/>
      <c r="Q62" s="8" t="n"/>
      <c r="R62" s="8" t="n"/>
    </row>
    <row r="63" ht="150" customHeight="1">
      <c r="B63" s="7" t="inlineStr">
        <is>
          <t>TR3(b)</t>
        </is>
      </c>
      <c r="C63" s="50" t="inlineStr">
        <is>
          <t>Transformational research</t>
        </is>
      </c>
      <c r="D63" s="50" t="inlineStr">
        <is>
          <t>Embed sustainability within research systems, processes, capability and culture, so research is conducted responsibly, efficiently and with reduced environmental impact.</t>
        </is>
      </c>
      <c r="E63" s="50" t="inlineStr">
        <is>
          <t>Demonstrated examples of more sustainable research practices in laboratories, fieldwork, procurement, travel or infrastructure use</t>
        </is>
      </c>
      <c r="F63"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63" s="8" t="inlineStr">
        <is>
          <t>We will report on ways the University is making research practices more sustainable in the 2026 Sustainability Report, and share practical examples (e.g. green labs) across faculties.</t>
        </is>
      </c>
      <c r="H63" s="8" t="inlineStr">
        <is>
          <t>5c(ii)</t>
        </is>
      </c>
      <c r="I63" s="8" t="inlineStr">
        <is>
          <t>Partially met</t>
        </is>
      </c>
      <c r="J63"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63" s="8" t="inlineStr"/>
      <c r="L63" s="8" t="n"/>
      <c r="M63" s="8" t="n"/>
      <c r="N63" s="8" t="n"/>
      <c r="O63" s="8" t="n"/>
      <c r="P63" s="8" t="n"/>
      <c r="Q63" s="8" t="n"/>
      <c r="R63" s="8" t="n"/>
    </row>
    <row r="64" ht="150" customHeight="1">
      <c r="B64" s="7" t="inlineStr">
        <is>
          <t>EN1(a)</t>
        </is>
      </c>
      <c r="C64" s="50" t="inlineStr">
        <is>
          <t>Enablers</t>
        </is>
      </c>
      <c r="D64" s="50" t="inlineStr">
        <is>
          <t>Enablers</t>
        </is>
      </c>
      <c r="E64" s="50" t="inlineStr">
        <is>
          <t>Evidence of sustainability outcomes informed by Indigenous knowledges</t>
        </is>
      </c>
      <c r="F64"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64" s="8" t="inlineStr">
        <is>
          <t>We will report on the ways Indigenous knowledges inform sustainability activities across the University, and develop selected examples into case studies with appropriate permissions.</t>
        </is>
      </c>
      <c r="H64" s="8" t="inlineStr">
        <is>
          <t>6a</t>
        </is>
      </c>
      <c r="I64" s="8" t="inlineStr">
        <is>
          <t>Partially met</t>
        </is>
      </c>
      <c r="J64" s="8"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4" s="8" t="inlineStr"/>
      <c r="L64" s="8" t="n"/>
      <c r="M64" s="8" t="n"/>
      <c r="N64" s="8" t="n"/>
      <c r="O64" s="8" t="n"/>
      <c r="P64" s="8" t="n"/>
      <c r="Q64" s="8" t="n"/>
      <c r="R64" s="8" t="n"/>
    </row>
    <row r="65" ht="150" customHeight="1">
      <c r="B65" s="7" t="inlineStr">
        <is>
          <t>EN1(b)</t>
        </is>
      </c>
      <c r="C65" s="50" t="inlineStr">
        <is>
          <t>Enablers</t>
        </is>
      </c>
      <c r="D65" s="50" t="inlineStr">
        <is>
          <t>Enablers</t>
        </is>
      </c>
      <c r="E65" s="50" t="inlineStr">
        <is>
          <t>Living laboratories enabling applied learning, research and operational sustainability outcomes</t>
        </is>
      </c>
      <c r="F65" s="8" t="inlineStr">
        <is>
          <t>In end-2025 reporting your faculty reported on the related SP2030 target 2a and rated it 'Partially met'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65" s="8" t="inlineStr">
        <is>
          <t>We will share examples of sustainability-related living labs from across the University in the 2026 Sustainability Report, alongside CLLAP projects reported by CI&amp;S.</t>
        </is>
      </c>
      <c r="H65" s="8" t="inlineStr">
        <is>
          <t>2a</t>
        </is>
      </c>
      <c r="I65" s="8" t="inlineStr">
        <is>
          <t>Partially met</t>
        </is>
      </c>
      <c r="J65"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5" s="8" t="inlineStr">
        <is>
          <t>https://www.unimelb.edu.au/newsroom/news/2024/october/native-harvest-cookbook-aims-to-put-indigenous-food-in-every-aussie-kitchen
https://theconversation.com/we-planted-two-woody-meadows-a-decade-ago-to-see-what-would-thrive-now-the-concept-is-popular-across-australia-269611</t>
        </is>
      </c>
      <c r="L65" s="8" t="n"/>
      <c r="M65" s="8" t="n"/>
      <c r="N65" s="8" t="n"/>
      <c r="O65" s="8" t="n"/>
      <c r="P65" s="8" t="n"/>
      <c r="Q65" s="8" t="n"/>
      <c r="R65" s="8" t="n"/>
    </row>
    <row r="66" ht="150" customHeight="1">
      <c r="B66" s="7" t="inlineStr">
        <is>
          <t>EN1(c)</t>
        </is>
      </c>
      <c r="C66" s="50" t="inlineStr">
        <is>
          <t>Enablers</t>
        </is>
      </c>
      <c r="D66" s="50" t="inlineStr">
        <is>
          <t>Enablers</t>
        </is>
      </c>
      <c r="E66" s="50" t="inlineStr">
        <is>
          <t>Coordinated internal engagement and external partnerships contributing to delivery of sustainability outcomes across priority areas.</t>
        </is>
      </c>
      <c r="F66"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66" s="8" t="inlineStr">
        <is>
          <t>We will report on internal engagement and partnerships contributing to Sustainability 2030 outcomes, and update our record of sustainability-focused communities of practice and contacts across the University.</t>
        </is>
      </c>
      <c r="H66" s="8" t="inlineStr">
        <is>
          <t>3a(ii)</t>
        </is>
      </c>
      <c r="I66" s="8" t="inlineStr">
        <is>
          <t>Met or exceeded</t>
        </is>
      </c>
      <c r="J66" s="8"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6" s="8" t="inlineStr"/>
      <c r="L66" s="8" t="n"/>
      <c r="M66" s="8" t="n"/>
      <c r="N66" s="8" t="n"/>
      <c r="O66" s="8" t="n"/>
      <c r="P66" s="8" t="n"/>
      <c r="Q66" s="8" t="n"/>
      <c r="R66" s="8" t="n"/>
    </row>
    <row r="67"/>
  </sheetData>
  <mergeCells count="8">
    <mergeCell ref="C7:G7"/>
    <mergeCell ref="L23:R23"/>
    <mergeCell ref="L39:R39"/>
    <mergeCell ref="L55:R55"/>
    <mergeCell ref="C55:G55"/>
    <mergeCell ref="L7:R7"/>
    <mergeCell ref="C23:G23"/>
    <mergeCell ref="C39:G39"/>
  </mergeCells>
  <dataValidations count="8">
    <dataValidation sqref="L10:L18" showDropDown="0" showInputMessage="0" showErrorMessage="0" allowBlank="1" errorTitle="Invalid entry" error="Please select from the dropdown" type="list">
      <formula1>=Lists!$B$3:$B$7</formula1>
    </dataValidation>
    <dataValidation sqref="Q10:Q18" showDropDown="0" showInputMessage="0" showErrorMessage="0" allowBlank="1" errorTitle="Invalid entry" error="Please select from the dropdown" type="list">
      <formula1>=Lists!$C$2:$C$4</formula1>
    </dataValidation>
    <dataValidation sqref="L26:L34" showDropDown="0" showInputMessage="0" showErrorMessage="0" allowBlank="1" errorTitle="Invalid entry" error="Please select from the dropdown" type="list">
      <formula1>=Lists!$B$3:$B$7</formula1>
    </dataValidation>
    <dataValidation sqref="Q26:Q34" showDropDown="0" showInputMessage="0" showErrorMessage="0" allowBlank="1" errorTitle="Invalid entry" error="Please select from the dropdown" type="list">
      <formula1>=Lists!$C$2:$C$4</formula1>
    </dataValidation>
    <dataValidation sqref="L42:L50" showDropDown="0" showInputMessage="0" showErrorMessage="0" allowBlank="1" errorTitle="Invalid entry" error="Please select from the dropdown" type="list">
      <formula1>=Lists!$B$3:$B$7</formula1>
    </dataValidation>
    <dataValidation sqref="Q42:Q50" showDropDown="0" showInputMessage="0" showErrorMessage="0" allowBlank="1" errorTitle="Invalid entry" error="Please select from the dropdown" type="list">
      <formula1>=Lists!$C$2:$C$4</formula1>
    </dataValidation>
    <dataValidation sqref="L58:L66" showDropDown="0" showInputMessage="0" showErrorMessage="0" allowBlank="1" errorTitle="Invalid entry" error="Please select from the dropdown" type="list">
      <formula1>=Lists!$B$3:$B$7</formula1>
    </dataValidation>
    <dataValidation sqref="Q58:Q6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R36"/>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Commercial, Infrastructure &amp; Sustainability (CI&amp;S)</t>
        </is>
      </c>
    </row>
    <row r="3">
      <c r="B3" s="20" t="inlineStr">
        <is>
          <t>Consolidated responses – paste from returned request workbooks (identical column layout). Click [+] above Columns H–K for end-2025 responses.</t>
        </is>
      </c>
    </row>
    <row r="5">
      <c r="B5" s="45" t="inlineStr">
        <is>
          <t>1.1  CI&amp;S – Estate Planning &amp; Development (TBC: confirm with Gerard)</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CL3(a)</t>
        </is>
      </c>
      <c r="C10" s="50" t="inlineStr">
        <is>
          <t>Climate leadership</t>
        </is>
      </c>
      <c r="D10" s="50" t="inlineStr">
        <is>
          <t>Reach and maintain high levels of climate-change resilience maturity</t>
        </is>
      </c>
      <c r="E10"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Partially met</t>
        </is>
      </c>
      <c r="J10" s="8" t="inlineStr"/>
      <c r="K10" s="8" t="inlineStr"/>
      <c r="L10" s="8" t="n"/>
      <c r="M10" s="8" t="n"/>
      <c r="N10" s="8" t="n"/>
      <c r="O10" s="8" t="n"/>
      <c r="P10" s="8" t="n"/>
      <c r="Q10" s="8" t="n"/>
      <c r="R10" s="8" t="n"/>
    </row>
    <row r="11" ht="150" customHeight="1">
      <c r="B11" s="7" t="inlineStr">
        <is>
          <t>EI1(a)</t>
        </is>
      </c>
      <c r="C11" s="50" t="inlineStr">
        <is>
          <t>Estate and infrastructure</t>
        </is>
      </c>
      <c r="D11" s="50" t="inlineStr">
        <is>
          <t>Integrate environmental sustainability in the way that the University achieves strategic and operational objectives for our estate and infrastructure.</t>
        </is>
      </c>
      <c r="E11" s="50" t="inlineStr">
        <is>
          <t>Evidence of increased maturity of estate and infrastructure planning, development and operations to support the other priority areas in Sustainability 2030</t>
        </is>
      </c>
      <c r="F11" s="8"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8" t="inlineStr">
        <is>
          <t>We will use case study evidence to show how sustainability maturity is increasing in estate and infrastructure planning, development and operations in the 2026 Sustainability Report.</t>
        </is>
      </c>
      <c r="H11" s="8" t="inlineStr">
        <is>
          <t>7b</t>
        </is>
      </c>
      <c r="I11" s="8" t="inlineStr"/>
      <c r="J11" s="8" t="inlineStr"/>
      <c r="K11" s="8" t="inlineStr"/>
      <c r="L11" s="8" t="n"/>
      <c r="M11" s="8" t="n"/>
      <c r="N11" s="8" t="n"/>
      <c r="O11" s="8" t="n"/>
      <c r="P11" s="8" t="n"/>
      <c r="Q11" s="8" t="n"/>
      <c r="R11" s="8" t="n"/>
    </row>
    <row r="12" ht="150" customHeight="1">
      <c r="B12" s="7" t="inlineStr">
        <is>
          <t>EI1(b)</t>
        </is>
      </c>
      <c r="C12" s="50" t="inlineStr">
        <is>
          <t>Estate and infrastructure</t>
        </is>
      </c>
      <c r="D12" s="50" t="inlineStr">
        <is>
          <t>Integrate environmental sustainability in the way that the University achieves strategic and operational objectives for our estate and infrastructure.</t>
        </is>
      </c>
      <c r="E12" s="50" t="inlineStr">
        <is>
          <t>Estimated sustainability impacts of the University’s estate and infrastructure capital plan to inform progress towards emissions reduction targets and other priority areas (to the extent enabled by available information)</t>
        </is>
      </c>
      <c r="F12"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8" t="inlineStr">
        <is>
          <t>We will use estimated sustainability impacts of the capital plan to inform progress reporting towards the emissions reduction target and other priority areas (to the extent information is available).</t>
        </is>
      </c>
      <c r="H12" s="8" t="inlineStr">
        <is>
          <t>N/A – new indicator</t>
        </is>
      </c>
      <c r="I12" s="8" t="inlineStr"/>
      <c r="J12" s="8" t="inlineStr"/>
      <c r="K12" s="8" t="inlineStr"/>
      <c r="L12" s="8" t="n"/>
      <c r="M12" s="8" t="n"/>
      <c r="N12" s="8" t="n"/>
      <c r="O12" s="8" t="n"/>
      <c r="P12" s="8" t="n"/>
      <c r="Q12" s="8" t="n"/>
      <c r="R12" s="8" t="n"/>
    </row>
    <row r="13" ht="150" customHeight="1">
      <c r="B13" s="7" t="inlineStr">
        <is>
          <t>EI1(c)</t>
        </is>
      </c>
      <c r="C13" s="50" t="inlineStr">
        <is>
          <t>Estate and infrastructure</t>
        </is>
      </c>
      <c r="D13" s="50" t="inlineStr">
        <is>
          <t>Integrate environmental sustainability in the way that the University achieves strategic and operational objectives for our estate and infrastructure.</t>
        </is>
      </c>
      <c r="E13" s="50" t="inlineStr">
        <is>
          <t>Reporting on relevant activities and impacts for the University’s major estate and infrastructure projects and programs aligned with the other priority areas in Sustainability 2030</t>
        </is>
      </c>
      <c r="F13"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8" t="inlineStr">
        <is>
          <t>We will report on sustainability activities and impacts of major estate and infrastructure projects and programs in the Estate and infrastructure section of the 2026 Sustainability Report.</t>
        </is>
      </c>
      <c r="H13" s="8" t="inlineStr">
        <is>
          <t>N/A – new indicator</t>
        </is>
      </c>
      <c r="I13" s="8" t="inlineStr"/>
      <c r="J13" s="8" t="inlineStr"/>
      <c r="K13" s="8" t="inlineStr"/>
      <c r="L13" s="8" t="n"/>
      <c r="M13" s="8" t="n"/>
      <c r="N13" s="8" t="n"/>
      <c r="O13" s="8" t="n"/>
      <c r="P13" s="8" t="n"/>
      <c r="Q13" s="8" t="n"/>
      <c r="R13" s="8" t="n"/>
    </row>
    <row r="14" ht="150" customHeight="1">
      <c r="B14" s="7" t="inlineStr">
        <is>
          <t>EI1(d)</t>
        </is>
      </c>
      <c r="C14" s="50" t="inlineStr">
        <is>
          <t>Estate and infrastructure</t>
        </is>
      </c>
      <c r="D14" s="50" t="inlineStr">
        <is>
          <t>Integrate environmental sustainability in the way that the University achieves strategic and operational objectives for our estate and infrastructure.</t>
        </is>
      </c>
      <c r="E14" s="50" t="inlineStr">
        <is>
          <t>Evidence of understanding and integration of Indigenous approaches to sustainability in estate planning and development programs and projects.</t>
        </is>
      </c>
      <c r="F14"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8" t="inlineStr">
        <is>
          <t>We will report on how Indigenous approaches to sustainability are informing estate planning and development, with examples where permission to share is confirmed.</t>
        </is>
      </c>
      <c r="H14" s="8" t="inlineStr">
        <is>
          <t>N/A – new indicator</t>
        </is>
      </c>
      <c r="I14" s="8" t="inlineStr"/>
      <c r="J14" s="8" t="inlineStr"/>
      <c r="K14" s="8" t="inlineStr"/>
      <c r="L14" s="8" t="n"/>
      <c r="M14" s="8" t="n"/>
      <c r="N14" s="8" t="n"/>
      <c r="O14" s="8" t="n"/>
      <c r="P14" s="8" t="n"/>
      <c r="Q14" s="8" t="n"/>
      <c r="R14" s="8" t="n"/>
    </row>
    <row r="15"/>
    <row r="17">
      <c r="B17" s="45" t="inlineStr">
        <is>
          <t>1.2  CI&amp;S – Sustainability Strategy (incl. CLLAP)</t>
        </is>
      </c>
    </row>
    <row r="19">
      <c r="C19" s="46" t="inlineStr">
        <is>
          <t>Sustainability 2030 target and indicator</t>
        </is>
      </c>
      <c r="H19" s="46" t="inlineStr">
        <is>
          <t>SR25 response</t>
        </is>
      </c>
      <c r="L19" s="47" t="inlineStr">
        <is>
          <t>End-2026 reporting (PLEASE COMPLETE THIS SECTION)</t>
        </is>
      </c>
    </row>
    <row r="20">
      <c r="B20" s="6" t="inlineStr">
        <is>
          <t>Ref</t>
        </is>
      </c>
      <c r="C20" s="6" t="inlineStr">
        <is>
          <t>Priority area</t>
        </is>
      </c>
      <c r="D20" s="6" t="inlineStr">
        <is>
          <t>Sustainability 2030 target</t>
        </is>
      </c>
      <c r="E20" s="6" t="inlineStr">
        <is>
          <t>Indicator</t>
        </is>
      </c>
      <c r="F20" s="6" t="inlineStr">
        <is>
          <t>2026 Reporting request</t>
        </is>
      </c>
      <c r="G20" s="6" t="inlineStr">
        <is>
          <t>How SST will use this data</t>
        </is>
      </c>
      <c r="H20" s="6" t="inlineStr">
        <is>
          <t>Related SR25 ref</t>
        </is>
      </c>
      <c r="I20" s="6" t="inlineStr">
        <is>
          <t>End-2025 confirmed status</t>
        </is>
      </c>
      <c r="J20" s="6" t="inlineStr">
        <is>
          <t>End-2025 reporting response</t>
        </is>
      </c>
      <c r="K20" s="6" t="inlineStr">
        <is>
          <t>Links and supporting information</t>
        </is>
      </c>
      <c r="L20" s="48" t="inlineStr">
        <is>
          <t>Confirm end-2026 target status</t>
        </is>
      </c>
      <c r="M20" s="48" t="inlineStr">
        <is>
          <t>OPTION 1:  Target-level reporting (Column D)</t>
        </is>
      </c>
      <c r="N20" s="48" t="inlineStr">
        <is>
          <t>OPTION 2:  Indicator level reporting (Column E/F)</t>
        </is>
      </c>
      <c r="O20" s="48" t="inlineStr">
        <is>
          <t>Supporting information/comments</t>
        </is>
      </c>
      <c r="P20" s="48" t="inlineStr">
        <is>
          <t>Data source and limitations</t>
        </is>
      </c>
      <c r="Q20" s="48" t="inlineStr">
        <is>
          <t>Data owner confirms information is accurate</t>
        </is>
      </c>
      <c r="R20" s="48" t="inlineStr">
        <is>
          <t>Confirmed by (name, role, date)</t>
        </is>
      </c>
    </row>
    <row r="21">
      <c r="B21" s="49" t="inlineStr"/>
      <c r="C21" s="49" t="inlineStr"/>
      <c r="D21" s="49" t="inlineStr"/>
      <c r="E21" s="49" t="inlineStr"/>
      <c r="F21" s="49" t="inlineStr"/>
      <c r="G21" s="49" t="inlineStr"/>
      <c r="H21" s="49" t="inlineStr"/>
      <c r="I21" s="49" t="inlineStr"/>
      <c r="J21" s="49" t="inlineStr"/>
      <c r="K21" s="49" t="inlineStr"/>
      <c r="L21" s="49" t="inlineStr">
        <is>
          <t>(Met or exceeded; partially met; not met; not yet started)</t>
        </is>
      </c>
      <c r="M21" s="49" t="inlineStr">
        <is>
          <t>Provide further evidence of target status assessment in the form of:
A general update on activities in relation to the overarching target (Column D)</t>
        </is>
      </c>
      <c r="N21" s="49" t="inlineStr">
        <is>
          <t>Provide further evidence of target status assessment in the form of:
Data and commentary in direct response to the reporting request (Column F)</t>
        </is>
      </c>
      <c r="O21" s="49" t="inlineStr">
        <is>
          <t>Provide any additional information to support the target status assessment (e.g. links, images, rationale for selection of target status)</t>
        </is>
      </c>
      <c r="P21" s="49" t="inlineStr">
        <is>
          <t>Where did this information come from (system, report, survey, person)? Note any gaps or limitations.</t>
        </is>
      </c>
      <c r="Q21" s="49" t="inlineStr">
        <is>
          <t>Select 'Yes' to confirm the information provided is accurate and can be used for reporting</t>
        </is>
      </c>
      <c r="R21" s="49" t="inlineStr">
        <is>
          <t>Name, role and date of the person confirming</t>
        </is>
      </c>
    </row>
    <row r="22" ht="150" customHeight="1">
      <c r="B22" s="7" t="inlineStr">
        <is>
          <t>EE1(a)</t>
        </is>
      </c>
      <c r="C22" s="50" t="inlineStr">
        <is>
          <t>Exceptional education</t>
        </is>
      </c>
      <c r="D22" s="50" t="inlineStr">
        <is>
          <t>Provide our students with learning experiences that help them build the knowledge, skills and relationships to lead change for sustainable societies.</t>
        </is>
      </c>
      <c r="E22" s="50" t="inlineStr">
        <is>
          <t>Evidence of innovative approaches to sustainability teaching and learning</t>
        </is>
      </c>
      <c r="F22"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8" t="inlineStr">
        <is>
          <t>N/A – new indicator</t>
        </is>
      </c>
      <c r="I22" s="8" t="inlineStr"/>
      <c r="J22" s="8" t="inlineStr"/>
      <c r="K22" s="8" t="inlineStr"/>
      <c r="L22" s="8" t="n"/>
      <c r="M22" s="8" t="n"/>
      <c r="N22" s="8" t="n"/>
      <c r="O22" s="8" t="n"/>
      <c r="P22" s="8" t="n"/>
      <c r="Q22" s="8" t="n"/>
      <c r="R22" s="8" t="n"/>
    </row>
    <row r="23" ht="150" customHeight="1">
      <c r="B23" s="7" t="inlineStr">
        <is>
          <t>EE1(b)</t>
        </is>
      </c>
      <c r="C23" s="50" t="inlineStr">
        <is>
          <t>Exceptional education</t>
        </is>
      </c>
      <c r="D23" s="50" t="inlineStr">
        <is>
          <t>Provide our students with learning experiences that help them build the knowledge, skills and relationships to lead change for sustainable societies.</t>
        </is>
      </c>
      <c r="E23" s="50" t="inlineStr">
        <is>
          <t>Pilots of possible approaches for understanding and developing students’ sustainability self-efficacy</t>
        </is>
      </c>
      <c r="F23"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8" t="inlineStr">
        <is>
          <t>This is a new indicator. We will use responses to establish a baseline of how (and whether) faculties are understanding student sustainability self-efficacy, and report on early pilots in the 2026 Sustainability Report. A nil response is useful to us.</t>
        </is>
      </c>
      <c r="H23" s="8" t="inlineStr">
        <is>
          <t>N/A – new indicator</t>
        </is>
      </c>
      <c r="I23" s="8" t="inlineStr"/>
      <c r="J23" s="8" t="inlineStr"/>
      <c r="K23" s="8" t="inlineStr"/>
      <c r="L23" s="8" t="n"/>
      <c r="M23" s="8" t="n"/>
      <c r="N23" s="8" t="n"/>
      <c r="O23" s="8" t="n"/>
      <c r="P23" s="8" t="n"/>
      <c r="Q23" s="8" t="n"/>
      <c r="R23" s="8" t="n"/>
    </row>
    <row r="24" ht="150" customHeight="1">
      <c r="B24" s="7" t="inlineStr">
        <is>
          <t>EE1(c)</t>
        </is>
      </c>
      <c r="C24" s="50" t="inlineStr">
        <is>
          <t>Exceptional education</t>
        </is>
      </c>
      <c r="D24" s="50" t="inlineStr">
        <is>
          <t>Provide our students with learning experiences that help them build the knowledge, skills and relationships to lead change for sustainable societies.</t>
        </is>
      </c>
      <c r="E24" s="50" t="inlineStr">
        <is>
          <t>Evidence of sustainability focused experiential and co curricular learning (eg Wattle Fellowship; Melbourne Plus)</t>
        </is>
      </c>
      <c r="F24"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8" t="inlineStr">
        <is>
          <t>We will combine faculty examples with central Wattle Fellowship and Melbourne Plus data to report on the range and reach of sustainability-focused experiential and co-curricular learning across the University.</t>
        </is>
      </c>
      <c r="H24" s="8" t="inlineStr">
        <is>
          <t>N/A – new indicator</t>
        </is>
      </c>
      <c r="I24" s="8" t="inlineStr"/>
      <c r="J24" s="8" t="inlineStr"/>
      <c r="K24" s="8" t="inlineStr"/>
      <c r="L24" s="8" t="n"/>
      <c r="M24" s="8" t="n"/>
      <c r="N24" s="8" t="n"/>
      <c r="O24" s="8" t="n"/>
      <c r="P24" s="8" t="n"/>
      <c r="Q24" s="8" t="n"/>
      <c r="R24" s="8" t="n"/>
    </row>
    <row r="25" ht="150" customHeight="1">
      <c r="B25" s="7" t="inlineStr">
        <is>
          <t>TR1(a)</t>
        </is>
      </c>
      <c r="C25" s="50" t="inlineStr">
        <is>
          <t>Transformational research</t>
        </is>
      </c>
      <c r="D25" s="50" t="inlineStr">
        <is>
          <t>Utilise the expertise of the University’s researchers through mutually beneficial partnerships to help address the University’s operational sustainability challenges.</t>
        </is>
      </c>
      <c r="E25" s="50" t="inlineStr">
        <is>
          <t>Expert-reviewed evidence of researchers contributing to operational sustainability priorities through partnerships, advisory input, living labs, applied projects or decision-support</t>
        </is>
      </c>
      <c r="F25" s="8" t="inlineStr">
        <is>
          <t>In end-2025 reporting your area reported on the related SP2030 target 5a(ii) and rated it 'Partially met'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5" s="8" t="inlineStr">
        <is>
          <t>We will report on examples of researchers helping solve the University's own operational sustainability challenges, alongside CLLAP projects reported by CI&amp;S, and share them with operational teams to identify further collaboration.</t>
        </is>
      </c>
      <c r="H25" s="8" t="inlineStr">
        <is>
          <t>5a(ii)</t>
        </is>
      </c>
      <c r="I25" s="8" t="inlineStr">
        <is>
          <t>Partially met</t>
        </is>
      </c>
      <c r="J25" s="8" t="inlineStr">
        <is>
          <t>Tangible improvement in some areas, but not all (haven't done ASRS, for example).</t>
        </is>
      </c>
      <c r="K25" s="8" t="inlineStr"/>
      <c r="L25" s="8" t="n"/>
      <c r="M25" s="8" t="n"/>
      <c r="N25" s="8" t="n"/>
      <c r="O25" s="8" t="n"/>
      <c r="P25" s="8" t="n"/>
      <c r="Q25" s="8" t="n"/>
      <c r="R25" s="8" t="n"/>
    </row>
    <row r="26" ht="150" customHeight="1">
      <c r="B26" s="7" t="inlineStr">
        <is>
          <t>TR2(d)</t>
        </is>
      </c>
      <c r="C26" s="50" t="inlineStr">
        <is>
          <t>Transformational research</t>
        </is>
      </c>
      <c r="D26" s="50" t="inlineStr">
        <is>
          <t>Deliver high-quality research and partnerships that contribute to sustainability outcomes and demonstrable societal benefit.</t>
        </is>
      </c>
      <c r="E26" s="50" t="inlineStr">
        <is>
          <t>Case-based evidence demonstrating how research has contributed to meaningful sustainability outcomes.</t>
        </is>
      </c>
      <c r="F2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8" t="inlineStr">
        <is>
          <t>We will select the strongest examples to develop as full research case studies for the 2026 Sustainability Report (we may contact you for more detail and images).</t>
        </is>
      </c>
      <c r="H26" s="8" t="inlineStr">
        <is>
          <t>N/A – new indicator</t>
        </is>
      </c>
      <c r="I26" s="8" t="inlineStr"/>
      <c r="J26" s="8" t="inlineStr"/>
      <c r="K26" s="8" t="inlineStr"/>
      <c r="L26" s="8" t="n"/>
      <c r="M26" s="8" t="n"/>
      <c r="N26" s="8" t="n"/>
      <c r="O26" s="8" t="n"/>
      <c r="P26" s="8" t="n"/>
      <c r="Q26" s="8" t="n"/>
      <c r="R26" s="8" t="n"/>
    </row>
    <row r="27" ht="150" customHeight="1">
      <c r="B27" s="7" t="inlineStr">
        <is>
          <t>TR3(b)</t>
        </is>
      </c>
      <c r="C27" s="50" t="inlineStr">
        <is>
          <t>Transformational research</t>
        </is>
      </c>
      <c r="D27" s="50" t="inlineStr">
        <is>
          <t>Embed sustainability within research systems, processes, capability and culture, so research is conducted responsibly, efficiently and with reduced environmental impact.</t>
        </is>
      </c>
      <c r="E27" s="50" t="inlineStr">
        <is>
          <t>Demonstrated examples of more sustainable research practices in laboratories, fieldwork, procurement, travel or infrastructure use</t>
        </is>
      </c>
      <c r="F27"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8" t="inlineStr">
        <is>
          <t>We will report on ways the University is making research practices more sustainable in the 2026 Sustainability Report, and share practical examples (e.g. green labs) across faculties.</t>
        </is>
      </c>
      <c r="H27" s="8" t="inlineStr">
        <is>
          <t>N/A – new indicator</t>
        </is>
      </c>
      <c r="I27" s="8" t="inlineStr"/>
      <c r="J27" s="8" t="inlineStr"/>
      <c r="K27" s="8" t="inlineStr"/>
      <c r="L27" s="8" t="n"/>
      <c r="M27" s="8" t="n"/>
      <c r="N27" s="8" t="n"/>
      <c r="O27" s="8" t="n"/>
      <c r="P27" s="8" t="n"/>
      <c r="Q27" s="8" t="n"/>
      <c r="R27" s="8" t="n"/>
    </row>
    <row r="28" ht="150" customHeight="1">
      <c r="B28" s="7" t="inlineStr">
        <is>
          <t>CL1(c)</t>
        </is>
      </c>
      <c r="C28" s="50" t="inlineStr">
        <is>
          <t>Climate leadership</t>
        </is>
      </c>
      <c r="D28" s="50"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50" t="inlineStr">
        <is>
          <t>Review of Climate Leadership targets by 2030.[2]</t>
        </is>
      </c>
      <c r="F28" s="8" t="inlineStr">
        <is>
          <t>(Reporting request TBC)</t>
        </is>
      </c>
      <c r="G28" s="8" t="inlineStr">
        <is>
          <t>For internal planning: we will record the status of the planned review of Climate Leadership targets (due by 2030).</t>
        </is>
      </c>
      <c r="H28" s="8" t="inlineStr">
        <is>
          <t>N/A – new indicator</t>
        </is>
      </c>
      <c r="I28" s="8" t="inlineStr"/>
      <c r="J28" s="8" t="inlineStr"/>
      <c r="K28" s="8" t="inlineStr"/>
      <c r="L28" s="8" t="n"/>
      <c r="M28" s="8" t="n"/>
      <c r="N28" s="8" t="n"/>
      <c r="O28" s="8" t="n"/>
      <c r="P28" s="8" t="n"/>
      <c r="Q28" s="8" t="n"/>
      <c r="R28" s="8" t="n"/>
    </row>
    <row r="29" ht="150" customHeight="1">
      <c r="B29" s="7" t="inlineStr">
        <is>
          <t>AI1(a)</t>
        </is>
      </c>
      <c r="C29" s="50" t="inlineStr">
        <is>
          <t>Responsible AI</t>
        </is>
      </c>
      <c r="D29" s="50" t="inlineStr">
        <is>
          <t>Improve understanding of our sustainability-related risks and opportunities of AI technologies by 2028.</t>
        </is>
      </c>
      <c r="E29" s="50" t="inlineStr">
        <is>
          <t>Established measurement of estimated operational impacts and opportunities (eg operational impacts could include energy, water, emissions and intensity measures)</t>
        </is>
      </c>
      <c r="F29" s="8" t="inlineStr">
        <is>
          <t>(Reporting request TBC)</t>
        </is>
      </c>
      <c r="G29" s="8" t="inlineStr">
        <is>
          <t>We will provide a high-level overview of AI's estimated operational impacts and opportunities in 2026, ahead of more detailed measurement from 2027.</t>
        </is>
      </c>
      <c r="H29" s="8" t="inlineStr">
        <is>
          <t>N/A – new indicator</t>
        </is>
      </c>
      <c r="I29" s="8" t="inlineStr"/>
      <c r="J29" s="8" t="inlineStr"/>
      <c r="K29" s="8" t="inlineStr"/>
      <c r="L29" s="8" t="n"/>
      <c r="M29" s="8" t="n"/>
      <c r="N29" s="8" t="n"/>
      <c r="O29" s="8" t="n"/>
      <c r="P29" s="8" t="n"/>
      <c r="Q29" s="8" t="n"/>
      <c r="R29" s="8" t="n"/>
    </row>
    <row r="30" ht="150" customHeight="1">
      <c r="B30" s="7" t="inlineStr">
        <is>
          <t>AI1(b)</t>
        </is>
      </c>
      <c r="C30" s="50" t="inlineStr">
        <is>
          <t>Responsible AI</t>
        </is>
      </c>
      <c r="D30" s="50" t="inlineStr">
        <is>
          <t>Improve understanding of our sustainability-related risks and opportunities of AI technologies by 2028.</t>
        </is>
      </c>
      <c r="E30" s="50" t="inlineStr">
        <is>
          <t>Case studies of sustainability and AI-related education, research and collaboration activities.</t>
        </is>
      </c>
      <c r="F30" s="8" t="inlineStr">
        <is>
          <t>Please provide case studies from your Faculty/Portfolio of sustainability and AI-related education, research or collaboration activities, describing the activity, participants or partners, sustainability issue addressed and key outcomes or lessons.</t>
        </is>
      </c>
      <c r="G30" s="8" t="inlineStr">
        <is>
          <t>We will select examples of sustainability and AI-related education, research and collaboration as case studies for the new Responsible AI section of the 2026 Sustainability Report.</t>
        </is>
      </c>
      <c r="H30" s="8" t="inlineStr">
        <is>
          <t>N/A – new indicator</t>
        </is>
      </c>
      <c r="I30" s="8" t="inlineStr"/>
      <c r="J30" s="8" t="inlineStr"/>
      <c r="K30" s="8" t="inlineStr"/>
      <c r="L30" s="8" t="n"/>
      <c r="M30" s="8" t="n"/>
      <c r="N30" s="8" t="n"/>
      <c r="O30" s="8" t="n"/>
      <c r="P30" s="8" t="n"/>
      <c r="Q30" s="8" t="n"/>
      <c r="R30" s="8" t="n"/>
    </row>
    <row r="31" ht="150" customHeight="1">
      <c r="B31" s="7" t="inlineStr">
        <is>
          <t>MS1(a)</t>
        </is>
      </c>
      <c r="C31" s="50" t="inlineStr">
        <is>
          <t>Modern slavery and human rights</t>
        </is>
      </c>
      <c r="D31" s="50" t="inlineStr">
        <is>
          <t>Manage our approach to modern slavery and human rights-related risks and opportunities.</t>
        </is>
      </c>
      <c r="E31" s="50" t="inlineStr">
        <is>
          <t>Annual progress reporting via the Modern Slavery Statement</t>
        </is>
      </c>
      <c r="F31" s="8" t="inlineStr">
        <is>
          <t>We did not receive an end-2025 response for the related SP2030 target 11c(ii), so please include any relevant activity from across 2026.
Annual Modern Slavery Statement, with case studies</t>
        </is>
      </c>
      <c r="G31" s="8" t="inlineStr">
        <is>
          <t>We will draw on the annual Modern Slavery Statement and case studies to report on the University's approach to modern slavery and human rights risks (timing to be aligned with the Statement).</t>
        </is>
      </c>
      <c r="H31" s="8" t="inlineStr">
        <is>
          <t>11c(ii)</t>
        </is>
      </c>
      <c r="I31" s="8" t="inlineStr"/>
      <c r="J31" s="8" t="inlineStr"/>
      <c r="K31" s="8" t="inlineStr"/>
      <c r="L31" s="8" t="n"/>
      <c r="M31" s="8" t="n"/>
      <c r="N31" s="8" t="n"/>
      <c r="O31" s="8" t="n"/>
      <c r="P31" s="8" t="n"/>
      <c r="Q31" s="8" t="n"/>
      <c r="R31" s="8" t="n"/>
    </row>
    <row r="32" ht="150" customHeight="1">
      <c r="B32" s="7" t="inlineStr">
        <is>
          <t>RI1(b)</t>
        </is>
      </c>
      <c r="C32" s="50" t="inlineStr">
        <is>
          <t>Responsible investments</t>
        </is>
      </c>
      <c r="D32" s="50" t="inlineStr">
        <is>
          <t>Achieve net zero financed emissions for the University’s investment portfolio by 2050.</t>
        </is>
      </c>
      <c r="E32" s="50" t="inlineStr">
        <is>
          <t>Continuous improvement of the reporting of the University’s sustainability-related investment profile metrics, could include investment in climate mitigation and transition solutions, and compliance with related obligations (eg UNPRI).</t>
        </is>
      </c>
      <c r="F32" s="8"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2" s="8" t="inlineStr">
        <is>
          <t>We will report on sustainability-related investment portfolio metrics and the University's compliance with related obligations (e.g. UNPRI) in the Responsible investments section of the 2026 Sustainability Report.</t>
        </is>
      </c>
      <c r="H32" s="8" t="inlineStr">
        <is>
          <t>12b(i)</t>
        </is>
      </c>
      <c r="I32" s="8" t="inlineStr"/>
      <c r="J32" s="8" t="inlineStr"/>
      <c r="K32" s="8" t="inlineStr"/>
      <c r="L32" s="8" t="n"/>
      <c r="M32" s="8" t="n"/>
      <c r="N32" s="8" t="n"/>
      <c r="O32" s="8" t="n"/>
      <c r="P32" s="8" t="n"/>
      <c r="Q32" s="8" t="n"/>
      <c r="R32" s="8" t="n"/>
    </row>
    <row r="33" ht="150" customHeight="1">
      <c r="B33" s="7" t="inlineStr">
        <is>
          <t>EN1(b)</t>
        </is>
      </c>
      <c r="C33" s="50" t="inlineStr">
        <is>
          <t>Enablers</t>
        </is>
      </c>
      <c r="D33" s="50" t="inlineStr">
        <is>
          <t>Enablers</t>
        </is>
      </c>
      <c r="E33" s="50" t="inlineStr">
        <is>
          <t>Living laboratories enabling applied learning, research and operational sustainability outcomes</t>
        </is>
      </c>
      <c r="F33" s="8" t="inlineStr">
        <is>
          <t>We did not receive an end-2025 response for the related SP2030 target 2a, so please include any relevant activity from across 2026.
Please comment on sustainability-related living labs in your area – their activities, outputs, outcomes and impact.</t>
        </is>
      </c>
      <c r="G33" s="8" t="inlineStr">
        <is>
          <t>We will share examples of sustainability-related living labs from across the University in the 2026 Sustainability Report, alongside CLLAP projects reported by CI&amp;S.</t>
        </is>
      </c>
      <c r="H33" s="8" t="inlineStr">
        <is>
          <t>2a</t>
        </is>
      </c>
      <c r="I33" s="8" t="inlineStr"/>
      <c r="J33" s="8" t="inlineStr"/>
      <c r="K33" s="8" t="inlineStr"/>
      <c r="L33" s="8" t="n"/>
      <c r="M33" s="8" t="n"/>
      <c r="N33" s="8" t="n"/>
      <c r="O33" s="8" t="n"/>
      <c r="P33" s="8" t="n"/>
      <c r="Q33" s="8" t="n"/>
      <c r="R33" s="8" t="n"/>
    </row>
    <row r="34" ht="150" customHeight="1">
      <c r="B34" s="7" t="inlineStr">
        <is>
          <t>EN1(c)</t>
        </is>
      </c>
      <c r="C34" s="50" t="inlineStr">
        <is>
          <t>Enablers</t>
        </is>
      </c>
      <c r="D34" s="50" t="inlineStr">
        <is>
          <t>Enablers</t>
        </is>
      </c>
      <c r="E34" s="50" t="inlineStr">
        <is>
          <t>Coordinated internal engagement and external partnerships contributing to delivery of sustainability outcomes across priority areas.</t>
        </is>
      </c>
      <c r="F3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8" t="inlineStr">
        <is>
          <t>We will report on internal engagement and partnerships contributing to Sustainability 2030 outcomes, and update our record of sustainability-focused communities of practice and contacts across the University.</t>
        </is>
      </c>
      <c r="H34" s="8" t="inlineStr">
        <is>
          <t>N/A – new indicator</t>
        </is>
      </c>
      <c r="I34" s="8" t="inlineStr"/>
      <c r="J34" s="8" t="inlineStr"/>
      <c r="K34" s="8" t="inlineStr"/>
      <c r="L34" s="8" t="n"/>
      <c r="M34" s="8" t="n"/>
      <c r="N34" s="8" t="n"/>
      <c r="O34" s="8" t="n"/>
      <c r="P34" s="8" t="n"/>
      <c r="Q34" s="8" t="n"/>
      <c r="R34" s="8" t="n"/>
    </row>
    <row r="35" ht="150" customHeight="1">
      <c r="B35" s="7" t="inlineStr">
        <is>
          <t>EN1(d)</t>
        </is>
      </c>
      <c r="C35" s="50" t="inlineStr">
        <is>
          <t>Enablers</t>
        </is>
      </c>
      <c r="D35" s="50" t="inlineStr">
        <is>
          <t>Enablers</t>
        </is>
      </c>
      <c r="E35" s="50" t="inlineStr">
        <is>
          <t>Sustainability objectives integrated into governance and decision‑making processes, supported by transparent reporting.</t>
        </is>
      </c>
      <c r="F3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8" t="inlineStr">
        <is>
          <t>We will report on how sustainability is integrated into governance and decision-making across faculties and portfolios, and use responses as a baseline for the governance enabler from 2027.</t>
        </is>
      </c>
      <c r="H35" s="8" t="inlineStr">
        <is>
          <t>N/A – new indicator</t>
        </is>
      </c>
      <c r="I35" s="8" t="inlineStr"/>
      <c r="J35" s="8" t="inlineStr"/>
      <c r="K35" s="8" t="inlineStr"/>
      <c r="L35" s="8" t="n"/>
      <c r="M35" s="8" t="n"/>
      <c r="N35" s="8" t="n"/>
      <c r="O35" s="8" t="n"/>
      <c r="P35" s="8" t="n"/>
      <c r="Q35" s="8" t="n"/>
      <c r="R35" s="8" t="n"/>
    </row>
    <row r="36"/>
  </sheetData>
  <mergeCells count="4">
    <mergeCell ref="C19:G19"/>
    <mergeCell ref="C7:G7"/>
    <mergeCell ref="L19:R19"/>
    <mergeCell ref="L7:R7"/>
  </mergeCells>
  <dataValidations count="4">
    <dataValidation sqref="L10:L14" showDropDown="0" showInputMessage="0" showErrorMessage="0" allowBlank="1" errorTitle="Invalid entry" error="Please select from the dropdown" type="list">
      <formula1>=Lists!$B$3:$B$7</formula1>
    </dataValidation>
    <dataValidation sqref="Q10:Q14" showDropDown="0" showInputMessage="0" showErrorMessage="0" allowBlank="1" errorTitle="Invalid entry" error="Please select from the dropdown" type="list">
      <formula1>=Lists!$C$2:$C$4</formula1>
    </dataValidation>
    <dataValidation sqref="L22:L35" showDropDown="0" showInputMessage="0" showErrorMessage="0" allowBlank="1" errorTitle="Invalid entry" error="Please select from the dropdown" type="list">
      <formula1>=Lists!$B$3:$B$7</formula1>
    </dataValidation>
    <dataValidation sqref="Q22:Q35"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Finance Officer Group (CFOG)</t>
        </is>
      </c>
    </row>
    <row r="3">
      <c r="B3" s="20" t="inlineStr">
        <is>
          <t>Consolidated responses – paste from returned request workbooks (identical column layout). Click [+] above Columns H–K for end-2025 responses.</t>
        </is>
      </c>
    </row>
    <row r="5">
      <c r="B5" s="45" t="inlineStr">
        <is>
          <t>1.1  CFOG – Procurement</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TR3(b)</t>
        </is>
      </c>
      <c r="C10" s="50" t="inlineStr">
        <is>
          <t>Transformational research</t>
        </is>
      </c>
      <c r="D10" s="50" t="inlineStr">
        <is>
          <t>Embed sustainability within research systems, processes, capability and culture, so research is conducted responsibly, efficiently and with reduced environmental impact.</t>
        </is>
      </c>
      <c r="E10" s="50" t="inlineStr">
        <is>
          <t>Demonstrated examples of more sustainable research practices in laboratories, fieldwork, procurement, travel or infrastructure use</t>
        </is>
      </c>
      <c r="F10"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8" t="inlineStr">
        <is>
          <t>We will report on ways the University is making research practices more sustainable in the 2026 Sustainability Report, and share practical examples (e.g. green labs) across faculties.</t>
        </is>
      </c>
      <c r="H10" s="8" t="inlineStr">
        <is>
          <t>N/A – new indicator</t>
        </is>
      </c>
      <c r="I10" s="8" t="inlineStr"/>
      <c r="J10" s="8" t="inlineStr"/>
      <c r="K10" s="8" t="inlineStr"/>
      <c r="L10" s="8" t="n"/>
      <c r="M10" s="8" t="n"/>
      <c r="N10" s="8" t="n"/>
      <c r="O10" s="8" t="n"/>
      <c r="P10" s="8" t="n"/>
      <c r="Q10" s="8" t="n"/>
      <c r="R10" s="8" t="n"/>
    </row>
    <row r="11" ht="150" customHeight="1">
      <c r="B11" s="7" t="inlineStr">
        <is>
          <t>NB2(c)</t>
        </is>
      </c>
      <c r="C11" s="50" t="inlineStr">
        <is>
          <t>Nature and biodiversity</t>
        </is>
      </c>
      <c r="D11" s="50" t="inlineStr">
        <is>
          <t>Improve our understanding of our supply chain impacts on nature.</t>
        </is>
      </c>
      <c r="E11" s="50" t="inlineStr">
        <is>
          <t>Evidence of prioritised high risk procurement categories or suppliers for nature impact management</t>
        </is>
      </c>
      <c r="F11" s="8" t="inlineStr">
        <is>
          <t>Please provide the prioritised high-risk procurement categories and/or suppliers identified for nature-impact management, could include the basis for prioritisation and any risk-management, engagement or mitigation actions undertaken or planned.</t>
        </is>
      </c>
      <c r="G11" s="8" t="inlineStr">
        <is>
          <t>We will report on the high-risk procurement categories or suppliers prioritised for nature-impact management, and related actions, in the 2026 Sustainability Report.</t>
        </is>
      </c>
      <c r="H11" s="8" t="inlineStr">
        <is>
          <t>N/A – new indicator</t>
        </is>
      </c>
      <c r="I11" s="8" t="inlineStr"/>
      <c r="J11" s="8" t="inlineStr"/>
      <c r="K11" s="8" t="inlineStr"/>
      <c r="L11" s="8" t="n"/>
      <c r="M11" s="8" t="n"/>
      <c r="N11" s="8" t="n"/>
      <c r="O11" s="8" t="n"/>
      <c r="P11" s="8" t="n"/>
      <c r="Q11" s="8" t="n"/>
      <c r="R11" s="8" t="n"/>
    </row>
    <row r="12" ht="150" customHeight="1">
      <c r="B12" s="7" t="inlineStr">
        <is>
          <t>RP1(a)</t>
        </is>
      </c>
      <c r="C12" s="50" t="inlineStr">
        <is>
          <t>Responsible procurement</t>
        </is>
      </c>
      <c r="D12" s="50" t="inlineStr">
        <is>
          <t>Strengthen our ethical and sustainable procurement approach.</t>
        </is>
      </c>
      <c r="E12" s="50" t="inlineStr">
        <is>
          <t>Case studies of maturity improvement related to responsible procurement process and systems.</t>
        </is>
      </c>
      <c r="F12" s="8" t="inlineStr">
        <is>
          <t>In end-2025 reporting your area reported on the related SP2030 target 11c(iii) and rated it 'Met or exceeded' (see Column J – click [+] above Columns I–K). Please build on this rather than repeating it, focusing on what is new in 2026.
Maturity score if framework established; % procurement staff trained</t>
        </is>
      </c>
      <c r="G12" s="8" t="inlineStr">
        <is>
          <t>We will use case studies (and any maturity score or training data) to show improvement in responsible procurement processes and systems in the 2026 Sustainability Report.</t>
        </is>
      </c>
      <c r="H12" s="8" t="inlineStr">
        <is>
          <t>11c(iii)</t>
        </is>
      </c>
      <c r="I12" s="8" t="inlineStr">
        <is>
          <t>Met or exceeded</t>
        </is>
      </c>
      <c r="J12" s="8"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8" t="inlineStr"/>
      <c r="L12" s="8" t="n"/>
      <c r="M12" s="8" t="n"/>
      <c r="N12" s="8" t="n"/>
      <c r="O12" s="8" t="n"/>
      <c r="P12" s="8" t="n"/>
      <c r="Q12" s="8" t="n"/>
      <c r="R12" s="8" t="n"/>
    </row>
    <row r="13" ht="150" customHeight="1">
      <c r="B13" s="7" t="inlineStr">
        <is>
          <t>MS1(a)</t>
        </is>
      </c>
      <c r="C13" s="50" t="inlineStr">
        <is>
          <t>Modern slavery and human rights</t>
        </is>
      </c>
      <c r="D13" s="50" t="inlineStr">
        <is>
          <t>Manage our approach to modern slavery and human rights-related risks and opportunities.</t>
        </is>
      </c>
      <c r="E13" s="50" t="inlineStr">
        <is>
          <t>Annual progress reporting via the Modern Slavery Statement</t>
        </is>
      </c>
      <c r="F13" s="8" t="inlineStr">
        <is>
          <t>In end-2025 reporting your area reported on the related SP2030 target 11c(i) and rated it 'Met or exceeded' (see Column J – click [+] above Columns I–K). Please build on this rather than repeating it, focusing on what is new in 2026.
Annual Modern Slavery Statement, with case studies</t>
        </is>
      </c>
      <c r="G13" s="8" t="inlineStr">
        <is>
          <t>We will draw on the annual Modern Slavery Statement and case studies to report on the University's approach to modern slavery and human rights risks (timing to be aligned with the Statement).</t>
        </is>
      </c>
      <c r="H13" s="8" t="inlineStr">
        <is>
          <t>11c(i)</t>
        </is>
      </c>
      <c r="I13" s="8" t="inlineStr">
        <is>
          <t>Met or exceeded</t>
        </is>
      </c>
      <c r="J13" s="8"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8" t="inlineStr"/>
      <c r="L13" s="8" t="n"/>
      <c r="M13" s="8" t="n"/>
      <c r="N13" s="8" t="n"/>
      <c r="O13" s="8" t="n"/>
      <c r="P13" s="8" t="n"/>
      <c r="Q13" s="8" t="n"/>
      <c r="R13" s="8" t="n"/>
    </row>
    <row r="14" ht="150" customHeight="1">
      <c r="B14" s="7" t="inlineStr">
        <is>
          <t>EN1(c)</t>
        </is>
      </c>
      <c r="C14" s="50" t="inlineStr">
        <is>
          <t>Enablers</t>
        </is>
      </c>
      <c r="D14" s="50" t="inlineStr">
        <is>
          <t>Enablers</t>
        </is>
      </c>
      <c r="E14" s="50" t="inlineStr">
        <is>
          <t>Coordinated internal engagement and external partnerships contributing to delivery of sustainability outcomes across priority areas.</t>
        </is>
      </c>
      <c r="F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8" t="inlineStr">
        <is>
          <t>We will report on internal engagement and partnerships contributing to Sustainability 2030 outcomes, and update our record of sustainability-focused communities of practice and contacts across the University.</t>
        </is>
      </c>
      <c r="H14" s="8" t="inlineStr">
        <is>
          <t>N/A – new indicator</t>
        </is>
      </c>
      <c r="I14" s="8" t="inlineStr"/>
      <c r="J14" s="8" t="inlineStr"/>
      <c r="K14" s="8" t="inlineStr"/>
      <c r="L14" s="8" t="n"/>
      <c r="M14" s="8" t="n"/>
      <c r="N14" s="8" t="n"/>
      <c r="O14" s="8" t="n"/>
      <c r="P14" s="8" t="n"/>
      <c r="Q14" s="8" t="n"/>
      <c r="R14" s="8" t="n"/>
    </row>
    <row r="15" ht="150" customHeight="1">
      <c r="B15" s="7" t="inlineStr">
        <is>
          <t>EN1(d)</t>
        </is>
      </c>
      <c r="C15" s="50" t="inlineStr">
        <is>
          <t>Enablers</t>
        </is>
      </c>
      <c r="D15" s="50" t="inlineStr">
        <is>
          <t>Enablers</t>
        </is>
      </c>
      <c r="E15" s="50" t="inlineStr">
        <is>
          <t>Sustainability objectives integrated into governance and decision‑making processes, supported by transparent reporting.</t>
        </is>
      </c>
      <c r="F1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8" t="inlineStr">
        <is>
          <t>We will report on how sustainability is integrated into governance and decision-making across faculties and portfolios, and use responses as a baseline for the governance enabler from 2027.</t>
        </is>
      </c>
      <c r="H15" s="8" t="inlineStr">
        <is>
          <t>N/A – new indicator</t>
        </is>
      </c>
      <c r="I15" s="8" t="inlineStr"/>
      <c r="J15" s="8" t="inlineStr"/>
      <c r="K15" s="8" t="inlineStr"/>
      <c r="L15" s="8" t="n"/>
      <c r="M15" s="8" t="n"/>
      <c r="N15" s="8" t="n"/>
      <c r="O15" s="8" t="n"/>
      <c r="P15" s="8" t="n"/>
      <c r="Q15" s="8" t="n"/>
      <c r="R15" s="8" t="n"/>
    </row>
    <row r="16"/>
    <row r="18">
      <c r="B18" s="45" t="inlineStr">
        <is>
          <t>1.2  CFOG – Treasury &amp; Investments</t>
        </is>
      </c>
    </row>
    <row r="20">
      <c r="C20" s="46" t="inlineStr">
        <is>
          <t>Sustainability 2030 target and indicator</t>
        </is>
      </c>
      <c r="H20" s="46" t="inlineStr">
        <is>
          <t>SR25 response</t>
        </is>
      </c>
      <c r="L20" s="47" t="inlineStr">
        <is>
          <t>End-2026 reporting (PLEASE COMPLETE THIS SECTION)</t>
        </is>
      </c>
    </row>
    <row r="21">
      <c r="B21" s="6" t="inlineStr">
        <is>
          <t>Ref</t>
        </is>
      </c>
      <c r="C21" s="6" t="inlineStr">
        <is>
          <t>Priority area</t>
        </is>
      </c>
      <c r="D21" s="6" t="inlineStr">
        <is>
          <t>Sustainability 2030 target</t>
        </is>
      </c>
      <c r="E21" s="6" t="inlineStr">
        <is>
          <t>Indicator</t>
        </is>
      </c>
      <c r="F21" s="6" t="inlineStr">
        <is>
          <t>2026 Reporting request</t>
        </is>
      </c>
      <c r="G21" s="6" t="inlineStr">
        <is>
          <t>How SST will use this data</t>
        </is>
      </c>
      <c r="H21" s="6" t="inlineStr">
        <is>
          <t>Related SR25 ref</t>
        </is>
      </c>
      <c r="I21" s="6" t="inlineStr">
        <is>
          <t>End-2025 confirmed status</t>
        </is>
      </c>
      <c r="J21" s="6" t="inlineStr">
        <is>
          <t>End-2025 reporting response</t>
        </is>
      </c>
      <c r="K21" s="6" t="inlineStr">
        <is>
          <t>Links and supporting information</t>
        </is>
      </c>
      <c r="L21" s="48" t="inlineStr">
        <is>
          <t>Confirm end-2026 target status</t>
        </is>
      </c>
      <c r="M21" s="48" t="inlineStr">
        <is>
          <t>OPTION 1:  Target-level reporting (Column D)</t>
        </is>
      </c>
      <c r="N21" s="48" t="inlineStr">
        <is>
          <t>OPTION 2:  Indicator level reporting (Column E/F)</t>
        </is>
      </c>
      <c r="O21" s="48" t="inlineStr">
        <is>
          <t>Supporting information/comments</t>
        </is>
      </c>
      <c r="P21" s="48" t="inlineStr">
        <is>
          <t>Data source and limitations</t>
        </is>
      </c>
      <c r="Q21" s="48" t="inlineStr">
        <is>
          <t>Data owner confirms information is accurate</t>
        </is>
      </c>
      <c r="R21" s="48" t="inlineStr">
        <is>
          <t>Confirmed by (name, role, date)</t>
        </is>
      </c>
    </row>
    <row r="22">
      <c r="B22" s="49" t="inlineStr"/>
      <c r="C22" s="49" t="inlineStr"/>
      <c r="D22" s="49" t="inlineStr"/>
      <c r="E22" s="49" t="inlineStr"/>
      <c r="F22" s="49" t="inlineStr"/>
      <c r="G22" s="49" t="inlineStr"/>
      <c r="H22" s="49" t="inlineStr"/>
      <c r="I22" s="49" t="inlineStr"/>
      <c r="J22" s="49" t="inlineStr"/>
      <c r="K22" s="49" t="inlineStr"/>
      <c r="L22" s="49" t="inlineStr">
        <is>
          <t>(Met or exceeded; partially met; not met; not yet started)</t>
        </is>
      </c>
      <c r="M22" s="49" t="inlineStr">
        <is>
          <t>Provide further evidence of target status assessment in the form of:
A general update on activities in relation to the overarching target (Column D)</t>
        </is>
      </c>
      <c r="N22" s="49" t="inlineStr">
        <is>
          <t>Provide further evidence of target status assessment in the form of:
Data and commentary in direct response to the reporting request (Column F)</t>
        </is>
      </c>
      <c r="O22" s="49" t="inlineStr">
        <is>
          <t>Provide any additional information to support the target status assessment (e.g. links, images, rationale for selection of target status)</t>
        </is>
      </c>
      <c r="P22" s="49" t="inlineStr">
        <is>
          <t>Where did this information come from (system, report, survey, person)? Note any gaps or limitations.</t>
        </is>
      </c>
      <c r="Q22" s="49" t="inlineStr">
        <is>
          <t>Select 'Yes' to confirm the information provided is accurate and can be used for reporting</t>
        </is>
      </c>
      <c r="R22" s="49" t="inlineStr">
        <is>
          <t>Name, role and date of the person confirming</t>
        </is>
      </c>
    </row>
    <row r="23" ht="150" customHeight="1">
      <c r="B23" s="7" t="inlineStr">
        <is>
          <t>RI1(b)</t>
        </is>
      </c>
      <c r="C23" s="50" t="inlineStr">
        <is>
          <t>Responsible investments</t>
        </is>
      </c>
      <c r="D23" s="50" t="inlineStr">
        <is>
          <t>Achieve net zero financed emissions for the University’s investment portfolio by 2050.</t>
        </is>
      </c>
      <c r="E23" s="50" t="inlineStr">
        <is>
          <t>Continuous improvement of the reporting of the University’s sustainability-related investment profile metrics, could include investment in climate mitigation and transition solutions, and compliance with related obligations (eg UNPRI).</t>
        </is>
      </c>
      <c r="F23" s="8" t="inlineStr">
        <is>
          <t>In end-2025 reporting your area reported on the related SP2030 target 12b(i) and rated it 'Met or exceeded' (see Column J – click [+] above Columns I–K). Please build on this rather than repeating it, focusing on what is new in 2026.
Report on relevant sustainability-related investment portfolio metrics and report on how the University has complied with its related obligations</t>
        </is>
      </c>
      <c r="G23" s="8" t="inlineStr">
        <is>
          <t>We will report on sustainability-related investment portfolio metrics and the University's compliance with related obligations (e.g. UNPRI) in the Responsible investments section of the 2026 Sustainability Report.</t>
        </is>
      </c>
      <c r="H23" s="8" t="inlineStr">
        <is>
          <t>12b(i)</t>
        </is>
      </c>
      <c r="I23" s="8" t="inlineStr">
        <is>
          <t>Met or exceeded</t>
        </is>
      </c>
      <c r="J23" s="8"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8" t="inlineStr"/>
      <c r="L23" s="8" t="n"/>
      <c r="M23" s="8" t="n"/>
      <c r="N23" s="8" t="n"/>
      <c r="O23" s="8" t="n"/>
      <c r="P23" s="8" t="n"/>
      <c r="Q23" s="8" t="n"/>
      <c r="R23" s="8" t="n"/>
    </row>
    <row r="24"/>
  </sheetData>
  <mergeCells count="4">
    <mergeCell ref="L20:R20"/>
    <mergeCell ref="C7:G7"/>
    <mergeCell ref="L7:R7"/>
    <mergeCell ref="C20:G20"/>
  </mergeCells>
  <dataValidations count="4">
    <dataValidation sqref="L10:L15" showDropDown="0" showInputMessage="0" showErrorMessage="0" allowBlank="1" errorTitle="Invalid entry" error="Please select from the dropdown" type="list">
      <formula1>=Lists!$B$3:$B$7</formula1>
    </dataValidation>
    <dataValidation sqref="Q10:Q15" showDropDown="0" showInputMessage="0" showErrorMessage="0" allowBlank="1" errorTitle="Invalid entry" error="Please select from the dropdown" type="list">
      <formula1>=Lists!$C$2:$C$4</formula1>
    </dataValidation>
    <dataValidation sqref="L23" showDropDown="0" showInputMessage="0" showErrorMessage="0" allowBlank="1" errorTitle="Invalid entry" error="Please select from the dropdown" type="list">
      <formula1>=Lists!$B$3:$B$7</formula1>
    </dataValidation>
    <dataValidation sqref="Q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R1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Enterprise Services Group (ESG)</t>
        </is>
      </c>
    </row>
    <row r="3">
      <c r="B3" s="20" t="inlineStr">
        <is>
          <t>Consolidated responses – paste from returned request workbooks (identical column layout). Click [+] above Columns H–K for end-2025 responses.</t>
        </is>
      </c>
    </row>
    <row r="5">
      <c r="B5" s="45" t="inlineStr">
        <is>
          <t>1.1  ESG – Campus Operations &amp; Sustainability Delivery</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NB1(b)</t>
        </is>
      </c>
      <c r="C10" s="50" t="inlineStr">
        <is>
          <t>Nature and biodiversity</t>
        </is>
      </c>
      <c r="D10" s="50" t="inlineStr">
        <is>
          <t>Achieve an increase of biodiversity relative to defined baseline years for each campus.</t>
        </is>
      </c>
      <c r="E10" s="50" t="inlineStr">
        <is>
          <t>Size, health and diversity of remnant vegetation at the Dookie and Creswick campuses</t>
        </is>
      </c>
      <c r="F10" s="8" t="inlineStr">
        <is>
          <t>In end-2025 reporting your area reported on the related SP2030 target 9a(ii) and rated it 'Not met' (see Column J – click [+] above Columns I–K). Please build on this rather than repeating it, focusing on what is new in 2026.
(Reporting request TBC)</t>
        </is>
      </c>
      <c r="G10" s="8" t="inlineStr">
        <is>
          <t>For internal management reporting only: we will track the size, health and diversity of remnant vegetation at Dookie and Creswick. This information will not be published.</t>
        </is>
      </c>
      <c r="H10" s="8" t="inlineStr">
        <is>
          <t>9a(ii)</t>
        </is>
      </c>
      <c r="I10" s="8" t="inlineStr">
        <is>
          <t>Not met</t>
        </is>
      </c>
      <c r="J10" s="8" t="inlineStr">
        <is>
          <t>Dookie Bush Block Living Lab (case study)
Creswick Vegetation Assessment Capstone Project,  (case study)</t>
        </is>
      </c>
      <c r="K10" s="8" t="inlineStr">
        <is>
          <t>https://unimelbcloud.sharepoint.com/:w:/r/teams/Sustainability/Shared%20Documents/General/Governance/Reporting/2026/2025%20Sustainability%20Report/Biodiversity.docx?d=w7b85fae81d704587910e1e9320a6bf31&amp;csf=1&amp;web=1&amp;e=GCfji1</t>
        </is>
      </c>
      <c r="L10" s="8" t="n"/>
      <c r="M10" s="8" t="n"/>
      <c r="N10" s="8" t="n"/>
      <c r="O10" s="8" t="n"/>
      <c r="P10" s="8" t="n"/>
      <c r="Q10" s="8" t="n"/>
      <c r="R10" s="8" t="n"/>
    </row>
    <row r="11" ht="150" customHeight="1">
      <c r="B11" s="7" t="inlineStr">
        <is>
          <t>NB1(c)</t>
        </is>
      </c>
      <c r="C11" s="50" t="inlineStr">
        <is>
          <t>Nature and biodiversity</t>
        </is>
      </c>
      <c r="D11" s="50" t="inlineStr">
        <is>
          <t>Achieve an increase of biodiversity relative to defined baseline years for each campus.</t>
        </is>
      </c>
      <c r="E11" s="50" t="inlineStr">
        <is>
          <t>Defined quality measurement framework</t>
        </is>
      </c>
      <c r="F11" s="8" t="inlineStr">
        <is>
          <t>In end-2025 reporting your area reported on the related SP2030 target 9a(i) and rated it 'Not met' (see Column J – click [+] above Columns I–K). Please build on this rather than repeating it, focusing on what is new in 2026.
(Reporting request TBC)</t>
        </is>
      </c>
      <c r="G11" s="8" t="inlineStr">
        <is>
          <t>We will report progress on developing the biodiversity quality measurement framework, which will underpin how the biodiversity target is assessed from 2027.</t>
        </is>
      </c>
      <c r="H11" s="8" t="inlineStr">
        <is>
          <t>9a(i)</t>
        </is>
      </c>
      <c r="I11" s="8" t="inlineStr">
        <is>
          <t>Not met</t>
        </is>
      </c>
      <c r="J11" s="8" t="inlineStr">
        <is>
          <t>Two out of seven metrics have achieved net-gain across all campuses. 
Tree Planting Program: 161 trees were planted across three campuses. 
Dookie Community Planting Day, 79 volunteers planted 142 tube stock.</t>
        </is>
      </c>
      <c r="K11" s="8" t="inlineStr">
        <is>
          <t>https://unimelbcloud.sharepoint.com/:w:/r/teams/Sustainability/Shared%20Documents/General/Governance/Reporting/2026/2025%20Sustainability%20Report/Biodiversity.docx?d=w7b85fae81d704587910e1e9320a6bf31&amp;csf=1&amp;web=1&amp;e=GCfji1</t>
        </is>
      </c>
      <c r="L11" s="8" t="n"/>
      <c r="M11" s="8" t="n"/>
      <c r="N11" s="8" t="n"/>
      <c r="O11" s="8" t="n"/>
      <c r="P11" s="8" t="n"/>
      <c r="Q11" s="8" t="n"/>
      <c r="R11" s="8" t="n"/>
    </row>
    <row r="12" ht="150" customHeight="1">
      <c r="B12" s="7" t="inlineStr">
        <is>
          <t>NB1(d)</t>
        </is>
      </c>
      <c r="C12" s="50" t="inlineStr">
        <is>
          <t>Nature and biodiversity</t>
        </is>
      </c>
      <c r="D12" s="50" t="inlineStr">
        <is>
          <t>Achieve an increase of biodiversity relative to defined baseline years for each campus.</t>
        </is>
      </c>
      <c r="E12" s="50" t="inlineStr">
        <is>
          <t>Defined and quantified campus connectivity</t>
        </is>
      </c>
      <c r="F12" s="8"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8" t="inlineStr">
        <is>
          <t>We will report the definition and baseline for campus ecological connectivity in the 2026 Sustainability Report, to support future tracking against the biodiversity target.</t>
        </is>
      </c>
      <c r="H12" s="8" t="inlineStr">
        <is>
          <t>9b(i)</t>
        </is>
      </c>
      <c r="I12" s="8" t="inlineStr">
        <is>
          <t>Not yet started</t>
        </is>
      </c>
      <c r="J12" s="8" t="inlineStr"/>
      <c r="K12" s="8" t="inlineStr"/>
      <c r="L12" s="8" t="n"/>
      <c r="M12" s="8" t="n"/>
      <c r="N12" s="8" t="n"/>
      <c r="O12" s="8" t="n"/>
      <c r="P12" s="8" t="n"/>
      <c r="Q12" s="8" t="n"/>
      <c r="R12" s="8" t="n"/>
    </row>
    <row r="13" ht="150" customHeight="1">
      <c r="B13" s="7" t="inlineStr">
        <is>
          <t>NB2(b)</t>
        </is>
      </c>
      <c r="C13" s="50" t="inlineStr">
        <is>
          <t>Nature and biodiversity</t>
        </is>
      </c>
      <c r="D13" s="50" t="inlineStr">
        <is>
          <t>Improve our understanding of our supply chain impacts on nature.</t>
        </is>
      </c>
      <c r="E13" s="50" t="inlineStr">
        <is>
          <t>Evidence of established framework to monitor and track supply-chain nature impacts over time</t>
        </is>
      </c>
      <c r="F13" s="8" t="inlineStr">
        <is>
          <t>Please describe the framework established to monitor and track supply-chain impacts on nature over time, could include metrics, data sources, governance/ownership, reporting frequency and current implementation status.</t>
        </is>
      </c>
      <c r="G13" s="8" t="inlineStr">
        <is>
          <t>We will describe the framework for monitoring supply-chain nature impacts, and use it to plan how this target is reported from 2027.</t>
        </is>
      </c>
      <c r="H13" s="8" t="inlineStr">
        <is>
          <t>N/A – new indicator</t>
        </is>
      </c>
      <c r="I13" s="8" t="inlineStr"/>
      <c r="J13" s="8" t="inlineStr"/>
      <c r="K13" s="8" t="inlineStr"/>
      <c r="L13" s="8" t="n"/>
      <c r="M13" s="8" t="n"/>
      <c r="N13" s="8" t="n"/>
      <c r="O13" s="8" t="n"/>
      <c r="P13" s="8" t="n"/>
      <c r="Q13" s="8" t="n"/>
      <c r="R13" s="8" t="n"/>
    </row>
    <row r="14" ht="150" customHeight="1">
      <c r="B14" s="7" t="inlineStr">
        <is>
          <t>NB2(c)</t>
        </is>
      </c>
      <c r="C14" s="50" t="inlineStr">
        <is>
          <t>Nature and biodiversity</t>
        </is>
      </c>
      <c r="D14" s="50" t="inlineStr">
        <is>
          <t>Improve our understanding of our supply chain impacts on nature.</t>
        </is>
      </c>
      <c r="E14" s="50" t="inlineStr">
        <is>
          <t>Evidence of prioritised high risk procurement categories or suppliers for nature impact management</t>
        </is>
      </c>
      <c r="F14" s="8" t="inlineStr">
        <is>
          <t>Please provide the prioritised high-risk procurement categories and/or suppliers identified for nature-impact management, could include the basis for prioritisation and any risk-management, engagement or mitigation actions undertaken or planned.</t>
        </is>
      </c>
      <c r="G14" s="8" t="inlineStr">
        <is>
          <t>We will report on the high-risk procurement categories or suppliers prioritised for nature-impact management, and related actions, in the 2026 Sustainability Report.</t>
        </is>
      </c>
      <c r="H14" s="8" t="inlineStr">
        <is>
          <t>N/A – new indicator</t>
        </is>
      </c>
      <c r="I14" s="8" t="inlineStr"/>
      <c r="J14" s="8" t="inlineStr"/>
      <c r="K14" s="8" t="inlineStr"/>
      <c r="L14" s="8" t="n"/>
      <c r="M14" s="8" t="n"/>
      <c r="N14" s="8" t="n"/>
      <c r="O14" s="8" t="n"/>
      <c r="P14" s="8" t="n"/>
      <c r="Q14" s="8" t="n"/>
      <c r="R14" s="8" t="n"/>
    </row>
    <row r="15" ht="150" customHeight="1">
      <c r="B15" s="7" t="inlineStr">
        <is>
          <t>EN1(c)</t>
        </is>
      </c>
      <c r="C15" s="50" t="inlineStr">
        <is>
          <t>Enablers</t>
        </is>
      </c>
      <c r="D15" s="50" t="inlineStr">
        <is>
          <t>Enablers</t>
        </is>
      </c>
      <c r="E15" s="50" t="inlineStr">
        <is>
          <t>Coordinated internal engagement and external partnerships contributing to delivery of sustainability outcomes across priority areas.</t>
        </is>
      </c>
      <c r="F15" s="8" t="inlineStr">
        <is>
          <t>In end-2025 reporting your area reported on the related SP2030 target 7a and rated it 'Partially met'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8" t="inlineStr">
        <is>
          <t>We will report on internal engagement and partnerships contributing to Sustainability 2030 outcomes, and update our record of sustainability-focused communities of practice and contacts across the University.</t>
        </is>
      </c>
      <c r="H15" s="8" t="inlineStr">
        <is>
          <t>7a</t>
        </is>
      </c>
      <c r="I15" s="8" t="inlineStr">
        <is>
          <t>Partially met</t>
        </is>
      </c>
      <c r="J15" s="8" t="inlineStr">
        <is>
          <t>National Reconciliation Week 2025 – Partnering for Country and community</t>
        </is>
      </c>
      <c r="K15" s="8" t="inlineStr"/>
      <c r="L15" s="8" t="n"/>
      <c r="M15" s="8" t="n"/>
      <c r="N15" s="8" t="n"/>
      <c r="O15" s="8" t="n"/>
      <c r="P15" s="8" t="n"/>
      <c r="Q15" s="8" t="n"/>
      <c r="R15" s="8" t="n"/>
    </row>
    <row r="16" ht="150" customHeight="1">
      <c r="B16" s="7" t="inlineStr">
        <is>
          <t>EN1(d)</t>
        </is>
      </c>
      <c r="C16" s="50" t="inlineStr">
        <is>
          <t>Enablers</t>
        </is>
      </c>
      <c r="D16" s="50" t="inlineStr">
        <is>
          <t>Enablers</t>
        </is>
      </c>
      <c r="E16" s="50" t="inlineStr">
        <is>
          <t>Sustainability objectives integrated into governance and decision‑making processes, supported by transparent reporting.</t>
        </is>
      </c>
      <c r="F16"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8" t="inlineStr">
        <is>
          <t>We will report on how sustainability is integrated into governance and decision-making across faculties and portfolios, and use responses as a baseline for the governance enabler from 2027.</t>
        </is>
      </c>
      <c r="H16" s="8" t="inlineStr">
        <is>
          <t>N/A – new indicator</t>
        </is>
      </c>
      <c r="I16" s="8" t="inlineStr"/>
      <c r="J16" s="8" t="inlineStr"/>
      <c r="K16" s="8" t="inlineStr"/>
      <c r="L16" s="8" t="n"/>
      <c r="M16" s="8" t="n"/>
      <c r="N16" s="8" t="n"/>
      <c r="O16" s="8" t="n"/>
      <c r="P16" s="8" t="n"/>
      <c r="Q16" s="8" t="n"/>
      <c r="R16" s="8" t="n"/>
    </row>
    <row r="17"/>
  </sheetData>
  <mergeCells count="2">
    <mergeCell ref="C7:G7"/>
    <mergeCell ref="L7:R7"/>
  </mergeCells>
  <dataValidations count="2">
    <dataValidation sqref="L10:L16" showDropDown="0" showInputMessage="0" showErrorMessage="0" allowBlank="1" errorTitle="Invalid entry" error="Please select from the dropdown" type="list">
      <formula1>=Lists!$B$3:$B$7</formula1>
    </dataValidation>
    <dataValidation sqref="Q10:Q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Information Officer Group (CIOG)</t>
        </is>
      </c>
    </row>
    <row r="3">
      <c r="B3" s="20" t="inlineStr">
        <is>
          <t>Consolidated responses – paste from returned request workbooks (identical column layout). Click [+] above Columns H–K for end-2025 responses.</t>
        </is>
      </c>
    </row>
    <row r="5">
      <c r="B5" s="45" t="inlineStr">
        <is>
          <t>1.1  CIOG – Responsible AI &amp; digital</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AI1(a)</t>
        </is>
      </c>
      <c r="C10" s="50" t="inlineStr">
        <is>
          <t>Responsible AI</t>
        </is>
      </c>
      <c r="D10" s="50" t="inlineStr">
        <is>
          <t>Improve understanding of our sustainability-related risks and opportunities of AI technologies by 2028.</t>
        </is>
      </c>
      <c r="E10" s="50" t="inlineStr">
        <is>
          <t>Established measurement of estimated operational impacts and opportunities (eg operational impacts could include energy, water, emissions and intensity measures)</t>
        </is>
      </c>
      <c r="F10" s="8" t="inlineStr">
        <is>
          <t>(Reporting request TBC)</t>
        </is>
      </c>
      <c r="G10" s="8" t="inlineStr">
        <is>
          <t>We will provide a high-level overview of AI's estimated operational impacts and opportunities in 2026, ahead of more detailed measurement from 2027.</t>
        </is>
      </c>
      <c r="H10" s="8" t="inlineStr"/>
      <c r="I10" s="8" t="inlineStr"/>
      <c r="J10" s="8" t="inlineStr"/>
      <c r="K10" s="8" t="inlineStr"/>
      <c r="L10" s="8" t="n"/>
      <c r="M10" s="8" t="n"/>
      <c r="N10" s="8" t="n"/>
      <c r="O10" s="8" t="n"/>
      <c r="P10" s="8" t="n"/>
      <c r="Q10" s="8" t="n"/>
      <c r="R10" s="8" t="n"/>
    </row>
    <row r="11" ht="150" customHeight="1">
      <c r="B11" s="7" t="inlineStr">
        <is>
          <t>AI1(b)</t>
        </is>
      </c>
      <c r="C11" s="50" t="inlineStr">
        <is>
          <t>Responsible AI</t>
        </is>
      </c>
      <c r="D11" s="50" t="inlineStr">
        <is>
          <t>Improve understanding of our sustainability-related risks and opportunities of AI technologies by 2028.</t>
        </is>
      </c>
      <c r="E11" s="50" t="inlineStr">
        <is>
          <t>Case studies of sustainability and AI-related education, research and collaboration activities.</t>
        </is>
      </c>
      <c r="F11" s="8" t="inlineStr">
        <is>
          <t>Please provide case studies from your Faculty/Portfolio of sustainability and AI-related education, research or collaboration activities, describing the activity, participants or partners, sustainability issue addressed and key outcomes or lessons.</t>
        </is>
      </c>
      <c r="G11" s="8" t="inlineStr">
        <is>
          <t>We will select examples of sustainability and AI-related education, research and collaboration as case studies for the new Responsible AI section of the 2026 Sustainability Report.</t>
        </is>
      </c>
      <c r="H11" s="8" t="inlineStr"/>
      <c r="I11" s="8" t="inlineStr"/>
      <c r="J11" s="8" t="inlineStr"/>
      <c r="K11" s="8" t="inlineStr"/>
      <c r="L11" s="8" t="n"/>
      <c r="M11" s="8" t="n"/>
      <c r="N11" s="8" t="n"/>
      <c r="O11" s="8" t="n"/>
      <c r="P11" s="8" t="n"/>
      <c r="Q11" s="8" t="n"/>
      <c r="R11" s="8" t="n"/>
    </row>
    <row r="12" ht="150" customHeight="1">
      <c r="B12" s="7" t="inlineStr">
        <is>
          <t>EN1(c)</t>
        </is>
      </c>
      <c r="C12" s="50" t="inlineStr">
        <is>
          <t>Enablers</t>
        </is>
      </c>
      <c r="D12" s="50" t="inlineStr">
        <is>
          <t>Enablers</t>
        </is>
      </c>
      <c r="E12" s="50" t="inlineStr">
        <is>
          <t>Coordinated internal engagement and external partnerships contributing to delivery of sustainability outcomes across priority areas.</t>
        </is>
      </c>
      <c r="F1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c r="I12" s="8" t="inlineStr"/>
      <c r="J12" s="8" t="inlineStr"/>
      <c r="K12" s="8" t="inlineStr"/>
      <c r="L12" s="8" t="n"/>
      <c r="M12" s="8" t="n"/>
      <c r="N12" s="8" t="n"/>
      <c r="O12" s="8" t="n"/>
      <c r="P12" s="8" t="n"/>
      <c r="Q12" s="8" t="n"/>
      <c r="R12" s="8" t="n"/>
    </row>
    <row r="13" ht="150" customHeight="1">
      <c r="B13" s="7" t="inlineStr">
        <is>
          <t>EN1(d)</t>
        </is>
      </c>
      <c r="C13" s="50" t="inlineStr">
        <is>
          <t>Enablers</t>
        </is>
      </c>
      <c r="D13" s="50" t="inlineStr">
        <is>
          <t>Enablers</t>
        </is>
      </c>
      <c r="E13" s="50" t="inlineStr">
        <is>
          <t>Sustainability objectives integrated into governance and decision‑making processes, supported by transparent reporting.</t>
        </is>
      </c>
      <c r="F1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8" t="inlineStr">
        <is>
          <t>We will report on how sustainability is integrated into governance and decision-making across faculties and portfolios, and use responses as a baseline for the governance enabler from 2027.</t>
        </is>
      </c>
      <c r="H13" s="8" t="inlineStr"/>
      <c r="I13" s="8" t="inlineStr"/>
      <c r="J13" s="8" t="inlineStr"/>
      <c r="K13" s="8" t="inlineStr"/>
      <c r="L13" s="8" t="n"/>
      <c r="M13" s="8" t="n"/>
      <c r="N13" s="8" t="n"/>
      <c r="O13" s="8" t="n"/>
      <c r="P13" s="8" t="n"/>
      <c r="Q13" s="8" t="n"/>
      <c r="R13" s="8" t="n"/>
    </row>
    <row r="14"/>
  </sheetData>
  <mergeCells count="2">
    <mergeCell ref="C7:G7"/>
    <mergeCell ref="L7:R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R18"/>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Melbourne Research and Enterprise (MRE)</t>
        </is>
      </c>
    </row>
    <row r="3">
      <c r="B3" s="20" t="inlineStr">
        <is>
          <t>Consolidated responses – paste from returned request workbooks (identical column layout). Click [+] above Columns H–K for end-2025 responses.</t>
        </is>
      </c>
    </row>
    <row r="5">
      <c r="B5" s="45" t="inlineStr">
        <is>
          <t>1.1  MRE – Research (incl. MBI – TBC)</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TR1(b)</t>
        </is>
      </c>
      <c r="C10" s="50" t="inlineStr">
        <is>
          <t>Transformational research</t>
        </is>
      </c>
      <c r="D10" s="50" t="inlineStr">
        <is>
          <t>Utilise the expertise of the University’s researchers through mutually beneficial partnerships to help address the University’s operational sustainability challenges.</t>
        </is>
      </c>
      <c r="E10" s="50" t="inlineStr">
        <is>
          <t>Evidence of institutional pathways that enable ongoing collaboration between academic and professional staff</t>
        </is>
      </c>
      <c r="F10"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0" s="8" t="inlineStr">
        <is>
          <t>We will map existing academic–professional collaboration mechanisms across faculties to establish a baseline for this new indicator and identify models other faculties could adopt.</t>
        </is>
      </c>
      <c r="H10" s="8" t="inlineStr">
        <is>
          <t>N/A – new indicator</t>
        </is>
      </c>
      <c r="I10" s="8" t="inlineStr"/>
      <c r="J10" s="8" t="inlineStr"/>
      <c r="K10" s="8" t="inlineStr"/>
      <c r="L10" s="8" t="n"/>
      <c r="M10" s="8" t="n"/>
      <c r="N10" s="8" t="n"/>
      <c r="O10" s="8" t="n"/>
      <c r="P10" s="8" t="n"/>
      <c r="Q10" s="8" t="n"/>
      <c r="R10" s="8" t="n"/>
    </row>
    <row r="11" ht="150" customHeight="1">
      <c r="B11" s="7" t="inlineStr">
        <is>
          <t>TR1(c)</t>
        </is>
      </c>
      <c r="C11" s="50" t="inlineStr">
        <is>
          <t>Transformational research</t>
        </is>
      </c>
      <c r="D11" s="50" t="inlineStr">
        <is>
          <t>Utilise the expertise of the University’s researchers through mutually beneficial partnerships to help address the University’s operational sustainability challenges.</t>
        </is>
      </c>
      <c r="E11" s="50" t="inlineStr">
        <is>
          <t>Expert assessment of the quality, relevance and continuity of these collaborations</t>
        </is>
      </c>
      <c r="F11"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1" s="8" t="inlineStr">
        <is>
          <t>We will use your assessment to describe the quality and continuity of research–operations collaboration in the 2026 report, and as baseline evidence for the interim target status assessment from 2027.</t>
        </is>
      </c>
      <c r="H11" s="8" t="inlineStr">
        <is>
          <t>N/A – new indicator</t>
        </is>
      </c>
      <c r="I11" s="8" t="inlineStr"/>
      <c r="J11" s="8" t="inlineStr"/>
      <c r="K11" s="8" t="inlineStr"/>
      <c r="L11" s="8" t="n"/>
      <c r="M11" s="8" t="n"/>
      <c r="N11" s="8" t="n"/>
      <c r="O11" s="8" t="n"/>
      <c r="P11" s="8" t="n"/>
      <c r="Q11" s="8" t="n"/>
      <c r="R11" s="8" t="n"/>
    </row>
    <row r="12" ht="150" customHeight="1">
      <c r="B12" s="7" t="inlineStr">
        <is>
          <t>TR1(d)</t>
        </is>
      </c>
      <c r="C12" s="50" t="inlineStr">
        <is>
          <t>Transformational research</t>
        </is>
      </c>
      <c r="D12" s="50" t="inlineStr">
        <is>
          <t>Utilise the expertise of the University’s researchers through mutually beneficial partnerships to help address the University’s operational sustainability challenges.</t>
        </is>
      </c>
      <c r="E12" s="50" t="inlineStr">
        <is>
          <t>Periodic feedback from participants on the effectiveness and mutual benefit of collaboration mechanisms.</t>
        </is>
      </c>
      <c r="F12"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2" s="8" t="inlineStr">
        <is>
          <t>We will use any feedback to understand whether collaboration mechanisms are working and to inform improvements. Where none has been collected, this helps us plan how to gather feedback from 2027.</t>
        </is>
      </c>
      <c r="H12" s="8" t="inlineStr">
        <is>
          <t>N/A – new indicator</t>
        </is>
      </c>
      <c r="I12" s="8" t="inlineStr"/>
      <c r="J12" s="8" t="inlineStr"/>
      <c r="K12" s="8" t="inlineStr"/>
      <c r="L12" s="8" t="n"/>
      <c r="M12" s="8" t="n"/>
      <c r="N12" s="8" t="n"/>
      <c r="O12" s="8" t="n"/>
      <c r="P12" s="8" t="n"/>
      <c r="Q12" s="8" t="n"/>
      <c r="R12" s="8" t="n"/>
    </row>
    <row r="13" ht="150" customHeight="1">
      <c r="B13" s="7" t="inlineStr">
        <is>
          <t>TR2(c)</t>
        </is>
      </c>
      <c r="C13" s="50" t="inlineStr">
        <is>
          <t>Transformational research</t>
        </is>
      </c>
      <c r="D13" s="50" t="inlineStr">
        <is>
          <t>Deliver high-quality research and partnerships that contribute to sustainability outcomes and demonstrable societal benefit.</t>
        </is>
      </c>
      <c r="E13" s="50" t="inlineStr">
        <is>
          <t>Expert-reviewed summary of sustainability-related research outputs, outcomes and influence using available institutional evidence sources</t>
        </is>
      </c>
      <c r="F13" s="8" t="inlineStr">
        <is>
          <t>In end-2025 reporting your area reported on the related SP2030 target 5b(iii) and rated it 'Met or exceeded' (see Column J – click [+] above Columns I–K). Please build on this rather than repeating it, focusing on what is new in 2026.
currently mapped to the SDGs using SciVal</t>
        </is>
      </c>
      <c r="G13" s="8" t="inlineStr">
        <is>
          <t>We will use institutional research output data (e.g. SDG-mapped publications via SciVal) to provide the University-wide quantitative picture of sustainability-related research in the 2026 Sustainability Report.</t>
        </is>
      </c>
      <c r="H13" s="8" t="inlineStr">
        <is>
          <t>5b(iii)</t>
        </is>
      </c>
      <c r="I13" s="8" t="inlineStr">
        <is>
          <t>Met or exceeded</t>
        </is>
      </c>
      <c r="J13" s="8" t="inlineStr">
        <is>
          <t>The University’s research outputs continue to be extensively mentioned in patents, policy, news and social media.</t>
        </is>
      </c>
      <c r="K13" s="8" t="inlineStr"/>
      <c r="L13" s="8" t="n"/>
      <c r="M13" s="8" t="n"/>
      <c r="N13" s="8" t="n"/>
      <c r="O13" s="8" t="n"/>
      <c r="P13" s="8" t="n"/>
      <c r="Q13" s="8" t="n"/>
      <c r="R13" s="8" t="n"/>
    </row>
    <row r="14" ht="150" customHeight="1">
      <c r="B14" s="7" t="inlineStr">
        <is>
          <t>TR3(a)</t>
        </is>
      </c>
      <c r="C14" s="50" t="inlineStr">
        <is>
          <t>Transformational research</t>
        </is>
      </c>
      <c r="D14" s="50" t="inlineStr">
        <is>
          <t>Embed sustainability within research systems, processes, capability and culture, so research is conducted responsibly, efficiently and with reduced environmental impact.</t>
        </is>
      </c>
      <c r="E14" s="50" t="inlineStr">
        <is>
          <t>Evidence that sustainability considerations are integrated into relevant research systems, planning processes, guidance, training, induction or support services</t>
        </is>
      </c>
      <c r="F14" s="8" t="inlineStr">
        <is>
          <t>In end-2025 reporting your area reported on the related SP2030 target 5c(i) and rated it 'Partially met' (see Column J – click [+] above Columns I–K).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14" s="8" t="inlineStr">
        <is>
          <t>We will report on how sustainability is being built into research systems and support across the University, and use responses to establish a baseline for this new target.</t>
        </is>
      </c>
      <c r="H14" s="8" t="inlineStr">
        <is>
          <t>5c(i)</t>
        </is>
      </c>
      <c r="I14" s="8" t="inlineStr">
        <is>
          <t>Partially met</t>
        </is>
      </c>
      <c r="J14" s="8"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4" s="8" t="inlineStr"/>
      <c r="L14" s="8" t="n"/>
      <c r="M14" s="8" t="n"/>
      <c r="N14" s="8" t="n"/>
      <c r="O14" s="8" t="n"/>
      <c r="P14" s="8" t="n"/>
      <c r="Q14" s="8" t="n"/>
      <c r="R14" s="8" t="n"/>
    </row>
    <row r="15" ht="150" customHeight="1">
      <c r="B15" s="7" t="inlineStr">
        <is>
          <t>TR3(c)</t>
        </is>
      </c>
      <c r="C15" s="50" t="inlineStr">
        <is>
          <t>Transformational research</t>
        </is>
      </c>
      <c r="D15" s="50" t="inlineStr">
        <is>
          <t>Embed sustainability within research systems, processes, capability and culture, so research is conducted responsibly, efficiently and with reduced environmental impact.</t>
        </is>
      </c>
      <c r="E15" s="50" t="inlineStr">
        <is>
          <t>Evidence of progress in sustainability-related research culture, capability and awareness, informed by periodic staff and graduate researcher surveys</t>
        </is>
      </c>
      <c r="F15"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5" s="8" t="inlineStr">
        <is>
          <t>We will use any survey or capability data to describe changes in sustainability-related research culture. Where no evidence exists, this helps us plan University-wide measurement (e.g. staff and graduate researcher surveys) from 2027.</t>
        </is>
      </c>
      <c r="H15" s="8" t="inlineStr">
        <is>
          <t>N/A – new indicator</t>
        </is>
      </c>
      <c r="I15" s="8" t="inlineStr"/>
      <c r="J15" s="8" t="inlineStr"/>
      <c r="K15" s="8" t="inlineStr"/>
      <c r="L15" s="8" t="n"/>
      <c r="M15" s="8" t="n"/>
      <c r="N15" s="8" t="n"/>
      <c r="O15" s="8" t="n"/>
      <c r="P15" s="8" t="n"/>
      <c r="Q15" s="8" t="n"/>
      <c r="R15" s="8" t="n"/>
    </row>
    <row r="16" ht="150" customHeight="1">
      <c r="B16" s="7" t="inlineStr">
        <is>
          <t>TR3(d)</t>
        </is>
      </c>
      <c r="C16" s="50" t="inlineStr">
        <is>
          <t>Transformational research</t>
        </is>
      </c>
      <c r="D16" s="50" t="inlineStr">
        <is>
          <t>Embed sustainability within research systems, processes, capability and culture, so research is conducted responsibly, efficiently and with reduced environmental impact.</t>
        </is>
      </c>
      <c r="E16" s="50" t="inlineStr">
        <is>
          <t>Expert assessment of progress in embedding sustainable research practices across the institution.</t>
        </is>
      </c>
      <c r="F16" s="8" t="inlineStr">
        <is>
          <t>Faculty/Portfolio’s assessment of progress in embedding sustainable research practices, highlighting areas of strong progress, remaining gaps and priority actions for further improvement.</t>
        </is>
      </c>
      <c r="G16" s="8" t="inlineStr">
        <is>
          <t>We will use faculty self-assessments to identify strengths, gaps and priority actions in embedding sustainable research practices, to inform internal management reporting and the Transformational research working group.</t>
        </is>
      </c>
      <c r="H16" s="8" t="inlineStr">
        <is>
          <t>N/A – new indicator</t>
        </is>
      </c>
      <c r="I16" s="8" t="inlineStr"/>
      <c r="J16" s="8" t="inlineStr"/>
      <c r="K16" s="8" t="inlineStr"/>
      <c r="L16" s="8" t="n"/>
      <c r="M16" s="8" t="n"/>
      <c r="N16" s="8" t="n"/>
      <c r="O16" s="8" t="n"/>
      <c r="P16" s="8" t="n"/>
      <c r="Q16" s="8" t="n"/>
      <c r="R16" s="8" t="n"/>
    </row>
    <row r="17" ht="150" customHeight="1">
      <c r="B17" s="7" t="inlineStr">
        <is>
          <t>NB2(a)</t>
        </is>
      </c>
      <c r="C17" s="50" t="inlineStr">
        <is>
          <t>Nature and biodiversity</t>
        </is>
      </c>
      <c r="D17" s="50" t="inlineStr">
        <is>
          <t>Improve our understanding of our supply chain impacts on nature.</t>
        </is>
      </c>
      <c r="E17" s="50" t="inlineStr">
        <is>
          <t>Documented baseline nature footprint analysis</t>
        </is>
      </c>
      <c r="F17" s="8" t="inlineStr">
        <is>
          <t>Impact Encore Measurement</t>
        </is>
      </c>
      <c r="G17" s="8" t="inlineStr">
        <is>
          <t>We will report on the baseline nature footprint of the University's supply chain in the Nature and biodiversity section of the 2026 Sustainability Report.</t>
        </is>
      </c>
      <c r="H17" s="8" t="inlineStr">
        <is>
          <t>N/A – new indicator</t>
        </is>
      </c>
      <c r="I17" s="8" t="inlineStr"/>
      <c r="J17" s="8" t="inlineStr"/>
      <c r="K17" s="8" t="inlineStr"/>
      <c r="L17" s="8" t="n"/>
      <c r="M17" s="8" t="n"/>
      <c r="N17" s="8" t="n"/>
      <c r="O17" s="8" t="n"/>
      <c r="P17" s="8" t="n"/>
      <c r="Q17" s="8" t="n"/>
      <c r="R17" s="8" t="n"/>
    </row>
    <row r="18"/>
  </sheetData>
  <mergeCells count="2">
    <mergeCell ref="C7:G7"/>
    <mergeCell ref="L7:R7"/>
  </mergeCells>
  <dataValidations count="2">
    <dataValidation sqref="L10:L17" showDropDown="0" showInputMessage="0" showErrorMessage="0" allowBlank="1" errorTitle="Invalid entry" error="Please select from the dropdown" type="list">
      <formula1>=Lists!$B$3:$B$7</formula1>
    </dataValidation>
    <dataValidation sqref="Q10:Q17"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Advancement, Communication and Marketing (AC&amp;M)</t>
        </is>
      </c>
    </row>
    <row r="3">
      <c r="B3" s="20" t="inlineStr">
        <is>
          <t>Consolidated responses – paste from returned request workbooks (identical column layout). Click [+] above Columns H–K for end-2025 responses.</t>
        </is>
      </c>
    </row>
    <row r="5">
      <c r="B5" s="45" t="inlineStr">
        <is>
          <t>1.1  AC&amp;M – Advancement, Communication and Marketing</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TR2(a)</t>
        </is>
      </c>
      <c r="C10" s="50" t="inlineStr">
        <is>
          <t>Transformational research</t>
        </is>
      </c>
      <c r="D10" s="50" t="inlineStr">
        <is>
          <t>Deliver high-quality research and partnerships that contribute to sustainability outcomes and demonstrable societal benefit.</t>
        </is>
      </c>
      <c r="E10" s="50" t="inlineStr">
        <is>
          <t>Evidence of sustainability-related research impact across diverse pathways, could include policy, industry, community, practice, cultural and institutional outcomes</t>
        </is>
      </c>
      <c r="F10" s="8" t="inlineStr">
        <is>
          <t>In end-2025 reporting your area reported on the related SP2030 target 5b(ii) and rated it 'Met or exceeded' (see Column J – click [+] above Columns I–K).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0" s="8" t="inlineStr">
        <is>
          <t>We will collate research impact examples across faculties to show the breadth of sustainability-related research impact in the Transformational research section of the 2026 Sustainability Report, complementing University-wide metrics from MRE.</t>
        </is>
      </c>
      <c r="H10" s="8" t="inlineStr">
        <is>
          <t>5b(ii)</t>
        </is>
      </c>
      <c r="I10" s="8" t="inlineStr">
        <is>
          <t>Met or exceeded</t>
        </is>
      </c>
      <c r="J10"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8" t="n"/>
      <c r="M10" s="8" t="n"/>
      <c r="N10" s="8" t="n"/>
      <c r="O10" s="8" t="n"/>
      <c r="P10" s="8" t="n"/>
      <c r="Q10" s="8" t="n"/>
      <c r="R10" s="8" t="n"/>
    </row>
    <row r="11" ht="150" customHeight="1">
      <c r="B11" s="7" t="inlineStr">
        <is>
          <t>CL2(a)</t>
        </is>
      </c>
      <c r="C11" s="50" t="inlineStr">
        <is>
          <t>Climate leadership</t>
        </is>
      </c>
      <c r="D11" s="50" t="inlineStr">
        <is>
          <t>Develop understanding of our research and education programs that contribute to accelerating global decarbonisation and our own climate transition.</t>
        </is>
      </c>
      <c r="E11" s="50" t="inlineStr">
        <is>
          <t>By 2028, develop and document institutional mapping of research and education activities that are designed to contribute to global decarbonisation</t>
        </is>
      </c>
      <c r="F11"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8" t="inlineStr">
        <is>
          <t>We will use these examples to show how the University communicates climate research and learning to external audiences, and as an input to the institutional decarbonisation research and education mapping due by 2028.</t>
        </is>
      </c>
      <c r="H11" s="8" t="inlineStr">
        <is>
          <t>N/A – new indicator</t>
        </is>
      </c>
      <c r="I11" s="8" t="inlineStr"/>
      <c r="J11" s="8" t="inlineStr"/>
      <c r="K11" s="8" t="inlineStr"/>
      <c r="L11" s="8" t="n"/>
      <c r="M11" s="8" t="n"/>
      <c r="N11" s="8" t="n"/>
      <c r="O11" s="8" t="n"/>
      <c r="P11" s="8" t="n"/>
      <c r="Q11" s="8" t="n"/>
      <c r="R11" s="8" t="n"/>
    </row>
    <row r="12" ht="150" customHeight="1">
      <c r="B12" s="7" t="inlineStr">
        <is>
          <t>CL2(c)</t>
        </is>
      </c>
      <c r="C12" s="50" t="inlineStr">
        <is>
          <t>Climate leadership</t>
        </is>
      </c>
      <c r="D12" s="50" t="inlineStr">
        <is>
          <t>Develop understanding of our research and education programs that contribute to accelerating global decarbonisation and our own climate transition.</t>
        </is>
      </c>
      <c r="E12" s="50" t="inlineStr">
        <is>
          <t>Ongoing communications that evidence the University’s climate action, research and learning to inform policy, sector and community decarbonisation efforts.</t>
        </is>
      </c>
      <c r="F12" s="8" t="inlineStr">
        <is>
          <t>In end-2025 reporting your area reported on the related SP2030 target 5b(ii) and rated it 'Met or exceeded' (see Column J – click [+] above Columns I–K). Please build on this rather than repeating it, focusing on what is new in 2026.
List and describe communications from the faculty in terms of climate action, research and learning to inform policy, sector and community decarbonisation efforts</t>
        </is>
      </c>
      <c r="G12" s="8" t="inlineStr">
        <is>
          <t>We will report on the University's ongoing climate communications in the Climate leadership section of the 2026 Sustainability Report, alongside contributions from Melbourne Climate Futures and the Melbourne Energy Institute.</t>
        </is>
      </c>
      <c r="H12" s="8" t="inlineStr">
        <is>
          <t>5b(ii)</t>
        </is>
      </c>
      <c r="I12" s="8" t="inlineStr">
        <is>
          <t>Met or exceeded</t>
        </is>
      </c>
      <c r="J12"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8" t="n"/>
      <c r="M12" s="8" t="n"/>
      <c r="N12" s="8" t="n"/>
      <c r="O12" s="8" t="n"/>
      <c r="P12" s="8" t="n"/>
      <c r="Q12" s="8" t="n"/>
      <c r="R12" s="8" t="n"/>
    </row>
    <row r="13" ht="150" customHeight="1">
      <c r="B13" s="7" t="inlineStr">
        <is>
          <t>EN1(c)</t>
        </is>
      </c>
      <c r="C13" s="50" t="inlineStr">
        <is>
          <t>Enablers</t>
        </is>
      </c>
      <c r="D13" s="50" t="inlineStr">
        <is>
          <t>Enablers</t>
        </is>
      </c>
      <c r="E13" s="50" t="inlineStr">
        <is>
          <t>Coordinated internal engagement and external partnerships contributing to delivery of sustainability outcomes across priority areas.</t>
        </is>
      </c>
      <c r="F13" s="8" t="inlineStr">
        <is>
          <t>In end-2025 reporting your area reported on the related SP2030 target 3e and rated it 'Met or exceeded'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3" s="8" t="inlineStr">
        <is>
          <t>We will report on internal engagement and partnerships contributing to Sustainability 2030 outcomes, and update our record of sustainability-focused communities of practice and contacts across the University.</t>
        </is>
      </c>
      <c r="H13" s="8" t="inlineStr">
        <is>
          <t>3e</t>
        </is>
      </c>
      <c r="I13" s="8" t="inlineStr">
        <is>
          <t>Met or exceeded</t>
        </is>
      </c>
      <c r="J13" s="8"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8" t="inlineStr"/>
      <c r="L13" s="8" t="n"/>
      <c r="M13" s="8" t="n"/>
      <c r="N13" s="8" t="n"/>
      <c r="O13" s="8" t="n"/>
      <c r="P13" s="8" t="n"/>
      <c r="Q13" s="8" t="n"/>
      <c r="R13" s="8" t="n"/>
    </row>
    <row r="14"/>
  </sheetData>
  <mergeCells count="2">
    <mergeCell ref="C7:G7"/>
    <mergeCell ref="L7:R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Global, Culture and Engagement (GCE)</t>
        </is>
      </c>
    </row>
    <row r="3">
      <c r="B3" s="20" t="inlineStr">
        <is>
          <t>Consolidated responses – paste from returned request workbooks (identical column layout). Click [+] above Columns H–K for end-2025 responses.</t>
        </is>
      </c>
    </row>
    <row r="5">
      <c r="B5" s="45" t="inlineStr">
        <is>
          <t>1.1  GCE – Global, Culture and Engagement</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EN1(a)</t>
        </is>
      </c>
      <c r="C10" s="50" t="inlineStr">
        <is>
          <t>Enablers</t>
        </is>
      </c>
      <c r="D10" s="50" t="inlineStr">
        <is>
          <t>Enablers</t>
        </is>
      </c>
      <c r="E10" s="50" t="inlineStr">
        <is>
          <t>Evidence of sustainability outcomes informed by Indigenous knowledges</t>
        </is>
      </c>
      <c r="F1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N/A – new indicator</t>
        </is>
      </c>
      <c r="I10" s="8" t="inlineStr"/>
      <c r="J10" s="8" t="inlineStr"/>
      <c r="K10" s="8" t="inlineStr"/>
      <c r="L10" s="8" t="n"/>
      <c r="M10" s="8" t="n"/>
      <c r="N10" s="8" t="n"/>
      <c r="O10" s="8" t="n"/>
      <c r="P10" s="8" t="n"/>
      <c r="Q10" s="8" t="n"/>
      <c r="R10" s="8" t="n"/>
    </row>
    <row r="11" ht="150" customHeight="1">
      <c r="B11" s="7" t="inlineStr">
        <is>
          <t>EN1(c)</t>
        </is>
      </c>
      <c r="C11" s="50" t="inlineStr">
        <is>
          <t>Enablers</t>
        </is>
      </c>
      <c r="D11" s="50" t="inlineStr">
        <is>
          <t>Enablers</t>
        </is>
      </c>
      <c r="E11" s="50" t="inlineStr">
        <is>
          <t>Coordinated internal engagement and external partnerships contributing to delivery of sustainability outcomes across priority areas.</t>
        </is>
      </c>
      <c r="F11" s="8" t="inlineStr">
        <is>
          <t>In end-2025 reporting your area reported on the related SP2030 target 7c(ii) and rated it 'Met or exceeded'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1" s="8" t="inlineStr">
        <is>
          <t>We will report on internal engagement and partnerships contributing to Sustainability 2030 outcomes, and update our record of sustainability-focused communities of practice and contacts across the University.</t>
        </is>
      </c>
      <c r="H11" s="8" t="inlineStr">
        <is>
          <t>7c(ii)</t>
        </is>
      </c>
      <c r="I11" s="8" t="inlineStr">
        <is>
          <t>Met or exceeded</t>
        </is>
      </c>
      <c r="J11" s="8"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8"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8" t="n"/>
      <c r="M11" s="8" t="n"/>
      <c r="N11" s="8" t="n"/>
      <c r="O11" s="8" t="n"/>
      <c r="P11" s="8" t="n"/>
      <c r="Q11" s="8" t="n"/>
      <c r="R11" s="8" t="n"/>
    </row>
    <row r="12"/>
  </sheetData>
  <mergeCells count="2">
    <mergeCell ref="C7:G7"/>
    <mergeCell ref="L7:R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0"/>
    <pageSetUpPr/>
  </sheetPr>
  <dimension ref="A1:R13"/>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Chancellery Education</t>
        </is>
      </c>
    </row>
    <row r="3">
      <c r="B3" s="20" t="inlineStr">
        <is>
          <t>Consolidated responses – paste from returned request workbooks (identical column layout). Click [+] above Columns H–K for end-2025 responses.</t>
        </is>
      </c>
    </row>
    <row r="5">
      <c r="B5" s="45" t="inlineStr">
        <is>
          <t>1.1  Education – Chancellery Education</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EE1(a)</t>
        </is>
      </c>
      <c r="C10" s="50" t="inlineStr">
        <is>
          <t>Exceptional education</t>
        </is>
      </c>
      <c r="D10" s="50" t="inlineStr">
        <is>
          <t>Provide our students with learning experiences that help them build the knowledge, skills and relationships to lead change for sustainable societies.</t>
        </is>
      </c>
      <c r="E10" s="50" t="inlineStr">
        <is>
          <t>Evidence of innovative approaches to sustainability teaching and learning</t>
        </is>
      </c>
      <c r="F10" s="8" t="inlineStr">
        <is>
          <t>In end-2025 reporting your area reported on the related SP2030 target 4a(ii) and rated it 'Not yet started' (see Column J – click [+] above Columns I–K).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Not yet started</t>
        </is>
      </c>
      <c r="J10" s="8"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8" t="inlineStr">
        <is>
          <t>As per mid-2025: this is unfunded (including new curriculum management system). Faculties are pursuing this but central efforts are on hold.</t>
        </is>
      </c>
      <c r="L10" s="8" t="n"/>
      <c r="M10" s="8" t="n"/>
      <c r="N10" s="8" t="n"/>
      <c r="O10" s="8" t="n"/>
      <c r="P10" s="8" t="n"/>
      <c r="Q10" s="8" t="n"/>
      <c r="R10" s="8" t="n"/>
    </row>
    <row r="11" ht="150" customHeight="1">
      <c r="B11" s="7" t="inlineStr">
        <is>
          <t>EE1(b)</t>
        </is>
      </c>
      <c r="C11" s="50" t="inlineStr">
        <is>
          <t>Exceptional education</t>
        </is>
      </c>
      <c r="D11" s="50" t="inlineStr">
        <is>
          <t>Provide our students with learning experiences that help them build the knowledge, skills and relationships to lead change for sustainable societies.</t>
        </is>
      </c>
      <c r="E11" s="50" t="inlineStr">
        <is>
          <t>Pilots of possible approaches for understanding and developing students’ sustainability self-efficacy</t>
        </is>
      </c>
      <c r="F11"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c r="R11" s="8" t="n"/>
    </row>
    <row r="12" ht="150" customHeight="1">
      <c r="B12" s="7" t="inlineStr">
        <is>
          <t>EN1(c)</t>
        </is>
      </c>
      <c r="C12" s="50" t="inlineStr">
        <is>
          <t>Enablers</t>
        </is>
      </c>
      <c r="D12" s="50" t="inlineStr">
        <is>
          <t>Enablers</t>
        </is>
      </c>
      <c r="E12" s="50" t="inlineStr">
        <is>
          <t>Coordinated internal engagement and external partnerships contributing to delivery of sustainability outcomes across priority areas.</t>
        </is>
      </c>
      <c r="F12" s="8"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is>
          <t>3a(ii)</t>
        </is>
      </c>
      <c r="I12" s="8" t="inlineStr"/>
      <c r="J12" s="8" t="inlineStr"/>
      <c r="K12" s="8" t="inlineStr">
        <is>
          <t>As per mid-2025: this is not relevant to Ed portfolio. Suggest removing.</t>
        </is>
      </c>
      <c r="L12" s="8" t="n"/>
      <c r="M12" s="8" t="n"/>
      <c r="N12" s="8" t="n"/>
      <c r="O12" s="8" t="n"/>
      <c r="P12" s="8" t="n"/>
      <c r="Q12" s="8" t="n"/>
      <c r="R12" s="8" t="n"/>
    </row>
    <row r="13"/>
  </sheetData>
  <mergeCells count="2">
    <mergeCell ref="C7:G7"/>
    <mergeCell ref="L7:R7"/>
  </mergeCells>
  <dataValidations count="2">
    <dataValidation sqref="L10:L12" showDropDown="0" showInputMessage="0" showErrorMessage="0" allowBlank="1" errorTitle="Invalid entry" error="Please select from the dropdown" type="list">
      <formula1>=Lists!$B$3:$B$7</formula1>
    </dataValidation>
    <dataValidation sqref="Q10:Q12"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Student and Scholarly Services (SaSS)</t>
        </is>
      </c>
    </row>
    <row r="3">
      <c r="B3" s="20" t="inlineStr">
        <is>
          <t>Consolidated responses – paste from returned request workbooks (identical column layout). Click [+] above Columns H–K for end-2025 responses.</t>
        </is>
      </c>
    </row>
    <row r="5">
      <c r="B5" s="45" t="inlineStr">
        <is>
          <t>1.1  SaSS – Student and Scholarly Services</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EE1(c)</t>
        </is>
      </c>
      <c r="C10" s="50" t="inlineStr">
        <is>
          <t>Exceptional education</t>
        </is>
      </c>
      <c r="D10" s="50" t="inlineStr">
        <is>
          <t>Provide our students with learning experiences that help them build the knowledge, skills and relationships to lead change for sustainable societies.</t>
        </is>
      </c>
      <c r="E10" s="50" t="inlineStr">
        <is>
          <t>Evidence of sustainability focused experiential and co curricular learning (eg Wattle Fellowship; Melbourne Plus)</t>
        </is>
      </c>
      <c r="F10" s="8" t="inlineStr">
        <is>
          <t>In end-2025 reporting your area reported on the related SP2030 target 3b(vii) and rated it 'Met or exceeded' (see Column J – click [+] above Columns I–K).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10" s="8" t="inlineStr">
        <is>
          <t>We will combine faculty examples with central Wattle Fellowship and Melbourne Plus data to report on the range and reach of sustainability-focused experiential and co-curricular learning across the University.</t>
        </is>
      </c>
      <c r="H10" s="8" t="inlineStr">
        <is>
          <t>3b(vii)</t>
        </is>
      </c>
      <c r="I10" s="8" t="inlineStr">
        <is>
          <t>Met or exceeded</t>
        </is>
      </c>
      <c r="J10" s="8" t="inlineStr">
        <is>
          <t>Number of student particpation in a sustainability activity in 2025: 466 (14% increase YTY from 2024).
Number of total credentials released for Sustainability Advocacy in 2025: 297 (29% increase YTY from 2024)</t>
        </is>
      </c>
      <c r="K10" s="8" t="inlineStr">
        <is>
          <t>See also case studies on Melbourne Plus in the Chanc. Ed. SASS spreadsheet.</t>
        </is>
      </c>
      <c r="L10" s="8" t="n"/>
      <c r="M10" s="8" t="n"/>
      <c r="N10" s="8" t="n"/>
      <c r="O10" s="8" t="n"/>
      <c r="P10" s="8" t="n"/>
      <c r="Q10" s="8" t="n"/>
      <c r="R10" s="8" t="n"/>
    </row>
    <row r="11" ht="150" customHeight="1">
      <c r="B11" s="7" t="inlineStr">
        <is>
          <t>EE1(d)</t>
        </is>
      </c>
      <c r="C11" s="50" t="inlineStr">
        <is>
          <t>Exceptional education</t>
        </is>
      </c>
      <c r="D11" s="50" t="inlineStr">
        <is>
          <t>Provide our students with learning experiences that help them build the knowledge, skills and relationships to lead change for sustainable societies.</t>
        </is>
      </c>
      <c r="E11" s="50" t="inlineStr">
        <is>
          <t>Alumni profiles demonstrating how graduates contribute to sustainability through their careers or communities.</t>
        </is>
      </c>
      <c r="F11" s="8" t="inlineStr">
        <is>
          <t>In end-2025 reporting your area reported on the related SP2030 target 3b(ii) and rated it 'Met or exceeded' (see Column J – click [+] above Columns I–K). Please build on this rather than repeating it, focusing on what is new in 2026.
Can you list any notable alumni working in sustainability? (Name, course and graduating year, a short summary and a link to a profile if available; please note whether consent to be featured is likely.)</t>
        </is>
      </c>
      <c r="G11" s="8" t="inlineStr">
        <is>
          <t>We will use nominated alumni to develop short graduate profiles for the 2026 Sustainability Report (subject to consent), and record any faculty approaches to tracking graduate outcomes to inform how this indicator is measured from 2027.</t>
        </is>
      </c>
      <c r="H11" s="8" t="inlineStr">
        <is>
          <t>3b(ii)</t>
        </is>
      </c>
      <c r="I11" s="8" t="inlineStr">
        <is>
          <t>Met or exceeded</t>
        </is>
      </c>
      <c r="J11" s="8"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8" t="inlineStr">
        <is>
          <t>See details in Chancellery Ed. (SASS) spreadsheet, including data on sustainability-themed event participation in UOM managed student accommodation</t>
        </is>
      </c>
      <c r="L11" s="8" t="n"/>
      <c r="M11" s="8" t="n"/>
      <c r="N11" s="8" t="n"/>
      <c r="O11" s="8" t="n"/>
      <c r="P11" s="8" t="n"/>
      <c r="Q11" s="8" t="n"/>
      <c r="R11" s="8" t="n"/>
    </row>
    <row r="12"/>
  </sheetData>
  <mergeCells count="2">
    <mergeCell ref="C7:G7"/>
    <mergeCell ref="L7:R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Chancellery Indigenous</t>
        </is>
      </c>
    </row>
    <row r="3">
      <c r="B3" s="20" t="inlineStr">
        <is>
          <t>Consolidated responses – paste from returned request workbooks (identical column layout). Click [+] above Columns H–K for end-2025 responses.</t>
        </is>
      </c>
    </row>
    <row r="5">
      <c r="B5" s="45" t="inlineStr">
        <is>
          <t>1.1  Indigenous – Chancellery Indigenous</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EN1(a)</t>
        </is>
      </c>
      <c r="C10" s="50" t="inlineStr">
        <is>
          <t>Enablers</t>
        </is>
      </c>
      <c r="D10" s="50" t="inlineStr">
        <is>
          <t>Enablers</t>
        </is>
      </c>
      <c r="E10" s="50" t="inlineStr">
        <is>
          <t>Evidence of sustainability outcomes informed by Indigenous knowledges</t>
        </is>
      </c>
      <c r="F10" s="8" t="inlineStr">
        <is>
          <t>We did not receive an end-2025 response for the related SP2030 target 6a, so please include any relevant activity from across 2026.
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6a</t>
        </is>
      </c>
      <c r="I10" s="8" t="inlineStr"/>
      <c r="J10" s="8" t="inlineStr"/>
      <c r="K10" s="8" t="inlineStr"/>
      <c r="L10" s="8" t="n"/>
      <c r="M10" s="8" t="n"/>
      <c r="N10" s="8" t="n"/>
      <c r="O10" s="8" t="n"/>
      <c r="P10" s="8" t="n"/>
      <c r="Q10" s="8" t="n"/>
      <c r="R10" s="8" t="n"/>
    </row>
    <row r="11"/>
  </sheetData>
  <mergeCells count="2">
    <mergeCell ref="C7:G7"/>
    <mergeCell ref="L7:R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Legal and Risk</t>
        </is>
      </c>
    </row>
    <row r="3">
      <c r="B3" s="20" t="inlineStr">
        <is>
          <t>Consolidated responses – paste from returned request workbooks (identical column layout). Click [+] above Columns H–K for end-2025 responses.</t>
        </is>
      </c>
    </row>
    <row r="5">
      <c r="B5" s="45" t="inlineStr">
        <is>
          <t>1.1  Legal &amp; Risk – Risk &amp; resilience</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CL3(a)</t>
        </is>
      </c>
      <c r="C10" s="50" t="inlineStr">
        <is>
          <t>Climate leadership</t>
        </is>
      </c>
      <c r="D10" s="50" t="inlineStr">
        <is>
          <t>Reach and maintain high levels of climate-change resilience maturity</t>
        </is>
      </c>
      <c r="E10"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In end-2025 reporting your area reported on the related SP2030 target 8a(i) and rated it 'Met or exceeded' (see Column J – click [+] above Columns I–K). Please build on this rather than repeating it, focusing on what is new in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Met or exceeded</t>
        </is>
      </c>
      <c r="J10" s="8"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8" t="inlineStr">
        <is>
          <t>All University risks including Risk 16 Climate Change were presented to RMCC and ARC in Nov 25 for their oversight.
There will be a risk presentation of Risk 16 Climate Change at RMCC Meeting 1 in Feb 2026.</t>
        </is>
      </c>
      <c r="L10" s="8" t="n"/>
      <c r="M10" s="8" t="n"/>
      <c r="N10" s="8" t="n"/>
      <c r="O10" s="8" t="n"/>
      <c r="P10" s="8" t="n"/>
      <c r="Q10" s="8" t="n"/>
      <c r="R10" s="8" t="n"/>
    </row>
    <row r="11"/>
  </sheetData>
  <mergeCells count="2">
    <mergeCell ref="C7:G7"/>
    <mergeCell ref="L7:R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K238"/>
  <sheetViews>
    <sheetView showGridLines="0" workbookViewId="0">
      <pane xSplit="7" ySplit="10" topLeftCell="H11" activePane="bottomRight" state="frozen"/>
      <selection pane="topRigh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s>
  <sheetData>
    <row r="1">
      <c r="A1" s="1" t="inlineStr">
        <is>
          <t>↑</t>
        </is>
      </c>
      <c r="B1" s="2" t="inlineStr">
        <is>
          <t>End-2026 target status assessment and reporting</t>
        </is>
      </c>
    </row>
    <row r="2">
      <c r="B2" s="3" t="inlineStr">
        <is>
          <t>A1. Data scoring summary tab</t>
        </is>
      </c>
    </row>
    <row r="4">
      <c r="C4" s="32" t="inlineStr">
        <is>
          <t>Description</t>
        </is>
      </c>
      <c r="D4" s="9" t="inlineStr">
        <is>
          <t>Pulls every unit's end-2026 response for each indicator from the Faculties and central-unit tabs (do not type in the grey cells). 'N/A' = not requested from that unit. Status is scored Met or exceeded = 3, Partially met = 2, Not met = 1, Not yet started = 0 (as SR25). Threshold status applies the SR25 final assessment rule: &gt;75% 'met' = Met or exceeded; 50–75% 'met' or 'partially met' = Partially met; otherwise Not met.</t>
        </is>
      </c>
    </row>
    <row r="5"/>
    <row r="6"/>
    <row r="9">
      <c r="H9" s="51" t="inlineStr">
        <is>
          <t>Faculty</t>
        </is>
      </c>
      <c r="I9" s="51" t="inlineStr">
        <is>
          <t>Faculty</t>
        </is>
      </c>
      <c r="J9" s="51" t="inlineStr">
        <is>
          <t>Faculty</t>
        </is>
      </c>
      <c r="K9" s="51" t="inlineStr">
        <is>
          <t>Faculty</t>
        </is>
      </c>
      <c r="L9" s="51" t="inlineStr">
        <is>
          <t>Central</t>
        </is>
      </c>
      <c r="M9" s="51" t="inlineStr">
        <is>
          <t>Central</t>
        </is>
      </c>
      <c r="N9" s="51" t="inlineStr">
        <is>
          <t>Central</t>
        </is>
      </c>
      <c r="O9" s="51" t="inlineStr">
        <is>
          <t>Central</t>
        </is>
      </c>
      <c r="P9" s="51" t="inlineStr">
        <is>
          <t>Central</t>
        </is>
      </c>
      <c r="Q9" s="51" t="inlineStr">
        <is>
          <t>Central</t>
        </is>
      </c>
      <c r="R9" s="51" t="inlineStr">
        <is>
          <t>Central</t>
        </is>
      </c>
      <c r="S9" s="51" t="inlineStr">
        <is>
          <t>Central</t>
        </is>
      </c>
      <c r="T9" s="51" t="inlineStr">
        <is>
          <t>Central</t>
        </is>
      </c>
      <c r="U9" s="51" t="inlineStr">
        <is>
          <t>Central</t>
        </is>
      </c>
      <c r="V9" s="51" t="inlineStr">
        <is>
          <t>Central</t>
        </is>
      </c>
      <c r="W9" s="51" t="inlineStr">
        <is>
          <t>Central</t>
        </is>
      </c>
      <c r="X9" s="51" t="inlineStr">
        <is>
          <t>Central</t>
        </is>
      </c>
    </row>
    <row r="10">
      <c r="B10" s="6" t="inlineStr">
        <is>
          <t>Ref.</t>
        </is>
      </c>
      <c r="C10" s="6" t="inlineStr">
        <is>
          <t>Priority area</t>
        </is>
      </c>
      <c r="D10" s="6" t="inlineStr">
        <is>
          <t>Indicator</t>
        </is>
      </c>
      <c r="E10" s="6" t="inlineStr">
        <is>
          <t>Reporting requirement</t>
        </is>
      </c>
      <c r="F10" s="6" t="inlineStr">
        <is>
          <t>Target code</t>
        </is>
      </c>
      <c r="G10" s="6" t="inlineStr">
        <is>
          <t>Target progress</t>
        </is>
      </c>
      <c r="H10" s="6" t="inlineStr">
        <is>
          <t>ABP</t>
        </is>
      </c>
      <c r="I10" s="6" t="inlineStr">
        <is>
          <t>ARTS</t>
        </is>
      </c>
      <c r="J10" s="6" t="inlineStr">
        <is>
          <t>FBE</t>
        </is>
      </c>
      <c r="K10" s="6" t="inlineStr">
        <is>
          <t>SCI</t>
        </is>
      </c>
      <c r="L10" s="6" t="inlineStr">
        <is>
          <t>CI&amp;S – Estate Planning &amp; Development</t>
        </is>
      </c>
      <c r="M10" s="6" t="inlineStr">
        <is>
          <t>CI&amp;S – Sustainability Strategy</t>
        </is>
      </c>
      <c r="N10" s="6" t="inlineStr">
        <is>
          <t>CFOG – Procurement</t>
        </is>
      </c>
      <c r="O10" s="6" t="inlineStr">
        <is>
          <t>CFOG – Treasury &amp; Investments</t>
        </is>
      </c>
      <c r="P10" s="6" t="inlineStr">
        <is>
          <t>ESG – Campus Operations &amp; Sustainability Delivery</t>
        </is>
      </c>
      <c r="Q10" s="6" t="inlineStr">
        <is>
          <t>CIOG – Responsible AI &amp; digital</t>
        </is>
      </c>
      <c r="R10" s="6" t="inlineStr">
        <is>
          <t>MRE – Research</t>
        </is>
      </c>
      <c r="S10" s="6" t="inlineStr">
        <is>
          <t>AC&amp;M – Advancement, Communication and Marketing</t>
        </is>
      </c>
      <c r="T10" s="6" t="inlineStr">
        <is>
          <t>GCE – Global, Culture and Engagement</t>
        </is>
      </c>
      <c r="U10" s="6" t="inlineStr">
        <is>
          <t>Education – Chancellery Education</t>
        </is>
      </c>
      <c r="V10" s="6" t="inlineStr">
        <is>
          <t>SaSS – Student and Scholarly Services</t>
        </is>
      </c>
      <c r="W10" s="6" t="inlineStr">
        <is>
          <t>Indigenous – Chancellery Indigenous</t>
        </is>
      </c>
      <c r="X10" s="6" t="inlineStr">
        <is>
          <t>Legal &amp; Risk – Risk &amp; resilience</t>
        </is>
      </c>
      <c r="Y10" s="6" t="n"/>
      <c r="Z10" s="6" t="inlineStr">
        <is>
          <t>Requested, no response received</t>
        </is>
      </c>
      <c r="AA10" s="6" t="inlineStr">
        <is>
          <t>Not yet started</t>
        </is>
      </c>
      <c r="AB10" s="6" t="inlineStr">
        <is>
          <t>Not met</t>
        </is>
      </c>
      <c r="AC10" s="6" t="inlineStr">
        <is>
          <t>Partially met</t>
        </is>
      </c>
      <c r="AD10" s="6" t="inlineStr">
        <is>
          <t>Met or exceeded</t>
        </is>
      </c>
      <c r="AE10" s="6" t="inlineStr">
        <is>
          <t>Total score</t>
        </is>
      </c>
      <c r="AF10" s="6" t="inlineStr">
        <is>
          <t>Total valid responses</t>
        </is>
      </c>
      <c r="AG10" s="6" t="inlineStr">
        <is>
          <t>Target score (average)</t>
        </is>
      </c>
      <c r="AH10" s="6" t="inlineStr">
        <is>
          <t>Target score (text)</t>
        </is>
      </c>
      <c r="AI10" s="6" t="inlineStr">
        <is>
          <t>% met</t>
        </is>
      </c>
      <c r="AJ10" s="6" t="inlineStr">
        <is>
          <t>% met or partially met</t>
        </is>
      </c>
      <c r="AK10" s="6" t="inlineStr">
        <is>
          <t>Threshold status (SR25 rule)</t>
        </is>
      </c>
    </row>
    <row r="11">
      <c r="A11">
        <f>F11&amp;"|"&amp;G11</f>
        <v/>
      </c>
      <c r="B11" s="7" t="inlineStr">
        <is>
          <t>EE1(a)</t>
        </is>
      </c>
      <c r="C11" s="50" t="inlineStr">
        <is>
          <t>Exceptional education</t>
        </is>
      </c>
      <c r="D11" s="50" t="inlineStr">
        <is>
          <t>Evidence of innovative approaches to sustainability teaching and learning</t>
        </is>
      </c>
      <c r="E11" s="50"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50" t="inlineStr">
        <is>
          <t>EE1(a)</t>
        </is>
      </c>
      <c r="G11" s="50" t="inlineStr">
        <is>
          <t>Confirm end-2026 target status</t>
        </is>
      </c>
      <c r="H11" s="52">
        <f>IFERROR(IF(INDEX('Faculties'!$L$10:$L$19,MATCH($F11,'Faculties'!$B$10:$B$19,0))="","Cell will autofill based on response",INDEX('Faculties'!$L$10:$L$19,MATCH($F11,'Faculties'!$B$10:$B$19,0))),"N/A")</f>
        <v/>
      </c>
      <c r="I11" s="52">
        <f>IFERROR(IF(INDEX('Faculties'!$L$26:$L$35,MATCH($F11,'Faculties'!$B$26:$B$35,0))="","Cell will autofill based on response",INDEX('Faculties'!$L$26:$L$35,MATCH($F11,'Faculties'!$B$26:$B$35,0))),"N/A")</f>
        <v/>
      </c>
      <c r="J11" s="52">
        <f>IFERROR(IF(INDEX('Faculties'!$L$42:$L$51,MATCH($F11,'Faculties'!$B$42:$B$51,0))="","Cell will autofill based on response",INDEX('Faculties'!$L$42:$L$51,MATCH($F11,'Faculties'!$B$42:$B$51,0))),"N/A")</f>
        <v/>
      </c>
      <c r="K11" s="52">
        <f>IFERROR(IF(INDEX('Faculties'!$L$58:$L$67,MATCH($F11,'Faculties'!$B$58:$B$67,0))="","Cell will autofill based on response",INDEX('Faculties'!$L$58:$L$67,MATCH($F11,'Faculties'!$B$58:$B$67,0))),"N/A")</f>
        <v/>
      </c>
      <c r="L11" s="52">
        <f>IFERROR(IF(INDEX('CI&amp;S'!$L$10:$L$15,MATCH($F11,'CI&amp;S'!$B$10:$B$15,0))="","Cell will autofill based on response",INDEX('CI&amp;S'!$L$10:$L$15,MATCH($F11,'CI&amp;S'!$B$10:$B$15,0))),"N/A")</f>
        <v/>
      </c>
      <c r="M11" s="52">
        <f>IFERROR(IF(INDEX('CI&amp;S'!$L$22:$L$36,MATCH($F11,'CI&amp;S'!$B$22:$B$36,0))="","Cell will autofill based on response",INDEX('CI&amp;S'!$L$22:$L$36,MATCH($F11,'CI&amp;S'!$B$22:$B$36,0))),"N/A")</f>
        <v/>
      </c>
      <c r="N11" s="52">
        <f>IFERROR(IF(INDEX('CFOG'!$L$10:$L$16,MATCH($F11,'CFOG'!$B$10:$B$16,0))="","Cell will autofill based on response",INDEX('CFOG'!$L$10:$L$16,MATCH($F11,'CFOG'!$B$10:$B$16,0))),"N/A")</f>
        <v/>
      </c>
      <c r="O11" s="52">
        <f>IFERROR(IF(INDEX('CFOG'!$L$23:$L$24,MATCH($F11,'CFOG'!$B$23:$B$24,0))="","Cell will autofill based on response",INDEX('CFOG'!$L$23:$L$24,MATCH($F11,'CFOG'!$B$23:$B$24,0))),"N/A")</f>
        <v/>
      </c>
      <c r="P11" s="52">
        <f>IFERROR(IF(INDEX('ESG'!$L$10:$L$17,MATCH($F11,'ESG'!$B$10:$B$17,0))="","Cell will autofill based on response",INDEX('ESG'!$L$10:$L$17,MATCH($F11,'ESG'!$B$10:$B$17,0))),"N/A")</f>
        <v/>
      </c>
      <c r="Q11" s="52">
        <f>IFERROR(IF(INDEX('CIOG'!$L$10:$L$14,MATCH($F11,'CIOG'!$B$10:$B$14,0))="","Cell will autofill based on response",INDEX('CIOG'!$L$10:$L$14,MATCH($F11,'CIOG'!$B$10:$B$14,0))),"N/A")</f>
        <v/>
      </c>
      <c r="R11" s="52">
        <f>IFERROR(IF(INDEX('MRE'!$L$10:$L$18,MATCH($F11,'MRE'!$B$10:$B$18,0))="","Cell will autofill based on response",INDEX('MRE'!$L$10:$L$18,MATCH($F11,'MRE'!$B$10:$B$18,0))),"N/A")</f>
        <v/>
      </c>
      <c r="S11" s="52">
        <f>IFERROR(IF(INDEX('AC&amp;M'!$L$10:$L$14,MATCH($F11,'AC&amp;M'!$B$10:$B$14,0))="","Cell will autofill based on response",INDEX('AC&amp;M'!$L$10:$L$14,MATCH($F11,'AC&amp;M'!$B$10:$B$14,0))),"N/A")</f>
        <v/>
      </c>
      <c r="T11" s="52">
        <f>IFERROR(IF(INDEX('GCE'!$L$10:$L$12,MATCH($F11,'GCE'!$B$10:$B$12,0))="","Cell will autofill based on response",INDEX('GCE'!$L$10:$L$12,MATCH($F11,'GCE'!$B$10:$B$12,0))),"N/A")</f>
        <v/>
      </c>
      <c r="U11" s="52">
        <f>IFERROR(IF(INDEX('Education'!$L$10:$L$13,MATCH($F11,'Education'!$B$10:$B$13,0))="","Cell will autofill based on response",INDEX('Education'!$L$10:$L$13,MATCH($F11,'Education'!$B$10:$B$13,0))),"N/A")</f>
        <v/>
      </c>
      <c r="V11" s="52">
        <f>IFERROR(IF(INDEX('SaSS'!$L$10:$L$12,MATCH($F11,'SaSS'!$B$10:$B$12,0))="","Cell will autofill based on response",INDEX('SaSS'!$L$10:$L$12,MATCH($F11,'SaSS'!$B$10:$B$12,0))),"N/A")</f>
        <v/>
      </c>
      <c r="W11" s="52">
        <f>IFERROR(IF(INDEX('Indigenous'!$L$10:$L$11,MATCH($F11,'Indigenous'!$B$10:$B$11,0))="","Cell will autofill based on response",INDEX('Indigenous'!$L$10:$L$11,MATCH($F11,'Indigenous'!$B$10:$B$11,0))),"N/A")</f>
        <v/>
      </c>
      <c r="X11" s="52">
        <f>IFERROR(IF(INDEX('L&amp;R'!$L$10:$L$11,MATCH($F11,'L&amp;R'!$B$10:$B$11,0))="","Cell will autofill based on response",INDEX('L&amp;R'!$L$10:$L$11,MATCH($F11,'L&amp;R'!$B$10:$B$11,0))),"N/A")</f>
        <v/>
      </c>
      <c r="Z11" s="10">
        <f>COUNTIF($H11:$X11,"Cell will autofill based on response")</f>
        <v/>
      </c>
      <c r="AA11" s="10">
        <f>COUNTIF($H11:$X11,"Not yet started")</f>
        <v/>
      </c>
      <c r="AB11" s="10">
        <f>COUNTIF($H11:$X11,"Not met")</f>
        <v/>
      </c>
      <c r="AC11" s="10">
        <f>COUNTIF($H11:$X11,"Partially met")</f>
        <v/>
      </c>
      <c r="AD11" s="10">
        <f>COUNTIF($H11:$X11,"Met or exceeded")</f>
        <v/>
      </c>
      <c r="AE11" s="10">
        <f>3*AD11+2*AC11+AB11</f>
        <v/>
      </c>
      <c r="AF11" s="10">
        <f>AD11+AC11+AB11+AA11</f>
        <v/>
      </c>
      <c r="AG11" s="53">
        <f>IF(AF11&gt;0,AE11/AF11,"No valid responses to date")</f>
        <v/>
      </c>
      <c r="AH11" s="10">
        <f>IF(ISNUMBER(AG11),INDEX(Lists!$G$2:$G$5,MATCH(ROUND(AG11,0),Lists!$H$2:$H$5,0)),"")</f>
        <v/>
      </c>
      <c r="AI11" s="54">
        <f>IF(AF11&gt;0,AD11/AF11,"")</f>
        <v/>
      </c>
      <c r="AJ11" s="54">
        <f>IF(AF11&gt;0,(AD11+AC11)/AF11,"")</f>
        <v/>
      </c>
      <c r="AK11" s="10">
        <f>IF(AF11=0,"",IF(AI11&gt;0.75,"Met or exceeded",IF(AJ11&gt;=0.5,"Partially met","Not met")))</f>
        <v/>
      </c>
    </row>
    <row r="12">
      <c r="A12">
        <f>F12&amp;"|"&amp;G12</f>
        <v/>
      </c>
      <c r="B12" s="13" t="inlineStr"/>
      <c r="C12" s="8" t="inlineStr"/>
      <c r="D12" s="8" t="inlineStr"/>
      <c r="E12" s="8" t="inlineStr"/>
      <c r="F12" s="8" t="inlineStr">
        <is>
          <t>EE1(a)</t>
        </is>
      </c>
      <c r="G12" s="8" t="inlineStr">
        <is>
          <t>OPTION 1:  Target-level reporting</t>
        </is>
      </c>
      <c r="H12" s="52">
        <f>IFERROR(IF(INDEX('Faculties'!$M$10:$M$19,MATCH($F12,'Faculties'!$B$10:$B$19,0))="","Cell will autofill based on response",INDEX('Faculties'!$M$10:$M$19,MATCH($F12,'Faculties'!$B$10:$B$19,0))),"N/A")</f>
        <v/>
      </c>
      <c r="I12" s="52">
        <f>IFERROR(IF(INDEX('Faculties'!$M$26:$M$35,MATCH($F12,'Faculties'!$B$26:$B$35,0))="","Cell will autofill based on response",INDEX('Faculties'!$M$26:$M$35,MATCH($F12,'Faculties'!$B$26:$B$35,0))),"N/A")</f>
        <v/>
      </c>
      <c r="J12" s="52">
        <f>IFERROR(IF(INDEX('Faculties'!$M$42:$M$51,MATCH($F12,'Faculties'!$B$42:$B$51,0))="","Cell will autofill based on response",INDEX('Faculties'!$M$42:$M$51,MATCH($F12,'Faculties'!$B$42:$B$51,0))),"N/A")</f>
        <v/>
      </c>
      <c r="K12" s="52">
        <f>IFERROR(IF(INDEX('Faculties'!$M$58:$M$67,MATCH($F12,'Faculties'!$B$58:$B$67,0))="","Cell will autofill based on response",INDEX('Faculties'!$M$58:$M$67,MATCH($F12,'Faculties'!$B$58:$B$67,0))),"N/A")</f>
        <v/>
      </c>
      <c r="L12" s="52">
        <f>IFERROR(IF(INDEX('CI&amp;S'!$M$10:$M$15,MATCH($F12,'CI&amp;S'!$B$10:$B$15,0))="","Cell will autofill based on response",INDEX('CI&amp;S'!$M$10:$M$15,MATCH($F12,'CI&amp;S'!$B$10:$B$15,0))),"N/A")</f>
        <v/>
      </c>
      <c r="M12" s="52">
        <f>IFERROR(IF(INDEX('CI&amp;S'!$M$22:$M$36,MATCH($F12,'CI&amp;S'!$B$22:$B$36,0))="","Cell will autofill based on response",INDEX('CI&amp;S'!$M$22:$M$36,MATCH($F12,'CI&amp;S'!$B$22:$B$36,0))),"N/A")</f>
        <v/>
      </c>
      <c r="N12" s="52">
        <f>IFERROR(IF(INDEX('CFOG'!$M$10:$M$16,MATCH($F12,'CFOG'!$B$10:$B$16,0))="","Cell will autofill based on response",INDEX('CFOG'!$M$10:$M$16,MATCH($F12,'CFOG'!$B$10:$B$16,0))),"N/A")</f>
        <v/>
      </c>
      <c r="O12" s="52">
        <f>IFERROR(IF(INDEX('CFOG'!$M$23:$M$24,MATCH($F12,'CFOG'!$B$23:$B$24,0))="","Cell will autofill based on response",INDEX('CFOG'!$M$23:$M$24,MATCH($F12,'CFOG'!$B$23:$B$24,0))),"N/A")</f>
        <v/>
      </c>
      <c r="P12" s="52">
        <f>IFERROR(IF(INDEX('ESG'!$M$10:$M$17,MATCH($F12,'ESG'!$B$10:$B$17,0))="","Cell will autofill based on response",INDEX('ESG'!$M$10:$M$17,MATCH($F12,'ESG'!$B$10:$B$17,0))),"N/A")</f>
        <v/>
      </c>
      <c r="Q12" s="52">
        <f>IFERROR(IF(INDEX('CIOG'!$M$10:$M$14,MATCH($F12,'CIOG'!$B$10:$B$14,0))="","Cell will autofill based on response",INDEX('CIOG'!$M$10:$M$14,MATCH($F12,'CIOG'!$B$10:$B$14,0))),"N/A")</f>
        <v/>
      </c>
      <c r="R12" s="52">
        <f>IFERROR(IF(INDEX('MRE'!$M$10:$M$18,MATCH($F12,'MRE'!$B$10:$B$18,0))="","Cell will autofill based on response",INDEX('MRE'!$M$10:$M$18,MATCH($F12,'MRE'!$B$10:$B$18,0))),"N/A")</f>
        <v/>
      </c>
      <c r="S12" s="52">
        <f>IFERROR(IF(INDEX('AC&amp;M'!$M$10:$M$14,MATCH($F12,'AC&amp;M'!$B$10:$B$14,0))="","Cell will autofill based on response",INDEX('AC&amp;M'!$M$10:$M$14,MATCH($F12,'AC&amp;M'!$B$10:$B$14,0))),"N/A")</f>
        <v/>
      </c>
      <c r="T12" s="52">
        <f>IFERROR(IF(INDEX('GCE'!$M$10:$M$12,MATCH($F12,'GCE'!$B$10:$B$12,0))="","Cell will autofill based on response",INDEX('GCE'!$M$10:$M$12,MATCH($F12,'GCE'!$B$10:$B$12,0))),"N/A")</f>
        <v/>
      </c>
      <c r="U12" s="52">
        <f>IFERROR(IF(INDEX('Education'!$M$10:$M$13,MATCH($F12,'Education'!$B$10:$B$13,0))="","Cell will autofill based on response",INDEX('Education'!$M$10:$M$13,MATCH($F12,'Education'!$B$10:$B$13,0))),"N/A")</f>
        <v/>
      </c>
      <c r="V12" s="52">
        <f>IFERROR(IF(INDEX('SaSS'!$M$10:$M$12,MATCH($F12,'SaSS'!$B$10:$B$12,0))="","Cell will autofill based on response",INDEX('SaSS'!$M$10:$M$12,MATCH($F12,'SaSS'!$B$10:$B$12,0))),"N/A")</f>
        <v/>
      </c>
      <c r="W12" s="52">
        <f>IFERROR(IF(INDEX('Indigenous'!$M$10:$M$11,MATCH($F12,'Indigenous'!$B$10:$B$11,0))="","Cell will autofill based on response",INDEX('Indigenous'!$M$10:$M$11,MATCH($F12,'Indigenous'!$B$10:$B$11,0))),"N/A")</f>
        <v/>
      </c>
      <c r="X12" s="52">
        <f>IFERROR(IF(INDEX('L&amp;R'!$M$10:$M$11,MATCH($F12,'L&amp;R'!$B$10:$B$11,0))="","Cell will autofill based on response",INDEX('L&amp;R'!$M$10:$M$11,MATCH($F12,'L&amp;R'!$B$10:$B$11,0))),"N/A")</f>
        <v/>
      </c>
    </row>
    <row r="13">
      <c r="A13">
        <f>F13&amp;"|"&amp;G13</f>
        <v/>
      </c>
      <c r="B13" s="13" t="inlineStr"/>
      <c r="C13" s="8" t="inlineStr"/>
      <c r="D13" s="8" t="inlineStr"/>
      <c r="E13" s="8" t="inlineStr"/>
      <c r="F13" s="8" t="inlineStr">
        <is>
          <t>EE1(a)</t>
        </is>
      </c>
      <c r="G13" s="8" t="inlineStr">
        <is>
          <t>OPTION 2:  Indicator level reporting</t>
        </is>
      </c>
      <c r="H13" s="52">
        <f>IFERROR(IF(INDEX('Faculties'!$N$10:$N$19,MATCH($F13,'Faculties'!$B$10:$B$19,0))="","Cell will autofill based on response",INDEX('Faculties'!$N$10:$N$19,MATCH($F13,'Faculties'!$B$10:$B$19,0))),"N/A")</f>
        <v/>
      </c>
      <c r="I13" s="52">
        <f>IFERROR(IF(INDEX('Faculties'!$N$26:$N$35,MATCH($F13,'Faculties'!$B$26:$B$35,0))="","Cell will autofill based on response",INDEX('Faculties'!$N$26:$N$35,MATCH($F13,'Faculties'!$B$26:$B$35,0))),"N/A")</f>
        <v/>
      </c>
      <c r="J13" s="52">
        <f>IFERROR(IF(INDEX('Faculties'!$N$42:$N$51,MATCH($F13,'Faculties'!$B$42:$B$51,0))="","Cell will autofill based on response",INDEX('Faculties'!$N$42:$N$51,MATCH($F13,'Faculties'!$B$42:$B$51,0))),"N/A")</f>
        <v/>
      </c>
      <c r="K13" s="52">
        <f>IFERROR(IF(INDEX('Faculties'!$N$58:$N$67,MATCH($F13,'Faculties'!$B$58:$B$67,0))="","Cell will autofill based on response",INDEX('Faculties'!$N$58:$N$67,MATCH($F13,'Faculties'!$B$58:$B$67,0))),"N/A")</f>
        <v/>
      </c>
      <c r="L13" s="52">
        <f>IFERROR(IF(INDEX('CI&amp;S'!$N$10:$N$15,MATCH($F13,'CI&amp;S'!$B$10:$B$15,0))="","Cell will autofill based on response",INDEX('CI&amp;S'!$N$10:$N$15,MATCH($F13,'CI&amp;S'!$B$10:$B$15,0))),"N/A")</f>
        <v/>
      </c>
      <c r="M13" s="52">
        <f>IFERROR(IF(INDEX('CI&amp;S'!$N$22:$N$36,MATCH($F13,'CI&amp;S'!$B$22:$B$36,0))="","Cell will autofill based on response",INDEX('CI&amp;S'!$N$22:$N$36,MATCH($F13,'CI&amp;S'!$B$22:$B$36,0))),"N/A")</f>
        <v/>
      </c>
      <c r="N13" s="52">
        <f>IFERROR(IF(INDEX('CFOG'!$N$10:$N$16,MATCH($F13,'CFOG'!$B$10:$B$16,0))="","Cell will autofill based on response",INDEX('CFOG'!$N$10:$N$16,MATCH($F13,'CFOG'!$B$10:$B$16,0))),"N/A")</f>
        <v/>
      </c>
      <c r="O13" s="52">
        <f>IFERROR(IF(INDEX('CFOG'!$N$23:$N$24,MATCH($F13,'CFOG'!$B$23:$B$24,0))="","Cell will autofill based on response",INDEX('CFOG'!$N$23:$N$24,MATCH($F13,'CFOG'!$B$23:$B$24,0))),"N/A")</f>
        <v/>
      </c>
      <c r="P13" s="52">
        <f>IFERROR(IF(INDEX('ESG'!$N$10:$N$17,MATCH($F13,'ESG'!$B$10:$B$17,0))="","Cell will autofill based on response",INDEX('ESG'!$N$10:$N$17,MATCH($F13,'ESG'!$B$10:$B$17,0))),"N/A")</f>
        <v/>
      </c>
      <c r="Q13" s="52">
        <f>IFERROR(IF(INDEX('CIOG'!$N$10:$N$14,MATCH($F13,'CIOG'!$B$10:$B$14,0))="","Cell will autofill based on response",INDEX('CIOG'!$N$10:$N$14,MATCH($F13,'CIOG'!$B$10:$B$14,0))),"N/A")</f>
        <v/>
      </c>
      <c r="R13" s="52">
        <f>IFERROR(IF(INDEX('MRE'!$N$10:$N$18,MATCH($F13,'MRE'!$B$10:$B$18,0))="","Cell will autofill based on response",INDEX('MRE'!$N$10:$N$18,MATCH($F13,'MRE'!$B$10:$B$18,0))),"N/A")</f>
        <v/>
      </c>
      <c r="S13" s="52">
        <f>IFERROR(IF(INDEX('AC&amp;M'!$N$10:$N$14,MATCH($F13,'AC&amp;M'!$B$10:$B$14,0))="","Cell will autofill based on response",INDEX('AC&amp;M'!$N$10:$N$14,MATCH($F13,'AC&amp;M'!$B$10:$B$14,0))),"N/A")</f>
        <v/>
      </c>
      <c r="T13" s="52">
        <f>IFERROR(IF(INDEX('GCE'!$N$10:$N$12,MATCH($F13,'GCE'!$B$10:$B$12,0))="","Cell will autofill based on response",INDEX('GCE'!$N$10:$N$12,MATCH($F13,'GCE'!$B$10:$B$12,0))),"N/A")</f>
        <v/>
      </c>
      <c r="U13" s="52">
        <f>IFERROR(IF(INDEX('Education'!$N$10:$N$13,MATCH($F13,'Education'!$B$10:$B$13,0))="","Cell will autofill based on response",INDEX('Education'!$N$10:$N$13,MATCH($F13,'Education'!$B$10:$B$13,0))),"N/A")</f>
        <v/>
      </c>
      <c r="V13" s="52">
        <f>IFERROR(IF(INDEX('SaSS'!$N$10:$N$12,MATCH($F13,'SaSS'!$B$10:$B$12,0))="","Cell will autofill based on response",INDEX('SaSS'!$N$10:$N$12,MATCH($F13,'SaSS'!$B$10:$B$12,0))),"N/A")</f>
        <v/>
      </c>
      <c r="W13" s="52">
        <f>IFERROR(IF(INDEX('Indigenous'!$N$10:$N$11,MATCH($F13,'Indigenous'!$B$10:$B$11,0))="","Cell will autofill based on response",INDEX('Indigenous'!$N$10:$N$11,MATCH($F13,'Indigenous'!$B$10:$B$11,0))),"N/A")</f>
        <v/>
      </c>
      <c r="X13" s="52">
        <f>IFERROR(IF(INDEX('L&amp;R'!$N$10:$N$11,MATCH($F13,'L&amp;R'!$B$10:$B$11,0))="","Cell will autofill based on response",INDEX('L&amp;R'!$N$10:$N$11,MATCH($F13,'L&amp;R'!$B$10:$B$11,0))),"N/A")</f>
        <v/>
      </c>
    </row>
    <row r="14">
      <c r="A14">
        <f>F14&amp;"|"&amp;G14</f>
        <v/>
      </c>
      <c r="B14" s="13" t="inlineStr"/>
      <c r="C14" s="8" t="inlineStr"/>
      <c r="D14" s="8" t="inlineStr"/>
      <c r="E14" s="8" t="inlineStr"/>
      <c r="F14" s="8" t="inlineStr">
        <is>
          <t>EE1(a)</t>
        </is>
      </c>
      <c r="G14" s="8" t="inlineStr">
        <is>
          <t>Supporting information/comments</t>
        </is>
      </c>
      <c r="H14" s="52">
        <f>IFERROR(IF(INDEX('Faculties'!$O$10:$O$19,MATCH($F14,'Faculties'!$B$10:$B$19,0))="","Cell will autofill based on response",INDEX('Faculties'!$O$10:$O$19,MATCH($F14,'Faculties'!$B$10:$B$19,0))),"N/A")</f>
        <v/>
      </c>
      <c r="I14" s="52">
        <f>IFERROR(IF(INDEX('Faculties'!$O$26:$O$35,MATCH($F14,'Faculties'!$B$26:$B$35,0))="","Cell will autofill based on response",INDEX('Faculties'!$O$26:$O$35,MATCH($F14,'Faculties'!$B$26:$B$35,0))),"N/A")</f>
        <v/>
      </c>
      <c r="J14" s="52">
        <f>IFERROR(IF(INDEX('Faculties'!$O$42:$O$51,MATCH($F14,'Faculties'!$B$42:$B$51,0))="","Cell will autofill based on response",INDEX('Faculties'!$O$42:$O$51,MATCH($F14,'Faculties'!$B$42:$B$51,0))),"N/A")</f>
        <v/>
      </c>
      <c r="K14" s="52">
        <f>IFERROR(IF(INDEX('Faculties'!$O$58:$O$67,MATCH($F14,'Faculties'!$B$58:$B$67,0))="","Cell will autofill based on response",INDEX('Faculties'!$O$58:$O$67,MATCH($F14,'Faculties'!$B$58:$B$67,0))),"N/A")</f>
        <v/>
      </c>
      <c r="L14" s="52">
        <f>IFERROR(IF(INDEX('CI&amp;S'!$O$10:$O$15,MATCH($F14,'CI&amp;S'!$B$10:$B$15,0))="","Cell will autofill based on response",INDEX('CI&amp;S'!$O$10:$O$15,MATCH($F14,'CI&amp;S'!$B$10:$B$15,0))),"N/A")</f>
        <v/>
      </c>
      <c r="M14" s="52">
        <f>IFERROR(IF(INDEX('CI&amp;S'!$O$22:$O$36,MATCH($F14,'CI&amp;S'!$B$22:$B$36,0))="","Cell will autofill based on response",INDEX('CI&amp;S'!$O$22:$O$36,MATCH($F14,'CI&amp;S'!$B$22:$B$36,0))),"N/A")</f>
        <v/>
      </c>
      <c r="N14" s="52">
        <f>IFERROR(IF(INDEX('CFOG'!$O$10:$O$16,MATCH($F14,'CFOG'!$B$10:$B$16,0))="","Cell will autofill based on response",INDEX('CFOG'!$O$10:$O$16,MATCH($F14,'CFOG'!$B$10:$B$16,0))),"N/A")</f>
        <v/>
      </c>
      <c r="O14" s="52">
        <f>IFERROR(IF(INDEX('CFOG'!$O$23:$O$24,MATCH($F14,'CFOG'!$B$23:$B$24,0))="","Cell will autofill based on response",INDEX('CFOG'!$O$23:$O$24,MATCH($F14,'CFOG'!$B$23:$B$24,0))),"N/A")</f>
        <v/>
      </c>
      <c r="P14" s="52">
        <f>IFERROR(IF(INDEX('ESG'!$O$10:$O$17,MATCH($F14,'ESG'!$B$10:$B$17,0))="","Cell will autofill based on response",INDEX('ESG'!$O$10:$O$17,MATCH($F14,'ESG'!$B$10:$B$17,0))),"N/A")</f>
        <v/>
      </c>
      <c r="Q14" s="52">
        <f>IFERROR(IF(INDEX('CIOG'!$O$10:$O$14,MATCH($F14,'CIOG'!$B$10:$B$14,0))="","Cell will autofill based on response",INDEX('CIOG'!$O$10:$O$14,MATCH($F14,'CIOG'!$B$10:$B$14,0))),"N/A")</f>
        <v/>
      </c>
      <c r="R14" s="52">
        <f>IFERROR(IF(INDEX('MRE'!$O$10:$O$18,MATCH($F14,'MRE'!$B$10:$B$18,0))="","Cell will autofill based on response",INDEX('MRE'!$O$10:$O$18,MATCH($F14,'MRE'!$B$10:$B$18,0))),"N/A")</f>
        <v/>
      </c>
      <c r="S14" s="52">
        <f>IFERROR(IF(INDEX('AC&amp;M'!$O$10:$O$14,MATCH($F14,'AC&amp;M'!$B$10:$B$14,0))="","Cell will autofill based on response",INDEX('AC&amp;M'!$O$10:$O$14,MATCH($F14,'AC&amp;M'!$B$10:$B$14,0))),"N/A")</f>
        <v/>
      </c>
      <c r="T14" s="52">
        <f>IFERROR(IF(INDEX('GCE'!$O$10:$O$12,MATCH($F14,'GCE'!$B$10:$B$12,0))="","Cell will autofill based on response",INDEX('GCE'!$O$10:$O$12,MATCH($F14,'GCE'!$B$10:$B$12,0))),"N/A")</f>
        <v/>
      </c>
      <c r="U14" s="52">
        <f>IFERROR(IF(INDEX('Education'!$O$10:$O$13,MATCH($F14,'Education'!$B$10:$B$13,0))="","Cell will autofill based on response",INDEX('Education'!$O$10:$O$13,MATCH($F14,'Education'!$B$10:$B$13,0))),"N/A")</f>
        <v/>
      </c>
      <c r="V14" s="52">
        <f>IFERROR(IF(INDEX('SaSS'!$O$10:$O$12,MATCH($F14,'SaSS'!$B$10:$B$12,0))="","Cell will autofill based on response",INDEX('SaSS'!$O$10:$O$12,MATCH($F14,'SaSS'!$B$10:$B$12,0))),"N/A")</f>
        <v/>
      </c>
      <c r="W14" s="52">
        <f>IFERROR(IF(INDEX('Indigenous'!$O$10:$O$11,MATCH($F14,'Indigenous'!$B$10:$B$11,0))="","Cell will autofill based on response",INDEX('Indigenous'!$O$10:$O$11,MATCH($F14,'Indigenous'!$B$10:$B$11,0))),"N/A")</f>
        <v/>
      </c>
      <c r="X14" s="52">
        <f>IFERROR(IF(INDEX('L&amp;R'!$O$10:$O$11,MATCH($F14,'L&amp;R'!$B$10:$B$11,0))="","Cell will autofill based on response",INDEX('L&amp;R'!$O$10:$O$11,MATCH($F14,'L&amp;R'!$B$10:$B$11,0))),"N/A")</f>
        <v/>
      </c>
    </row>
    <row r="15">
      <c r="A15">
        <f>F15&amp;"|"&amp;G15</f>
        <v/>
      </c>
      <c r="B15" s="13" t="inlineStr"/>
      <c r="C15" s="8" t="inlineStr"/>
      <c r="D15" s="8" t="inlineStr"/>
      <c r="E15" s="8" t="inlineStr"/>
      <c r="F15" s="8" t="inlineStr">
        <is>
          <t>EE1(a)</t>
        </is>
      </c>
      <c r="G15" s="8" t="inlineStr">
        <is>
          <t>Data source and limitations</t>
        </is>
      </c>
      <c r="H15" s="52">
        <f>IFERROR(IF(INDEX('Faculties'!$P$10:$P$19,MATCH($F15,'Faculties'!$B$10:$B$19,0))="","Cell will autofill based on response",INDEX('Faculties'!$P$10:$P$19,MATCH($F15,'Faculties'!$B$10:$B$19,0))),"N/A")</f>
        <v/>
      </c>
      <c r="I15" s="52">
        <f>IFERROR(IF(INDEX('Faculties'!$P$26:$P$35,MATCH($F15,'Faculties'!$B$26:$B$35,0))="","Cell will autofill based on response",INDEX('Faculties'!$P$26:$P$35,MATCH($F15,'Faculties'!$B$26:$B$35,0))),"N/A")</f>
        <v/>
      </c>
      <c r="J15" s="52">
        <f>IFERROR(IF(INDEX('Faculties'!$P$42:$P$51,MATCH($F15,'Faculties'!$B$42:$B$51,0))="","Cell will autofill based on response",INDEX('Faculties'!$P$42:$P$51,MATCH($F15,'Faculties'!$B$42:$B$51,0))),"N/A")</f>
        <v/>
      </c>
      <c r="K15" s="52">
        <f>IFERROR(IF(INDEX('Faculties'!$P$58:$P$67,MATCH($F15,'Faculties'!$B$58:$B$67,0))="","Cell will autofill based on response",INDEX('Faculties'!$P$58:$P$67,MATCH($F15,'Faculties'!$B$58:$B$67,0))),"N/A")</f>
        <v/>
      </c>
      <c r="L15" s="52">
        <f>IFERROR(IF(INDEX('CI&amp;S'!$P$10:$P$15,MATCH($F15,'CI&amp;S'!$B$10:$B$15,0))="","Cell will autofill based on response",INDEX('CI&amp;S'!$P$10:$P$15,MATCH($F15,'CI&amp;S'!$B$10:$B$15,0))),"N/A")</f>
        <v/>
      </c>
      <c r="M15" s="52">
        <f>IFERROR(IF(INDEX('CI&amp;S'!$P$22:$P$36,MATCH($F15,'CI&amp;S'!$B$22:$B$36,0))="","Cell will autofill based on response",INDEX('CI&amp;S'!$P$22:$P$36,MATCH($F15,'CI&amp;S'!$B$22:$B$36,0))),"N/A")</f>
        <v/>
      </c>
      <c r="N15" s="52">
        <f>IFERROR(IF(INDEX('CFOG'!$P$10:$P$16,MATCH($F15,'CFOG'!$B$10:$B$16,0))="","Cell will autofill based on response",INDEX('CFOG'!$P$10:$P$16,MATCH($F15,'CFOG'!$B$10:$B$16,0))),"N/A")</f>
        <v/>
      </c>
      <c r="O15" s="52">
        <f>IFERROR(IF(INDEX('CFOG'!$P$23:$P$24,MATCH($F15,'CFOG'!$B$23:$B$24,0))="","Cell will autofill based on response",INDEX('CFOG'!$P$23:$P$24,MATCH($F15,'CFOG'!$B$23:$B$24,0))),"N/A")</f>
        <v/>
      </c>
      <c r="P15" s="52">
        <f>IFERROR(IF(INDEX('ESG'!$P$10:$P$17,MATCH($F15,'ESG'!$B$10:$B$17,0))="","Cell will autofill based on response",INDEX('ESG'!$P$10:$P$17,MATCH($F15,'ESG'!$B$10:$B$17,0))),"N/A")</f>
        <v/>
      </c>
      <c r="Q15" s="52">
        <f>IFERROR(IF(INDEX('CIOG'!$P$10:$P$14,MATCH($F15,'CIOG'!$B$10:$B$14,0))="","Cell will autofill based on response",INDEX('CIOG'!$P$10:$P$14,MATCH($F15,'CIOG'!$B$10:$B$14,0))),"N/A")</f>
        <v/>
      </c>
      <c r="R15" s="52">
        <f>IFERROR(IF(INDEX('MRE'!$P$10:$P$18,MATCH($F15,'MRE'!$B$10:$B$18,0))="","Cell will autofill based on response",INDEX('MRE'!$P$10:$P$18,MATCH($F15,'MRE'!$B$10:$B$18,0))),"N/A")</f>
        <v/>
      </c>
      <c r="S15" s="52">
        <f>IFERROR(IF(INDEX('AC&amp;M'!$P$10:$P$14,MATCH($F15,'AC&amp;M'!$B$10:$B$14,0))="","Cell will autofill based on response",INDEX('AC&amp;M'!$P$10:$P$14,MATCH($F15,'AC&amp;M'!$B$10:$B$14,0))),"N/A")</f>
        <v/>
      </c>
      <c r="T15" s="52">
        <f>IFERROR(IF(INDEX('GCE'!$P$10:$P$12,MATCH($F15,'GCE'!$B$10:$B$12,0))="","Cell will autofill based on response",INDEX('GCE'!$P$10:$P$12,MATCH($F15,'GCE'!$B$10:$B$12,0))),"N/A")</f>
        <v/>
      </c>
      <c r="U15" s="52">
        <f>IFERROR(IF(INDEX('Education'!$P$10:$P$13,MATCH($F15,'Education'!$B$10:$B$13,0))="","Cell will autofill based on response",INDEX('Education'!$P$10:$P$13,MATCH($F15,'Education'!$B$10:$B$13,0))),"N/A")</f>
        <v/>
      </c>
      <c r="V15" s="52">
        <f>IFERROR(IF(INDEX('SaSS'!$P$10:$P$12,MATCH($F15,'SaSS'!$B$10:$B$12,0))="","Cell will autofill based on response",INDEX('SaSS'!$P$10:$P$12,MATCH($F15,'SaSS'!$B$10:$B$12,0))),"N/A")</f>
        <v/>
      </c>
      <c r="W15" s="52">
        <f>IFERROR(IF(INDEX('Indigenous'!$P$10:$P$11,MATCH($F15,'Indigenous'!$B$10:$B$11,0))="","Cell will autofill based on response",INDEX('Indigenous'!$P$10:$P$11,MATCH($F15,'Indigenous'!$B$10:$B$11,0))),"N/A")</f>
        <v/>
      </c>
      <c r="X15" s="52">
        <f>IFERROR(IF(INDEX('L&amp;R'!$P$10:$P$11,MATCH($F15,'L&amp;R'!$B$10:$B$11,0))="","Cell will autofill based on response",INDEX('L&amp;R'!$P$10:$P$11,MATCH($F15,'L&amp;R'!$B$10:$B$11,0))),"N/A")</f>
        <v/>
      </c>
    </row>
    <row r="16">
      <c r="A16">
        <f>F16&amp;"|"&amp;G16</f>
        <v/>
      </c>
      <c r="B16" s="13" t="inlineStr"/>
      <c r="C16" s="8" t="inlineStr"/>
      <c r="D16" s="8" t="inlineStr"/>
      <c r="E16" s="8" t="inlineStr"/>
      <c r="F16" s="8" t="inlineStr">
        <is>
          <t>EE1(a)</t>
        </is>
      </c>
      <c r="G16" s="8" t="inlineStr">
        <is>
          <t>Data owner confirms</t>
        </is>
      </c>
      <c r="H16" s="52">
        <f>IFERROR(IF(INDEX('Faculties'!$Q$10:$Q$19,MATCH($F16,'Faculties'!$B$10:$B$19,0))="","Cell will autofill based on response",INDEX('Faculties'!$Q$10:$Q$19,MATCH($F16,'Faculties'!$B$10:$B$19,0))),"N/A")</f>
        <v/>
      </c>
      <c r="I16" s="52">
        <f>IFERROR(IF(INDEX('Faculties'!$Q$26:$Q$35,MATCH($F16,'Faculties'!$B$26:$B$35,0))="","Cell will autofill based on response",INDEX('Faculties'!$Q$26:$Q$35,MATCH($F16,'Faculties'!$B$26:$B$35,0))),"N/A")</f>
        <v/>
      </c>
      <c r="J16" s="52">
        <f>IFERROR(IF(INDEX('Faculties'!$Q$42:$Q$51,MATCH($F16,'Faculties'!$B$42:$B$51,0))="","Cell will autofill based on response",INDEX('Faculties'!$Q$42:$Q$51,MATCH($F16,'Faculties'!$B$42:$B$51,0))),"N/A")</f>
        <v/>
      </c>
      <c r="K16" s="52">
        <f>IFERROR(IF(INDEX('Faculties'!$Q$58:$Q$67,MATCH($F16,'Faculties'!$B$58:$B$67,0))="","Cell will autofill based on response",INDEX('Faculties'!$Q$58:$Q$67,MATCH($F16,'Faculties'!$B$58:$B$67,0))),"N/A")</f>
        <v/>
      </c>
      <c r="L16" s="52">
        <f>IFERROR(IF(INDEX('CI&amp;S'!$Q$10:$Q$15,MATCH($F16,'CI&amp;S'!$B$10:$B$15,0))="","Cell will autofill based on response",INDEX('CI&amp;S'!$Q$10:$Q$15,MATCH($F16,'CI&amp;S'!$B$10:$B$15,0))),"N/A")</f>
        <v/>
      </c>
      <c r="M16" s="52">
        <f>IFERROR(IF(INDEX('CI&amp;S'!$Q$22:$Q$36,MATCH($F16,'CI&amp;S'!$B$22:$B$36,0))="","Cell will autofill based on response",INDEX('CI&amp;S'!$Q$22:$Q$36,MATCH($F16,'CI&amp;S'!$B$22:$B$36,0))),"N/A")</f>
        <v/>
      </c>
      <c r="N16" s="52">
        <f>IFERROR(IF(INDEX('CFOG'!$Q$10:$Q$16,MATCH($F16,'CFOG'!$B$10:$B$16,0))="","Cell will autofill based on response",INDEX('CFOG'!$Q$10:$Q$16,MATCH($F16,'CFOG'!$B$10:$B$16,0))),"N/A")</f>
        <v/>
      </c>
      <c r="O16" s="52">
        <f>IFERROR(IF(INDEX('CFOG'!$Q$23:$Q$24,MATCH($F16,'CFOG'!$B$23:$B$24,0))="","Cell will autofill based on response",INDEX('CFOG'!$Q$23:$Q$24,MATCH($F16,'CFOG'!$B$23:$B$24,0))),"N/A")</f>
        <v/>
      </c>
      <c r="P16" s="52">
        <f>IFERROR(IF(INDEX('ESG'!$Q$10:$Q$17,MATCH($F16,'ESG'!$B$10:$B$17,0))="","Cell will autofill based on response",INDEX('ESG'!$Q$10:$Q$17,MATCH($F16,'ESG'!$B$10:$B$17,0))),"N/A")</f>
        <v/>
      </c>
      <c r="Q16" s="52">
        <f>IFERROR(IF(INDEX('CIOG'!$Q$10:$Q$14,MATCH($F16,'CIOG'!$B$10:$B$14,0))="","Cell will autofill based on response",INDEX('CIOG'!$Q$10:$Q$14,MATCH($F16,'CIOG'!$B$10:$B$14,0))),"N/A")</f>
        <v/>
      </c>
      <c r="R16" s="52">
        <f>IFERROR(IF(INDEX('MRE'!$Q$10:$Q$18,MATCH($F16,'MRE'!$B$10:$B$18,0))="","Cell will autofill based on response",INDEX('MRE'!$Q$10:$Q$18,MATCH($F16,'MRE'!$B$10:$B$18,0))),"N/A")</f>
        <v/>
      </c>
      <c r="S16" s="52">
        <f>IFERROR(IF(INDEX('AC&amp;M'!$Q$10:$Q$14,MATCH($F16,'AC&amp;M'!$B$10:$B$14,0))="","Cell will autofill based on response",INDEX('AC&amp;M'!$Q$10:$Q$14,MATCH($F16,'AC&amp;M'!$B$10:$B$14,0))),"N/A")</f>
        <v/>
      </c>
      <c r="T16" s="52">
        <f>IFERROR(IF(INDEX('GCE'!$Q$10:$Q$12,MATCH($F16,'GCE'!$B$10:$B$12,0))="","Cell will autofill based on response",INDEX('GCE'!$Q$10:$Q$12,MATCH($F16,'GCE'!$B$10:$B$12,0))),"N/A")</f>
        <v/>
      </c>
      <c r="U16" s="52">
        <f>IFERROR(IF(INDEX('Education'!$Q$10:$Q$13,MATCH($F16,'Education'!$B$10:$B$13,0))="","Cell will autofill based on response",INDEX('Education'!$Q$10:$Q$13,MATCH($F16,'Education'!$B$10:$B$13,0))),"N/A")</f>
        <v/>
      </c>
      <c r="V16" s="52">
        <f>IFERROR(IF(INDEX('SaSS'!$Q$10:$Q$12,MATCH($F16,'SaSS'!$B$10:$B$12,0))="","Cell will autofill based on response",INDEX('SaSS'!$Q$10:$Q$12,MATCH($F16,'SaSS'!$B$10:$B$12,0))),"N/A")</f>
        <v/>
      </c>
      <c r="W16" s="52">
        <f>IFERROR(IF(INDEX('Indigenous'!$Q$10:$Q$11,MATCH($F16,'Indigenous'!$B$10:$B$11,0))="","Cell will autofill based on response",INDEX('Indigenous'!$Q$10:$Q$11,MATCH($F16,'Indigenous'!$B$10:$B$11,0))),"N/A")</f>
        <v/>
      </c>
      <c r="X16" s="52">
        <f>IFERROR(IF(INDEX('L&amp;R'!$Q$10:$Q$11,MATCH($F16,'L&amp;R'!$B$10:$B$11,0))="","Cell will autofill based on response",INDEX('L&amp;R'!$Q$10:$Q$11,MATCH($F16,'L&amp;R'!$B$10:$B$11,0))),"N/A")</f>
        <v/>
      </c>
    </row>
    <row r="17">
      <c r="A17">
        <f>F17&amp;"|"&amp;G17</f>
        <v/>
      </c>
      <c r="B17" s="7" t="inlineStr">
        <is>
          <t>EE1(b)</t>
        </is>
      </c>
      <c r="C17" s="50" t="inlineStr">
        <is>
          <t>Exceptional education</t>
        </is>
      </c>
      <c r="D17" s="50" t="inlineStr">
        <is>
          <t>Pilots of possible approaches for understanding and developing students’ sustainability self-efficacy</t>
        </is>
      </c>
      <c r="E17" s="50"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7" s="50" t="inlineStr">
        <is>
          <t>EE1(b)</t>
        </is>
      </c>
      <c r="G17" s="50" t="inlineStr">
        <is>
          <t>Confirm end-2026 target status</t>
        </is>
      </c>
      <c r="H17" s="52">
        <f>IFERROR(IF(INDEX('Faculties'!$L$10:$L$19,MATCH($F17,'Faculties'!$B$10:$B$19,0))="","Cell will autofill based on response",INDEX('Faculties'!$L$10:$L$19,MATCH($F17,'Faculties'!$B$10:$B$19,0))),"N/A")</f>
        <v/>
      </c>
      <c r="I17" s="52">
        <f>IFERROR(IF(INDEX('Faculties'!$L$26:$L$35,MATCH($F17,'Faculties'!$B$26:$B$35,0))="","Cell will autofill based on response",INDEX('Faculties'!$L$26:$L$35,MATCH($F17,'Faculties'!$B$26:$B$35,0))),"N/A")</f>
        <v/>
      </c>
      <c r="J17" s="52">
        <f>IFERROR(IF(INDEX('Faculties'!$L$42:$L$51,MATCH($F17,'Faculties'!$B$42:$B$51,0))="","Cell will autofill based on response",INDEX('Faculties'!$L$42:$L$51,MATCH($F17,'Faculties'!$B$42:$B$51,0))),"N/A")</f>
        <v/>
      </c>
      <c r="K17" s="52">
        <f>IFERROR(IF(INDEX('Faculties'!$L$58:$L$67,MATCH($F17,'Faculties'!$B$58:$B$67,0))="","Cell will autofill based on response",INDEX('Faculties'!$L$58:$L$67,MATCH($F17,'Faculties'!$B$58:$B$67,0))),"N/A")</f>
        <v/>
      </c>
      <c r="L17" s="52">
        <f>IFERROR(IF(INDEX('CI&amp;S'!$L$10:$L$15,MATCH($F17,'CI&amp;S'!$B$10:$B$15,0))="","Cell will autofill based on response",INDEX('CI&amp;S'!$L$10:$L$15,MATCH($F17,'CI&amp;S'!$B$10:$B$15,0))),"N/A")</f>
        <v/>
      </c>
      <c r="M17" s="52">
        <f>IFERROR(IF(INDEX('CI&amp;S'!$L$22:$L$36,MATCH($F17,'CI&amp;S'!$B$22:$B$36,0))="","Cell will autofill based on response",INDEX('CI&amp;S'!$L$22:$L$36,MATCH($F17,'CI&amp;S'!$B$22:$B$36,0))),"N/A")</f>
        <v/>
      </c>
      <c r="N17" s="52">
        <f>IFERROR(IF(INDEX('CFOG'!$L$10:$L$16,MATCH($F17,'CFOG'!$B$10:$B$16,0))="","Cell will autofill based on response",INDEX('CFOG'!$L$10:$L$16,MATCH($F17,'CFOG'!$B$10:$B$16,0))),"N/A")</f>
        <v/>
      </c>
      <c r="O17" s="52">
        <f>IFERROR(IF(INDEX('CFOG'!$L$23:$L$24,MATCH($F17,'CFOG'!$B$23:$B$24,0))="","Cell will autofill based on response",INDEX('CFOG'!$L$23:$L$24,MATCH($F17,'CFOG'!$B$23:$B$24,0))),"N/A")</f>
        <v/>
      </c>
      <c r="P17" s="52">
        <f>IFERROR(IF(INDEX('ESG'!$L$10:$L$17,MATCH($F17,'ESG'!$B$10:$B$17,0))="","Cell will autofill based on response",INDEX('ESG'!$L$10:$L$17,MATCH($F17,'ESG'!$B$10:$B$17,0))),"N/A")</f>
        <v/>
      </c>
      <c r="Q17" s="52">
        <f>IFERROR(IF(INDEX('CIOG'!$L$10:$L$14,MATCH($F17,'CIOG'!$B$10:$B$14,0))="","Cell will autofill based on response",INDEX('CIOG'!$L$10:$L$14,MATCH($F17,'CIOG'!$B$10:$B$14,0))),"N/A")</f>
        <v/>
      </c>
      <c r="R17" s="52">
        <f>IFERROR(IF(INDEX('MRE'!$L$10:$L$18,MATCH($F17,'MRE'!$B$10:$B$18,0))="","Cell will autofill based on response",INDEX('MRE'!$L$10:$L$18,MATCH($F17,'MRE'!$B$10:$B$18,0))),"N/A")</f>
        <v/>
      </c>
      <c r="S17" s="52">
        <f>IFERROR(IF(INDEX('AC&amp;M'!$L$10:$L$14,MATCH($F17,'AC&amp;M'!$B$10:$B$14,0))="","Cell will autofill based on response",INDEX('AC&amp;M'!$L$10:$L$14,MATCH($F17,'AC&amp;M'!$B$10:$B$14,0))),"N/A")</f>
        <v/>
      </c>
      <c r="T17" s="52">
        <f>IFERROR(IF(INDEX('GCE'!$L$10:$L$12,MATCH($F17,'GCE'!$B$10:$B$12,0))="","Cell will autofill based on response",INDEX('GCE'!$L$10:$L$12,MATCH($F17,'GCE'!$B$10:$B$12,0))),"N/A")</f>
        <v/>
      </c>
      <c r="U17" s="52">
        <f>IFERROR(IF(INDEX('Education'!$L$10:$L$13,MATCH($F17,'Education'!$B$10:$B$13,0))="","Cell will autofill based on response",INDEX('Education'!$L$10:$L$13,MATCH($F17,'Education'!$B$10:$B$13,0))),"N/A")</f>
        <v/>
      </c>
      <c r="V17" s="52">
        <f>IFERROR(IF(INDEX('SaSS'!$L$10:$L$12,MATCH($F17,'SaSS'!$B$10:$B$12,0))="","Cell will autofill based on response",INDEX('SaSS'!$L$10:$L$12,MATCH($F17,'SaSS'!$B$10:$B$12,0))),"N/A")</f>
        <v/>
      </c>
      <c r="W17" s="52">
        <f>IFERROR(IF(INDEX('Indigenous'!$L$10:$L$11,MATCH($F17,'Indigenous'!$B$10:$B$11,0))="","Cell will autofill based on response",INDEX('Indigenous'!$L$10:$L$11,MATCH($F17,'Indigenous'!$B$10:$B$11,0))),"N/A")</f>
        <v/>
      </c>
      <c r="X17" s="52">
        <f>IFERROR(IF(INDEX('L&amp;R'!$L$10:$L$11,MATCH($F17,'L&amp;R'!$B$10:$B$11,0))="","Cell will autofill based on response",INDEX('L&amp;R'!$L$10:$L$11,MATCH($F17,'L&amp;R'!$B$10:$B$11,0))),"N/A")</f>
        <v/>
      </c>
      <c r="Z17" s="10">
        <f>COUNTIF($H17:$X17,"Cell will autofill based on response")</f>
        <v/>
      </c>
      <c r="AA17" s="10">
        <f>COUNTIF($H17:$X17,"Not yet started")</f>
        <v/>
      </c>
      <c r="AB17" s="10">
        <f>COUNTIF($H17:$X17,"Not met")</f>
        <v/>
      </c>
      <c r="AC17" s="10">
        <f>COUNTIF($H17:$X17,"Partially met")</f>
        <v/>
      </c>
      <c r="AD17" s="10">
        <f>COUNTIF($H17:$X17,"Met or exceeded")</f>
        <v/>
      </c>
      <c r="AE17" s="10">
        <f>3*AD17+2*AC17+AB17</f>
        <v/>
      </c>
      <c r="AF17" s="10">
        <f>AD17+AC17+AB17+AA17</f>
        <v/>
      </c>
      <c r="AG17" s="53">
        <f>IF(AF17&gt;0,AE17/AF17,"No valid responses to date")</f>
        <v/>
      </c>
      <c r="AH17" s="10">
        <f>IF(ISNUMBER(AG17),INDEX(Lists!$G$2:$G$5,MATCH(ROUND(AG17,0),Lists!$H$2:$H$5,0)),"")</f>
        <v/>
      </c>
      <c r="AI17" s="54">
        <f>IF(AF17&gt;0,AD17/AF17,"")</f>
        <v/>
      </c>
      <c r="AJ17" s="54">
        <f>IF(AF17&gt;0,(AD17+AC17)/AF17,"")</f>
        <v/>
      </c>
      <c r="AK17" s="10">
        <f>IF(AF17=0,"",IF(AI17&gt;0.75,"Met or exceeded",IF(AJ17&gt;=0.5,"Partially met","Not met")))</f>
        <v/>
      </c>
    </row>
    <row r="18">
      <c r="A18">
        <f>F18&amp;"|"&amp;G18</f>
        <v/>
      </c>
      <c r="B18" s="13" t="inlineStr"/>
      <c r="C18" s="8" t="inlineStr"/>
      <c r="D18" s="8" t="inlineStr"/>
      <c r="E18" s="8" t="inlineStr"/>
      <c r="F18" s="8" t="inlineStr">
        <is>
          <t>EE1(b)</t>
        </is>
      </c>
      <c r="G18" s="8" t="inlineStr">
        <is>
          <t>OPTION 1:  Target-level reporting</t>
        </is>
      </c>
      <c r="H18" s="52">
        <f>IFERROR(IF(INDEX('Faculties'!$M$10:$M$19,MATCH($F18,'Faculties'!$B$10:$B$19,0))="","Cell will autofill based on response",INDEX('Faculties'!$M$10:$M$19,MATCH($F18,'Faculties'!$B$10:$B$19,0))),"N/A")</f>
        <v/>
      </c>
      <c r="I18" s="52">
        <f>IFERROR(IF(INDEX('Faculties'!$M$26:$M$35,MATCH($F18,'Faculties'!$B$26:$B$35,0))="","Cell will autofill based on response",INDEX('Faculties'!$M$26:$M$35,MATCH($F18,'Faculties'!$B$26:$B$35,0))),"N/A")</f>
        <v/>
      </c>
      <c r="J18" s="52">
        <f>IFERROR(IF(INDEX('Faculties'!$M$42:$M$51,MATCH($F18,'Faculties'!$B$42:$B$51,0))="","Cell will autofill based on response",INDEX('Faculties'!$M$42:$M$51,MATCH($F18,'Faculties'!$B$42:$B$51,0))),"N/A")</f>
        <v/>
      </c>
      <c r="K18" s="52">
        <f>IFERROR(IF(INDEX('Faculties'!$M$58:$M$67,MATCH($F18,'Faculties'!$B$58:$B$67,0))="","Cell will autofill based on response",INDEX('Faculties'!$M$58:$M$67,MATCH($F18,'Faculties'!$B$58:$B$67,0))),"N/A")</f>
        <v/>
      </c>
      <c r="L18" s="52">
        <f>IFERROR(IF(INDEX('CI&amp;S'!$M$10:$M$15,MATCH($F18,'CI&amp;S'!$B$10:$B$15,0))="","Cell will autofill based on response",INDEX('CI&amp;S'!$M$10:$M$15,MATCH($F18,'CI&amp;S'!$B$10:$B$15,0))),"N/A")</f>
        <v/>
      </c>
      <c r="M18" s="52">
        <f>IFERROR(IF(INDEX('CI&amp;S'!$M$22:$M$36,MATCH($F18,'CI&amp;S'!$B$22:$B$36,0))="","Cell will autofill based on response",INDEX('CI&amp;S'!$M$22:$M$36,MATCH($F18,'CI&amp;S'!$B$22:$B$36,0))),"N/A")</f>
        <v/>
      </c>
      <c r="N18" s="52">
        <f>IFERROR(IF(INDEX('CFOG'!$M$10:$M$16,MATCH($F18,'CFOG'!$B$10:$B$16,0))="","Cell will autofill based on response",INDEX('CFOG'!$M$10:$M$16,MATCH($F18,'CFOG'!$B$10:$B$16,0))),"N/A")</f>
        <v/>
      </c>
      <c r="O18" s="52">
        <f>IFERROR(IF(INDEX('CFOG'!$M$23:$M$24,MATCH($F18,'CFOG'!$B$23:$B$24,0))="","Cell will autofill based on response",INDEX('CFOG'!$M$23:$M$24,MATCH($F18,'CFOG'!$B$23:$B$24,0))),"N/A")</f>
        <v/>
      </c>
      <c r="P18" s="52">
        <f>IFERROR(IF(INDEX('ESG'!$M$10:$M$17,MATCH($F18,'ESG'!$B$10:$B$17,0))="","Cell will autofill based on response",INDEX('ESG'!$M$10:$M$17,MATCH($F18,'ESG'!$B$10:$B$17,0))),"N/A")</f>
        <v/>
      </c>
      <c r="Q18" s="52">
        <f>IFERROR(IF(INDEX('CIOG'!$M$10:$M$14,MATCH($F18,'CIOG'!$B$10:$B$14,0))="","Cell will autofill based on response",INDEX('CIOG'!$M$10:$M$14,MATCH($F18,'CIOG'!$B$10:$B$14,0))),"N/A")</f>
        <v/>
      </c>
      <c r="R18" s="52">
        <f>IFERROR(IF(INDEX('MRE'!$M$10:$M$18,MATCH($F18,'MRE'!$B$10:$B$18,0))="","Cell will autofill based on response",INDEX('MRE'!$M$10:$M$18,MATCH($F18,'MRE'!$B$10:$B$18,0))),"N/A")</f>
        <v/>
      </c>
      <c r="S18" s="52">
        <f>IFERROR(IF(INDEX('AC&amp;M'!$M$10:$M$14,MATCH($F18,'AC&amp;M'!$B$10:$B$14,0))="","Cell will autofill based on response",INDEX('AC&amp;M'!$M$10:$M$14,MATCH($F18,'AC&amp;M'!$B$10:$B$14,0))),"N/A")</f>
        <v/>
      </c>
      <c r="T18" s="52">
        <f>IFERROR(IF(INDEX('GCE'!$M$10:$M$12,MATCH($F18,'GCE'!$B$10:$B$12,0))="","Cell will autofill based on response",INDEX('GCE'!$M$10:$M$12,MATCH($F18,'GCE'!$B$10:$B$12,0))),"N/A")</f>
        <v/>
      </c>
      <c r="U18" s="52">
        <f>IFERROR(IF(INDEX('Education'!$M$10:$M$13,MATCH($F18,'Education'!$B$10:$B$13,0))="","Cell will autofill based on response",INDEX('Education'!$M$10:$M$13,MATCH($F18,'Education'!$B$10:$B$13,0))),"N/A")</f>
        <v/>
      </c>
      <c r="V18" s="52">
        <f>IFERROR(IF(INDEX('SaSS'!$M$10:$M$12,MATCH($F18,'SaSS'!$B$10:$B$12,0))="","Cell will autofill based on response",INDEX('SaSS'!$M$10:$M$12,MATCH($F18,'SaSS'!$B$10:$B$12,0))),"N/A")</f>
        <v/>
      </c>
      <c r="W18" s="52">
        <f>IFERROR(IF(INDEX('Indigenous'!$M$10:$M$11,MATCH($F18,'Indigenous'!$B$10:$B$11,0))="","Cell will autofill based on response",INDEX('Indigenous'!$M$10:$M$11,MATCH($F18,'Indigenous'!$B$10:$B$11,0))),"N/A")</f>
        <v/>
      </c>
      <c r="X18" s="52">
        <f>IFERROR(IF(INDEX('L&amp;R'!$M$10:$M$11,MATCH($F18,'L&amp;R'!$B$10:$B$11,0))="","Cell will autofill based on response",INDEX('L&amp;R'!$M$10:$M$11,MATCH($F18,'L&amp;R'!$B$10:$B$11,0))),"N/A")</f>
        <v/>
      </c>
    </row>
    <row r="19">
      <c r="A19">
        <f>F19&amp;"|"&amp;G19</f>
        <v/>
      </c>
      <c r="B19" s="13" t="inlineStr"/>
      <c r="C19" s="8" t="inlineStr"/>
      <c r="D19" s="8" t="inlineStr"/>
      <c r="E19" s="8" t="inlineStr"/>
      <c r="F19" s="8" t="inlineStr">
        <is>
          <t>EE1(b)</t>
        </is>
      </c>
      <c r="G19" s="8" t="inlineStr">
        <is>
          <t>OPTION 2:  Indicator level reporting</t>
        </is>
      </c>
      <c r="H19" s="52">
        <f>IFERROR(IF(INDEX('Faculties'!$N$10:$N$19,MATCH($F19,'Faculties'!$B$10:$B$19,0))="","Cell will autofill based on response",INDEX('Faculties'!$N$10:$N$19,MATCH($F19,'Faculties'!$B$10:$B$19,0))),"N/A")</f>
        <v/>
      </c>
      <c r="I19" s="52">
        <f>IFERROR(IF(INDEX('Faculties'!$N$26:$N$35,MATCH($F19,'Faculties'!$B$26:$B$35,0))="","Cell will autofill based on response",INDEX('Faculties'!$N$26:$N$35,MATCH($F19,'Faculties'!$B$26:$B$35,0))),"N/A")</f>
        <v/>
      </c>
      <c r="J19" s="52">
        <f>IFERROR(IF(INDEX('Faculties'!$N$42:$N$51,MATCH($F19,'Faculties'!$B$42:$B$51,0))="","Cell will autofill based on response",INDEX('Faculties'!$N$42:$N$51,MATCH($F19,'Faculties'!$B$42:$B$51,0))),"N/A")</f>
        <v/>
      </c>
      <c r="K19" s="52">
        <f>IFERROR(IF(INDEX('Faculties'!$N$58:$N$67,MATCH($F19,'Faculties'!$B$58:$B$67,0))="","Cell will autofill based on response",INDEX('Faculties'!$N$58:$N$67,MATCH($F19,'Faculties'!$B$58:$B$67,0))),"N/A")</f>
        <v/>
      </c>
      <c r="L19" s="52">
        <f>IFERROR(IF(INDEX('CI&amp;S'!$N$10:$N$15,MATCH($F19,'CI&amp;S'!$B$10:$B$15,0))="","Cell will autofill based on response",INDEX('CI&amp;S'!$N$10:$N$15,MATCH($F19,'CI&amp;S'!$B$10:$B$15,0))),"N/A")</f>
        <v/>
      </c>
      <c r="M19" s="52">
        <f>IFERROR(IF(INDEX('CI&amp;S'!$N$22:$N$36,MATCH($F19,'CI&amp;S'!$B$22:$B$36,0))="","Cell will autofill based on response",INDEX('CI&amp;S'!$N$22:$N$36,MATCH($F19,'CI&amp;S'!$B$22:$B$36,0))),"N/A")</f>
        <v/>
      </c>
      <c r="N19" s="52">
        <f>IFERROR(IF(INDEX('CFOG'!$N$10:$N$16,MATCH($F19,'CFOG'!$B$10:$B$16,0))="","Cell will autofill based on response",INDEX('CFOG'!$N$10:$N$16,MATCH($F19,'CFOG'!$B$10:$B$16,0))),"N/A")</f>
        <v/>
      </c>
      <c r="O19" s="52">
        <f>IFERROR(IF(INDEX('CFOG'!$N$23:$N$24,MATCH($F19,'CFOG'!$B$23:$B$24,0))="","Cell will autofill based on response",INDEX('CFOG'!$N$23:$N$24,MATCH($F19,'CFOG'!$B$23:$B$24,0))),"N/A")</f>
        <v/>
      </c>
      <c r="P19" s="52">
        <f>IFERROR(IF(INDEX('ESG'!$N$10:$N$17,MATCH($F19,'ESG'!$B$10:$B$17,0))="","Cell will autofill based on response",INDEX('ESG'!$N$10:$N$17,MATCH($F19,'ESG'!$B$10:$B$17,0))),"N/A")</f>
        <v/>
      </c>
      <c r="Q19" s="52">
        <f>IFERROR(IF(INDEX('CIOG'!$N$10:$N$14,MATCH($F19,'CIOG'!$B$10:$B$14,0))="","Cell will autofill based on response",INDEX('CIOG'!$N$10:$N$14,MATCH($F19,'CIOG'!$B$10:$B$14,0))),"N/A")</f>
        <v/>
      </c>
      <c r="R19" s="52">
        <f>IFERROR(IF(INDEX('MRE'!$N$10:$N$18,MATCH($F19,'MRE'!$B$10:$B$18,0))="","Cell will autofill based on response",INDEX('MRE'!$N$10:$N$18,MATCH($F19,'MRE'!$B$10:$B$18,0))),"N/A")</f>
        <v/>
      </c>
      <c r="S19" s="52">
        <f>IFERROR(IF(INDEX('AC&amp;M'!$N$10:$N$14,MATCH($F19,'AC&amp;M'!$B$10:$B$14,0))="","Cell will autofill based on response",INDEX('AC&amp;M'!$N$10:$N$14,MATCH($F19,'AC&amp;M'!$B$10:$B$14,0))),"N/A")</f>
        <v/>
      </c>
      <c r="T19" s="52">
        <f>IFERROR(IF(INDEX('GCE'!$N$10:$N$12,MATCH($F19,'GCE'!$B$10:$B$12,0))="","Cell will autofill based on response",INDEX('GCE'!$N$10:$N$12,MATCH($F19,'GCE'!$B$10:$B$12,0))),"N/A")</f>
        <v/>
      </c>
      <c r="U19" s="52">
        <f>IFERROR(IF(INDEX('Education'!$N$10:$N$13,MATCH($F19,'Education'!$B$10:$B$13,0))="","Cell will autofill based on response",INDEX('Education'!$N$10:$N$13,MATCH($F19,'Education'!$B$10:$B$13,0))),"N/A")</f>
        <v/>
      </c>
      <c r="V19" s="52">
        <f>IFERROR(IF(INDEX('SaSS'!$N$10:$N$12,MATCH($F19,'SaSS'!$B$10:$B$12,0))="","Cell will autofill based on response",INDEX('SaSS'!$N$10:$N$12,MATCH($F19,'SaSS'!$B$10:$B$12,0))),"N/A")</f>
        <v/>
      </c>
      <c r="W19" s="52">
        <f>IFERROR(IF(INDEX('Indigenous'!$N$10:$N$11,MATCH($F19,'Indigenous'!$B$10:$B$11,0))="","Cell will autofill based on response",INDEX('Indigenous'!$N$10:$N$11,MATCH($F19,'Indigenous'!$B$10:$B$11,0))),"N/A")</f>
        <v/>
      </c>
      <c r="X19" s="52">
        <f>IFERROR(IF(INDEX('L&amp;R'!$N$10:$N$11,MATCH($F19,'L&amp;R'!$B$10:$B$11,0))="","Cell will autofill based on response",INDEX('L&amp;R'!$N$10:$N$11,MATCH($F19,'L&amp;R'!$B$10:$B$11,0))),"N/A")</f>
        <v/>
      </c>
    </row>
    <row r="20">
      <c r="A20">
        <f>F20&amp;"|"&amp;G20</f>
        <v/>
      </c>
      <c r="B20" s="13" t="inlineStr"/>
      <c r="C20" s="8" t="inlineStr"/>
      <c r="D20" s="8" t="inlineStr"/>
      <c r="E20" s="8" t="inlineStr"/>
      <c r="F20" s="8" t="inlineStr">
        <is>
          <t>EE1(b)</t>
        </is>
      </c>
      <c r="G20" s="8" t="inlineStr">
        <is>
          <t>Supporting information/comments</t>
        </is>
      </c>
      <c r="H20" s="52">
        <f>IFERROR(IF(INDEX('Faculties'!$O$10:$O$19,MATCH($F20,'Faculties'!$B$10:$B$19,0))="","Cell will autofill based on response",INDEX('Faculties'!$O$10:$O$19,MATCH($F20,'Faculties'!$B$10:$B$19,0))),"N/A")</f>
        <v/>
      </c>
      <c r="I20" s="52">
        <f>IFERROR(IF(INDEX('Faculties'!$O$26:$O$35,MATCH($F20,'Faculties'!$B$26:$B$35,0))="","Cell will autofill based on response",INDEX('Faculties'!$O$26:$O$35,MATCH($F20,'Faculties'!$B$26:$B$35,0))),"N/A")</f>
        <v/>
      </c>
      <c r="J20" s="52">
        <f>IFERROR(IF(INDEX('Faculties'!$O$42:$O$51,MATCH($F20,'Faculties'!$B$42:$B$51,0))="","Cell will autofill based on response",INDEX('Faculties'!$O$42:$O$51,MATCH($F20,'Faculties'!$B$42:$B$51,0))),"N/A")</f>
        <v/>
      </c>
      <c r="K20" s="52">
        <f>IFERROR(IF(INDEX('Faculties'!$O$58:$O$67,MATCH($F20,'Faculties'!$B$58:$B$67,0))="","Cell will autofill based on response",INDEX('Faculties'!$O$58:$O$67,MATCH($F20,'Faculties'!$B$58:$B$67,0))),"N/A")</f>
        <v/>
      </c>
      <c r="L20" s="52">
        <f>IFERROR(IF(INDEX('CI&amp;S'!$O$10:$O$15,MATCH($F20,'CI&amp;S'!$B$10:$B$15,0))="","Cell will autofill based on response",INDEX('CI&amp;S'!$O$10:$O$15,MATCH($F20,'CI&amp;S'!$B$10:$B$15,0))),"N/A")</f>
        <v/>
      </c>
      <c r="M20" s="52">
        <f>IFERROR(IF(INDEX('CI&amp;S'!$O$22:$O$36,MATCH($F20,'CI&amp;S'!$B$22:$B$36,0))="","Cell will autofill based on response",INDEX('CI&amp;S'!$O$22:$O$36,MATCH($F20,'CI&amp;S'!$B$22:$B$36,0))),"N/A")</f>
        <v/>
      </c>
      <c r="N20" s="52">
        <f>IFERROR(IF(INDEX('CFOG'!$O$10:$O$16,MATCH($F20,'CFOG'!$B$10:$B$16,0))="","Cell will autofill based on response",INDEX('CFOG'!$O$10:$O$16,MATCH($F20,'CFOG'!$B$10:$B$16,0))),"N/A")</f>
        <v/>
      </c>
      <c r="O20" s="52">
        <f>IFERROR(IF(INDEX('CFOG'!$O$23:$O$24,MATCH($F20,'CFOG'!$B$23:$B$24,0))="","Cell will autofill based on response",INDEX('CFOG'!$O$23:$O$24,MATCH($F20,'CFOG'!$B$23:$B$24,0))),"N/A")</f>
        <v/>
      </c>
      <c r="P20" s="52">
        <f>IFERROR(IF(INDEX('ESG'!$O$10:$O$17,MATCH($F20,'ESG'!$B$10:$B$17,0))="","Cell will autofill based on response",INDEX('ESG'!$O$10:$O$17,MATCH($F20,'ESG'!$B$10:$B$17,0))),"N/A")</f>
        <v/>
      </c>
      <c r="Q20" s="52">
        <f>IFERROR(IF(INDEX('CIOG'!$O$10:$O$14,MATCH($F20,'CIOG'!$B$10:$B$14,0))="","Cell will autofill based on response",INDEX('CIOG'!$O$10:$O$14,MATCH($F20,'CIOG'!$B$10:$B$14,0))),"N/A")</f>
        <v/>
      </c>
      <c r="R20" s="52">
        <f>IFERROR(IF(INDEX('MRE'!$O$10:$O$18,MATCH($F20,'MRE'!$B$10:$B$18,0))="","Cell will autofill based on response",INDEX('MRE'!$O$10:$O$18,MATCH($F20,'MRE'!$B$10:$B$18,0))),"N/A")</f>
        <v/>
      </c>
      <c r="S20" s="52">
        <f>IFERROR(IF(INDEX('AC&amp;M'!$O$10:$O$14,MATCH($F20,'AC&amp;M'!$B$10:$B$14,0))="","Cell will autofill based on response",INDEX('AC&amp;M'!$O$10:$O$14,MATCH($F20,'AC&amp;M'!$B$10:$B$14,0))),"N/A")</f>
        <v/>
      </c>
      <c r="T20" s="52">
        <f>IFERROR(IF(INDEX('GCE'!$O$10:$O$12,MATCH($F20,'GCE'!$B$10:$B$12,0))="","Cell will autofill based on response",INDEX('GCE'!$O$10:$O$12,MATCH($F20,'GCE'!$B$10:$B$12,0))),"N/A")</f>
        <v/>
      </c>
      <c r="U20" s="52">
        <f>IFERROR(IF(INDEX('Education'!$O$10:$O$13,MATCH($F20,'Education'!$B$10:$B$13,0))="","Cell will autofill based on response",INDEX('Education'!$O$10:$O$13,MATCH($F20,'Education'!$B$10:$B$13,0))),"N/A")</f>
        <v/>
      </c>
      <c r="V20" s="52">
        <f>IFERROR(IF(INDEX('SaSS'!$O$10:$O$12,MATCH($F20,'SaSS'!$B$10:$B$12,0))="","Cell will autofill based on response",INDEX('SaSS'!$O$10:$O$12,MATCH($F20,'SaSS'!$B$10:$B$12,0))),"N/A")</f>
        <v/>
      </c>
      <c r="W20" s="52">
        <f>IFERROR(IF(INDEX('Indigenous'!$O$10:$O$11,MATCH($F20,'Indigenous'!$B$10:$B$11,0))="","Cell will autofill based on response",INDEX('Indigenous'!$O$10:$O$11,MATCH($F20,'Indigenous'!$B$10:$B$11,0))),"N/A")</f>
        <v/>
      </c>
      <c r="X20" s="52">
        <f>IFERROR(IF(INDEX('L&amp;R'!$O$10:$O$11,MATCH($F20,'L&amp;R'!$B$10:$B$11,0))="","Cell will autofill based on response",INDEX('L&amp;R'!$O$10:$O$11,MATCH($F20,'L&amp;R'!$B$10:$B$11,0))),"N/A")</f>
        <v/>
      </c>
    </row>
    <row r="21">
      <c r="A21">
        <f>F21&amp;"|"&amp;G21</f>
        <v/>
      </c>
      <c r="B21" s="13" t="inlineStr"/>
      <c r="C21" s="8" t="inlineStr"/>
      <c r="D21" s="8" t="inlineStr"/>
      <c r="E21" s="8" t="inlineStr"/>
      <c r="F21" s="8" t="inlineStr">
        <is>
          <t>EE1(b)</t>
        </is>
      </c>
      <c r="G21" s="8" t="inlineStr">
        <is>
          <t>Data source and limitations</t>
        </is>
      </c>
      <c r="H21" s="52">
        <f>IFERROR(IF(INDEX('Faculties'!$P$10:$P$19,MATCH($F21,'Faculties'!$B$10:$B$19,0))="","Cell will autofill based on response",INDEX('Faculties'!$P$10:$P$19,MATCH($F21,'Faculties'!$B$10:$B$19,0))),"N/A")</f>
        <v/>
      </c>
      <c r="I21" s="52">
        <f>IFERROR(IF(INDEX('Faculties'!$P$26:$P$35,MATCH($F21,'Faculties'!$B$26:$B$35,0))="","Cell will autofill based on response",INDEX('Faculties'!$P$26:$P$35,MATCH($F21,'Faculties'!$B$26:$B$35,0))),"N/A")</f>
        <v/>
      </c>
      <c r="J21" s="52">
        <f>IFERROR(IF(INDEX('Faculties'!$P$42:$P$51,MATCH($F21,'Faculties'!$B$42:$B$51,0))="","Cell will autofill based on response",INDEX('Faculties'!$P$42:$P$51,MATCH($F21,'Faculties'!$B$42:$B$51,0))),"N/A")</f>
        <v/>
      </c>
      <c r="K21" s="52">
        <f>IFERROR(IF(INDEX('Faculties'!$P$58:$P$67,MATCH($F21,'Faculties'!$B$58:$B$67,0))="","Cell will autofill based on response",INDEX('Faculties'!$P$58:$P$67,MATCH($F21,'Faculties'!$B$58:$B$67,0))),"N/A")</f>
        <v/>
      </c>
      <c r="L21" s="52">
        <f>IFERROR(IF(INDEX('CI&amp;S'!$P$10:$P$15,MATCH($F21,'CI&amp;S'!$B$10:$B$15,0))="","Cell will autofill based on response",INDEX('CI&amp;S'!$P$10:$P$15,MATCH($F21,'CI&amp;S'!$B$10:$B$15,0))),"N/A")</f>
        <v/>
      </c>
      <c r="M21" s="52">
        <f>IFERROR(IF(INDEX('CI&amp;S'!$P$22:$P$36,MATCH($F21,'CI&amp;S'!$B$22:$B$36,0))="","Cell will autofill based on response",INDEX('CI&amp;S'!$P$22:$P$36,MATCH($F21,'CI&amp;S'!$B$22:$B$36,0))),"N/A")</f>
        <v/>
      </c>
      <c r="N21" s="52">
        <f>IFERROR(IF(INDEX('CFOG'!$P$10:$P$16,MATCH($F21,'CFOG'!$B$10:$B$16,0))="","Cell will autofill based on response",INDEX('CFOG'!$P$10:$P$16,MATCH($F21,'CFOG'!$B$10:$B$16,0))),"N/A")</f>
        <v/>
      </c>
      <c r="O21" s="52">
        <f>IFERROR(IF(INDEX('CFOG'!$P$23:$P$24,MATCH($F21,'CFOG'!$B$23:$B$24,0))="","Cell will autofill based on response",INDEX('CFOG'!$P$23:$P$24,MATCH($F21,'CFOG'!$B$23:$B$24,0))),"N/A")</f>
        <v/>
      </c>
      <c r="P21" s="52">
        <f>IFERROR(IF(INDEX('ESG'!$P$10:$P$17,MATCH($F21,'ESG'!$B$10:$B$17,0))="","Cell will autofill based on response",INDEX('ESG'!$P$10:$P$17,MATCH($F21,'ESG'!$B$10:$B$17,0))),"N/A")</f>
        <v/>
      </c>
      <c r="Q21" s="52">
        <f>IFERROR(IF(INDEX('CIOG'!$P$10:$P$14,MATCH($F21,'CIOG'!$B$10:$B$14,0))="","Cell will autofill based on response",INDEX('CIOG'!$P$10:$P$14,MATCH($F21,'CIOG'!$B$10:$B$14,0))),"N/A")</f>
        <v/>
      </c>
      <c r="R21" s="52">
        <f>IFERROR(IF(INDEX('MRE'!$P$10:$P$18,MATCH($F21,'MRE'!$B$10:$B$18,0))="","Cell will autofill based on response",INDEX('MRE'!$P$10:$P$18,MATCH($F21,'MRE'!$B$10:$B$18,0))),"N/A")</f>
        <v/>
      </c>
      <c r="S21" s="52">
        <f>IFERROR(IF(INDEX('AC&amp;M'!$P$10:$P$14,MATCH($F21,'AC&amp;M'!$B$10:$B$14,0))="","Cell will autofill based on response",INDEX('AC&amp;M'!$P$10:$P$14,MATCH($F21,'AC&amp;M'!$B$10:$B$14,0))),"N/A")</f>
        <v/>
      </c>
      <c r="T21" s="52">
        <f>IFERROR(IF(INDEX('GCE'!$P$10:$P$12,MATCH($F21,'GCE'!$B$10:$B$12,0))="","Cell will autofill based on response",INDEX('GCE'!$P$10:$P$12,MATCH($F21,'GCE'!$B$10:$B$12,0))),"N/A")</f>
        <v/>
      </c>
      <c r="U21" s="52">
        <f>IFERROR(IF(INDEX('Education'!$P$10:$P$13,MATCH($F21,'Education'!$B$10:$B$13,0))="","Cell will autofill based on response",INDEX('Education'!$P$10:$P$13,MATCH($F21,'Education'!$B$10:$B$13,0))),"N/A")</f>
        <v/>
      </c>
      <c r="V21" s="52">
        <f>IFERROR(IF(INDEX('SaSS'!$P$10:$P$12,MATCH($F21,'SaSS'!$B$10:$B$12,0))="","Cell will autofill based on response",INDEX('SaSS'!$P$10:$P$12,MATCH($F21,'SaSS'!$B$10:$B$12,0))),"N/A")</f>
        <v/>
      </c>
      <c r="W21" s="52">
        <f>IFERROR(IF(INDEX('Indigenous'!$P$10:$P$11,MATCH($F21,'Indigenous'!$B$10:$B$11,0))="","Cell will autofill based on response",INDEX('Indigenous'!$P$10:$P$11,MATCH($F21,'Indigenous'!$B$10:$B$11,0))),"N/A")</f>
        <v/>
      </c>
      <c r="X21" s="52">
        <f>IFERROR(IF(INDEX('L&amp;R'!$P$10:$P$11,MATCH($F21,'L&amp;R'!$B$10:$B$11,0))="","Cell will autofill based on response",INDEX('L&amp;R'!$P$10:$P$11,MATCH($F21,'L&amp;R'!$B$10:$B$11,0))),"N/A")</f>
        <v/>
      </c>
    </row>
    <row r="22">
      <c r="A22">
        <f>F22&amp;"|"&amp;G22</f>
        <v/>
      </c>
      <c r="B22" s="13" t="inlineStr"/>
      <c r="C22" s="8" t="inlineStr"/>
      <c r="D22" s="8" t="inlineStr"/>
      <c r="E22" s="8" t="inlineStr"/>
      <c r="F22" s="8" t="inlineStr">
        <is>
          <t>EE1(b)</t>
        </is>
      </c>
      <c r="G22" s="8" t="inlineStr">
        <is>
          <t>Data owner confirms</t>
        </is>
      </c>
      <c r="H22" s="52">
        <f>IFERROR(IF(INDEX('Faculties'!$Q$10:$Q$19,MATCH($F22,'Faculties'!$B$10:$B$19,0))="","Cell will autofill based on response",INDEX('Faculties'!$Q$10:$Q$19,MATCH($F22,'Faculties'!$B$10:$B$19,0))),"N/A")</f>
        <v/>
      </c>
      <c r="I22" s="52">
        <f>IFERROR(IF(INDEX('Faculties'!$Q$26:$Q$35,MATCH($F22,'Faculties'!$B$26:$B$35,0))="","Cell will autofill based on response",INDEX('Faculties'!$Q$26:$Q$35,MATCH($F22,'Faculties'!$B$26:$B$35,0))),"N/A")</f>
        <v/>
      </c>
      <c r="J22" s="52">
        <f>IFERROR(IF(INDEX('Faculties'!$Q$42:$Q$51,MATCH($F22,'Faculties'!$B$42:$B$51,0))="","Cell will autofill based on response",INDEX('Faculties'!$Q$42:$Q$51,MATCH($F22,'Faculties'!$B$42:$B$51,0))),"N/A")</f>
        <v/>
      </c>
      <c r="K22" s="52">
        <f>IFERROR(IF(INDEX('Faculties'!$Q$58:$Q$67,MATCH($F22,'Faculties'!$B$58:$B$67,0))="","Cell will autofill based on response",INDEX('Faculties'!$Q$58:$Q$67,MATCH($F22,'Faculties'!$B$58:$B$67,0))),"N/A")</f>
        <v/>
      </c>
      <c r="L22" s="52">
        <f>IFERROR(IF(INDEX('CI&amp;S'!$Q$10:$Q$15,MATCH($F22,'CI&amp;S'!$B$10:$B$15,0))="","Cell will autofill based on response",INDEX('CI&amp;S'!$Q$10:$Q$15,MATCH($F22,'CI&amp;S'!$B$10:$B$15,0))),"N/A")</f>
        <v/>
      </c>
      <c r="M22" s="52">
        <f>IFERROR(IF(INDEX('CI&amp;S'!$Q$22:$Q$36,MATCH($F22,'CI&amp;S'!$B$22:$B$36,0))="","Cell will autofill based on response",INDEX('CI&amp;S'!$Q$22:$Q$36,MATCH($F22,'CI&amp;S'!$B$22:$B$36,0))),"N/A")</f>
        <v/>
      </c>
      <c r="N22" s="52">
        <f>IFERROR(IF(INDEX('CFOG'!$Q$10:$Q$16,MATCH($F22,'CFOG'!$B$10:$B$16,0))="","Cell will autofill based on response",INDEX('CFOG'!$Q$10:$Q$16,MATCH($F22,'CFOG'!$B$10:$B$16,0))),"N/A")</f>
        <v/>
      </c>
      <c r="O22" s="52">
        <f>IFERROR(IF(INDEX('CFOG'!$Q$23:$Q$24,MATCH($F22,'CFOG'!$B$23:$B$24,0))="","Cell will autofill based on response",INDEX('CFOG'!$Q$23:$Q$24,MATCH($F22,'CFOG'!$B$23:$B$24,0))),"N/A")</f>
        <v/>
      </c>
      <c r="P22" s="52">
        <f>IFERROR(IF(INDEX('ESG'!$Q$10:$Q$17,MATCH($F22,'ESG'!$B$10:$B$17,0))="","Cell will autofill based on response",INDEX('ESG'!$Q$10:$Q$17,MATCH($F22,'ESG'!$B$10:$B$17,0))),"N/A")</f>
        <v/>
      </c>
      <c r="Q22" s="52">
        <f>IFERROR(IF(INDEX('CIOG'!$Q$10:$Q$14,MATCH($F22,'CIOG'!$B$10:$B$14,0))="","Cell will autofill based on response",INDEX('CIOG'!$Q$10:$Q$14,MATCH($F22,'CIOG'!$B$10:$B$14,0))),"N/A")</f>
        <v/>
      </c>
      <c r="R22" s="52">
        <f>IFERROR(IF(INDEX('MRE'!$Q$10:$Q$18,MATCH($F22,'MRE'!$B$10:$B$18,0))="","Cell will autofill based on response",INDEX('MRE'!$Q$10:$Q$18,MATCH($F22,'MRE'!$B$10:$B$18,0))),"N/A")</f>
        <v/>
      </c>
      <c r="S22" s="52">
        <f>IFERROR(IF(INDEX('AC&amp;M'!$Q$10:$Q$14,MATCH($F22,'AC&amp;M'!$B$10:$B$14,0))="","Cell will autofill based on response",INDEX('AC&amp;M'!$Q$10:$Q$14,MATCH($F22,'AC&amp;M'!$B$10:$B$14,0))),"N/A")</f>
        <v/>
      </c>
      <c r="T22" s="52">
        <f>IFERROR(IF(INDEX('GCE'!$Q$10:$Q$12,MATCH($F22,'GCE'!$B$10:$B$12,0))="","Cell will autofill based on response",INDEX('GCE'!$Q$10:$Q$12,MATCH($F22,'GCE'!$B$10:$B$12,0))),"N/A")</f>
        <v/>
      </c>
      <c r="U22" s="52">
        <f>IFERROR(IF(INDEX('Education'!$Q$10:$Q$13,MATCH($F22,'Education'!$B$10:$B$13,0))="","Cell will autofill based on response",INDEX('Education'!$Q$10:$Q$13,MATCH($F22,'Education'!$B$10:$B$13,0))),"N/A")</f>
        <v/>
      </c>
      <c r="V22" s="52">
        <f>IFERROR(IF(INDEX('SaSS'!$Q$10:$Q$12,MATCH($F22,'SaSS'!$B$10:$B$12,0))="","Cell will autofill based on response",INDEX('SaSS'!$Q$10:$Q$12,MATCH($F22,'SaSS'!$B$10:$B$12,0))),"N/A")</f>
        <v/>
      </c>
      <c r="W22" s="52">
        <f>IFERROR(IF(INDEX('Indigenous'!$Q$10:$Q$11,MATCH($F22,'Indigenous'!$B$10:$B$11,0))="","Cell will autofill based on response",INDEX('Indigenous'!$Q$10:$Q$11,MATCH($F22,'Indigenous'!$B$10:$B$11,0))),"N/A")</f>
        <v/>
      </c>
      <c r="X22" s="52">
        <f>IFERROR(IF(INDEX('L&amp;R'!$Q$10:$Q$11,MATCH($F22,'L&amp;R'!$B$10:$B$11,0))="","Cell will autofill based on response",INDEX('L&amp;R'!$Q$10:$Q$11,MATCH($F22,'L&amp;R'!$B$10:$B$11,0))),"N/A")</f>
        <v/>
      </c>
    </row>
    <row r="23">
      <c r="A23">
        <f>F23&amp;"|"&amp;G23</f>
        <v/>
      </c>
      <c r="B23" s="7" t="inlineStr">
        <is>
          <t>EE1(c)</t>
        </is>
      </c>
      <c r="C23" s="50" t="inlineStr">
        <is>
          <t>Exceptional education</t>
        </is>
      </c>
      <c r="D23" s="50" t="inlineStr">
        <is>
          <t>Evidence of sustainability focused experiential and co curricular learning (eg Wattle Fellowship; Melbourne Plus)</t>
        </is>
      </c>
      <c r="E23" s="50"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3" s="50" t="inlineStr">
        <is>
          <t>EE1(c)</t>
        </is>
      </c>
      <c r="G23" s="50" t="inlineStr">
        <is>
          <t>Confirm end-2026 target status</t>
        </is>
      </c>
      <c r="H23" s="52">
        <f>IFERROR(IF(INDEX('Faculties'!$L$10:$L$19,MATCH($F23,'Faculties'!$B$10:$B$19,0))="","Cell will autofill based on response",INDEX('Faculties'!$L$10:$L$19,MATCH($F23,'Faculties'!$B$10:$B$19,0))),"N/A")</f>
        <v/>
      </c>
      <c r="I23" s="52">
        <f>IFERROR(IF(INDEX('Faculties'!$L$26:$L$35,MATCH($F23,'Faculties'!$B$26:$B$35,0))="","Cell will autofill based on response",INDEX('Faculties'!$L$26:$L$35,MATCH($F23,'Faculties'!$B$26:$B$35,0))),"N/A")</f>
        <v/>
      </c>
      <c r="J23" s="52">
        <f>IFERROR(IF(INDEX('Faculties'!$L$42:$L$51,MATCH($F23,'Faculties'!$B$42:$B$51,0))="","Cell will autofill based on response",INDEX('Faculties'!$L$42:$L$51,MATCH($F23,'Faculties'!$B$42:$B$51,0))),"N/A")</f>
        <v/>
      </c>
      <c r="K23" s="52">
        <f>IFERROR(IF(INDEX('Faculties'!$L$58:$L$67,MATCH($F23,'Faculties'!$B$58:$B$67,0))="","Cell will autofill based on response",INDEX('Faculties'!$L$58:$L$67,MATCH($F23,'Faculties'!$B$58:$B$67,0))),"N/A")</f>
        <v/>
      </c>
      <c r="L23" s="52">
        <f>IFERROR(IF(INDEX('CI&amp;S'!$L$10:$L$15,MATCH($F23,'CI&amp;S'!$B$10:$B$15,0))="","Cell will autofill based on response",INDEX('CI&amp;S'!$L$10:$L$15,MATCH($F23,'CI&amp;S'!$B$10:$B$15,0))),"N/A")</f>
        <v/>
      </c>
      <c r="M23" s="52">
        <f>IFERROR(IF(INDEX('CI&amp;S'!$L$22:$L$36,MATCH($F23,'CI&amp;S'!$B$22:$B$36,0))="","Cell will autofill based on response",INDEX('CI&amp;S'!$L$22:$L$36,MATCH($F23,'CI&amp;S'!$B$22:$B$36,0))),"N/A")</f>
        <v/>
      </c>
      <c r="N23" s="52">
        <f>IFERROR(IF(INDEX('CFOG'!$L$10:$L$16,MATCH($F23,'CFOG'!$B$10:$B$16,0))="","Cell will autofill based on response",INDEX('CFOG'!$L$10:$L$16,MATCH($F23,'CFOG'!$B$10:$B$16,0))),"N/A")</f>
        <v/>
      </c>
      <c r="O23" s="52">
        <f>IFERROR(IF(INDEX('CFOG'!$L$23:$L$24,MATCH($F23,'CFOG'!$B$23:$B$24,0))="","Cell will autofill based on response",INDEX('CFOG'!$L$23:$L$24,MATCH($F23,'CFOG'!$B$23:$B$24,0))),"N/A")</f>
        <v/>
      </c>
      <c r="P23" s="52">
        <f>IFERROR(IF(INDEX('ESG'!$L$10:$L$17,MATCH($F23,'ESG'!$B$10:$B$17,0))="","Cell will autofill based on response",INDEX('ESG'!$L$10:$L$17,MATCH($F23,'ESG'!$B$10:$B$17,0))),"N/A")</f>
        <v/>
      </c>
      <c r="Q23" s="52">
        <f>IFERROR(IF(INDEX('CIOG'!$L$10:$L$14,MATCH($F23,'CIOG'!$B$10:$B$14,0))="","Cell will autofill based on response",INDEX('CIOG'!$L$10:$L$14,MATCH($F23,'CIOG'!$B$10:$B$14,0))),"N/A")</f>
        <v/>
      </c>
      <c r="R23" s="52">
        <f>IFERROR(IF(INDEX('MRE'!$L$10:$L$18,MATCH($F23,'MRE'!$B$10:$B$18,0))="","Cell will autofill based on response",INDEX('MRE'!$L$10:$L$18,MATCH($F23,'MRE'!$B$10:$B$18,0))),"N/A")</f>
        <v/>
      </c>
      <c r="S23" s="52">
        <f>IFERROR(IF(INDEX('AC&amp;M'!$L$10:$L$14,MATCH($F23,'AC&amp;M'!$B$10:$B$14,0))="","Cell will autofill based on response",INDEX('AC&amp;M'!$L$10:$L$14,MATCH($F23,'AC&amp;M'!$B$10:$B$14,0))),"N/A")</f>
        <v/>
      </c>
      <c r="T23" s="52">
        <f>IFERROR(IF(INDEX('GCE'!$L$10:$L$12,MATCH($F23,'GCE'!$B$10:$B$12,0))="","Cell will autofill based on response",INDEX('GCE'!$L$10:$L$12,MATCH($F23,'GCE'!$B$10:$B$12,0))),"N/A")</f>
        <v/>
      </c>
      <c r="U23" s="52">
        <f>IFERROR(IF(INDEX('Education'!$L$10:$L$13,MATCH($F23,'Education'!$B$10:$B$13,0))="","Cell will autofill based on response",INDEX('Education'!$L$10:$L$13,MATCH($F23,'Education'!$B$10:$B$13,0))),"N/A")</f>
        <v/>
      </c>
      <c r="V23" s="52">
        <f>IFERROR(IF(INDEX('SaSS'!$L$10:$L$12,MATCH($F23,'SaSS'!$B$10:$B$12,0))="","Cell will autofill based on response",INDEX('SaSS'!$L$10:$L$12,MATCH($F23,'SaSS'!$B$10:$B$12,0))),"N/A")</f>
        <v/>
      </c>
      <c r="W23" s="52">
        <f>IFERROR(IF(INDEX('Indigenous'!$L$10:$L$11,MATCH($F23,'Indigenous'!$B$10:$B$11,0))="","Cell will autofill based on response",INDEX('Indigenous'!$L$10:$L$11,MATCH($F23,'Indigenous'!$B$10:$B$11,0))),"N/A")</f>
        <v/>
      </c>
      <c r="X23" s="52">
        <f>IFERROR(IF(INDEX('L&amp;R'!$L$10:$L$11,MATCH($F23,'L&amp;R'!$B$10:$B$11,0))="","Cell will autofill based on response",INDEX('L&amp;R'!$L$10:$L$11,MATCH($F23,'L&amp;R'!$B$10:$B$11,0))),"N/A")</f>
        <v/>
      </c>
      <c r="Z23" s="10">
        <f>COUNTIF($H23:$X23,"Cell will autofill based on response")</f>
        <v/>
      </c>
      <c r="AA23" s="10">
        <f>COUNTIF($H23:$X23,"Not yet started")</f>
        <v/>
      </c>
      <c r="AB23" s="10">
        <f>COUNTIF($H23:$X23,"Not met")</f>
        <v/>
      </c>
      <c r="AC23" s="10">
        <f>COUNTIF($H23:$X23,"Partially met")</f>
        <v/>
      </c>
      <c r="AD23" s="10">
        <f>COUNTIF($H23:$X23,"Met or exceeded")</f>
        <v/>
      </c>
      <c r="AE23" s="10">
        <f>3*AD23+2*AC23+AB23</f>
        <v/>
      </c>
      <c r="AF23" s="10">
        <f>AD23+AC23+AB23+AA23</f>
        <v/>
      </c>
      <c r="AG23" s="53">
        <f>IF(AF23&gt;0,AE23/AF23,"No valid responses to date")</f>
        <v/>
      </c>
      <c r="AH23" s="10">
        <f>IF(ISNUMBER(AG23),INDEX(Lists!$G$2:$G$5,MATCH(ROUND(AG23,0),Lists!$H$2:$H$5,0)),"")</f>
        <v/>
      </c>
      <c r="AI23" s="54">
        <f>IF(AF23&gt;0,AD23/AF23,"")</f>
        <v/>
      </c>
      <c r="AJ23" s="54">
        <f>IF(AF23&gt;0,(AD23+AC23)/AF23,"")</f>
        <v/>
      </c>
      <c r="AK23" s="10">
        <f>IF(AF23=0,"",IF(AI23&gt;0.75,"Met or exceeded",IF(AJ23&gt;=0.5,"Partially met","Not met")))</f>
        <v/>
      </c>
    </row>
    <row r="24">
      <c r="A24">
        <f>F24&amp;"|"&amp;G24</f>
        <v/>
      </c>
      <c r="B24" s="13" t="inlineStr"/>
      <c r="C24" s="8" t="inlineStr"/>
      <c r="D24" s="8" t="inlineStr"/>
      <c r="E24" s="8" t="inlineStr"/>
      <c r="F24" s="8" t="inlineStr">
        <is>
          <t>EE1(c)</t>
        </is>
      </c>
      <c r="G24" s="8" t="inlineStr">
        <is>
          <t>OPTION 1:  Target-level reporting</t>
        </is>
      </c>
      <c r="H24" s="52">
        <f>IFERROR(IF(INDEX('Faculties'!$M$10:$M$19,MATCH($F24,'Faculties'!$B$10:$B$19,0))="","Cell will autofill based on response",INDEX('Faculties'!$M$10:$M$19,MATCH($F24,'Faculties'!$B$10:$B$19,0))),"N/A")</f>
        <v/>
      </c>
      <c r="I24" s="52">
        <f>IFERROR(IF(INDEX('Faculties'!$M$26:$M$35,MATCH($F24,'Faculties'!$B$26:$B$35,0))="","Cell will autofill based on response",INDEX('Faculties'!$M$26:$M$35,MATCH($F24,'Faculties'!$B$26:$B$35,0))),"N/A")</f>
        <v/>
      </c>
      <c r="J24" s="52">
        <f>IFERROR(IF(INDEX('Faculties'!$M$42:$M$51,MATCH($F24,'Faculties'!$B$42:$B$51,0))="","Cell will autofill based on response",INDEX('Faculties'!$M$42:$M$51,MATCH($F24,'Faculties'!$B$42:$B$51,0))),"N/A")</f>
        <v/>
      </c>
      <c r="K24" s="52">
        <f>IFERROR(IF(INDEX('Faculties'!$M$58:$M$67,MATCH($F24,'Faculties'!$B$58:$B$67,0))="","Cell will autofill based on response",INDEX('Faculties'!$M$58:$M$67,MATCH($F24,'Faculties'!$B$58:$B$67,0))),"N/A")</f>
        <v/>
      </c>
      <c r="L24" s="52">
        <f>IFERROR(IF(INDEX('CI&amp;S'!$M$10:$M$15,MATCH($F24,'CI&amp;S'!$B$10:$B$15,0))="","Cell will autofill based on response",INDEX('CI&amp;S'!$M$10:$M$15,MATCH($F24,'CI&amp;S'!$B$10:$B$15,0))),"N/A")</f>
        <v/>
      </c>
      <c r="M24" s="52">
        <f>IFERROR(IF(INDEX('CI&amp;S'!$M$22:$M$36,MATCH($F24,'CI&amp;S'!$B$22:$B$36,0))="","Cell will autofill based on response",INDEX('CI&amp;S'!$M$22:$M$36,MATCH($F24,'CI&amp;S'!$B$22:$B$36,0))),"N/A")</f>
        <v/>
      </c>
      <c r="N24" s="52">
        <f>IFERROR(IF(INDEX('CFOG'!$M$10:$M$16,MATCH($F24,'CFOG'!$B$10:$B$16,0))="","Cell will autofill based on response",INDEX('CFOG'!$M$10:$M$16,MATCH($F24,'CFOG'!$B$10:$B$16,0))),"N/A")</f>
        <v/>
      </c>
      <c r="O24" s="52">
        <f>IFERROR(IF(INDEX('CFOG'!$M$23:$M$24,MATCH($F24,'CFOG'!$B$23:$B$24,0))="","Cell will autofill based on response",INDEX('CFOG'!$M$23:$M$24,MATCH($F24,'CFOG'!$B$23:$B$24,0))),"N/A")</f>
        <v/>
      </c>
      <c r="P24" s="52">
        <f>IFERROR(IF(INDEX('ESG'!$M$10:$M$17,MATCH($F24,'ESG'!$B$10:$B$17,0))="","Cell will autofill based on response",INDEX('ESG'!$M$10:$M$17,MATCH($F24,'ESG'!$B$10:$B$17,0))),"N/A")</f>
        <v/>
      </c>
      <c r="Q24" s="52">
        <f>IFERROR(IF(INDEX('CIOG'!$M$10:$M$14,MATCH($F24,'CIOG'!$B$10:$B$14,0))="","Cell will autofill based on response",INDEX('CIOG'!$M$10:$M$14,MATCH($F24,'CIOG'!$B$10:$B$14,0))),"N/A")</f>
        <v/>
      </c>
      <c r="R24" s="52">
        <f>IFERROR(IF(INDEX('MRE'!$M$10:$M$18,MATCH($F24,'MRE'!$B$10:$B$18,0))="","Cell will autofill based on response",INDEX('MRE'!$M$10:$M$18,MATCH($F24,'MRE'!$B$10:$B$18,0))),"N/A")</f>
        <v/>
      </c>
      <c r="S24" s="52">
        <f>IFERROR(IF(INDEX('AC&amp;M'!$M$10:$M$14,MATCH($F24,'AC&amp;M'!$B$10:$B$14,0))="","Cell will autofill based on response",INDEX('AC&amp;M'!$M$10:$M$14,MATCH($F24,'AC&amp;M'!$B$10:$B$14,0))),"N/A")</f>
        <v/>
      </c>
      <c r="T24" s="52">
        <f>IFERROR(IF(INDEX('GCE'!$M$10:$M$12,MATCH($F24,'GCE'!$B$10:$B$12,0))="","Cell will autofill based on response",INDEX('GCE'!$M$10:$M$12,MATCH($F24,'GCE'!$B$10:$B$12,0))),"N/A")</f>
        <v/>
      </c>
      <c r="U24" s="52">
        <f>IFERROR(IF(INDEX('Education'!$M$10:$M$13,MATCH($F24,'Education'!$B$10:$B$13,0))="","Cell will autofill based on response",INDEX('Education'!$M$10:$M$13,MATCH($F24,'Education'!$B$10:$B$13,0))),"N/A")</f>
        <v/>
      </c>
      <c r="V24" s="52">
        <f>IFERROR(IF(INDEX('SaSS'!$M$10:$M$12,MATCH($F24,'SaSS'!$B$10:$B$12,0))="","Cell will autofill based on response",INDEX('SaSS'!$M$10:$M$12,MATCH($F24,'SaSS'!$B$10:$B$12,0))),"N/A")</f>
        <v/>
      </c>
      <c r="W24" s="52">
        <f>IFERROR(IF(INDEX('Indigenous'!$M$10:$M$11,MATCH($F24,'Indigenous'!$B$10:$B$11,0))="","Cell will autofill based on response",INDEX('Indigenous'!$M$10:$M$11,MATCH($F24,'Indigenous'!$B$10:$B$11,0))),"N/A")</f>
        <v/>
      </c>
      <c r="X24" s="52">
        <f>IFERROR(IF(INDEX('L&amp;R'!$M$10:$M$11,MATCH($F24,'L&amp;R'!$B$10:$B$11,0))="","Cell will autofill based on response",INDEX('L&amp;R'!$M$10:$M$11,MATCH($F24,'L&amp;R'!$B$10:$B$11,0))),"N/A")</f>
        <v/>
      </c>
    </row>
    <row r="25">
      <c r="A25">
        <f>F25&amp;"|"&amp;G25</f>
        <v/>
      </c>
      <c r="B25" s="13" t="inlineStr"/>
      <c r="C25" s="8" t="inlineStr"/>
      <c r="D25" s="8" t="inlineStr"/>
      <c r="E25" s="8" t="inlineStr"/>
      <c r="F25" s="8" t="inlineStr">
        <is>
          <t>EE1(c)</t>
        </is>
      </c>
      <c r="G25" s="8" t="inlineStr">
        <is>
          <t>OPTION 2:  Indicator level reporting</t>
        </is>
      </c>
      <c r="H25" s="52">
        <f>IFERROR(IF(INDEX('Faculties'!$N$10:$N$19,MATCH($F25,'Faculties'!$B$10:$B$19,0))="","Cell will autofill based on response",INDEX('Faculties'!$N$10:$N$19,MATCH($F25,'Faculties'!$B$10:$B$19,0))),"N/A")</f>
        <v/>
      </c>
      <c r="I25" s="52">
        <f>IFERROR(IF(INDEX('Faculties'!$N$26:$N$35,MATCH($F25,'Faculties'!$B$26:$B$35,0))="","Cell will autofill based on response",INDEX('Faculties'!$N$26:$N$35,MATCH($F25,'Faculties'!$B$26:$B$35,0))),"N/A")</f>
        <v/>
      </c>
      <c r="J25" s="52">
        <f>IFERROR(IF(INDEX('Faculties'!$N$42:$N$51,MATCH($F25,'Faculties'!$B$42:$B$51,0))="","Cell will autofill based on response",INDEX('Faculties'!$N$42:$N$51,MATCH($F25,'Faculties'!$B$42:$B$51,0))),"N/A")</f>
        <v/>
      </c>
      <c r="K25" s="52">
        <f>IFERROR(IF(INDEX('Faculties'!$N$58:$N$67,MATCH($F25,'Faculties'!$B$58:$B$67,0))="","Cell will autofill based on response",INDEX('Faculties'!$N$58:$N$67,MATCH($F25,'Faculties'!$B$58:$B$67,0))),"N/A")</f>
        <v/>
      </c>
      <c r="L25" s="52">
        <f>IFERROR(IF(INDEX('CI&amp;S'!$N$10:$N$15,MATCH($F25,'CI&amp;S'!$B$10:$B$15,0))="","Cell will autofill based on response",INDEX('CI&amp;S'!$N$10:$N$15,MATCH($F25,'CI&amp;S'!$B$10:$B$15,0))),"N/A")</f>
        <v/>
      </c>
      <c r="M25" s="52">
        <f>IFERROR(IF(INDEX('CI&amp;S'!$N$22:$N$36,MATCH($F25,'CI&amp;S'!$B$22:$B$36,0))="","Cell will autofill based on response",INDEX('CI&amp;S'!$N$22:$N$36,MATCH($F25,'CI&amp;S'!$B$22:$B$36,0))),"N/A")</f>
        <v/>
      </c>
      <c r="N25" s="52">
        <f>IFERROR(IF(INDEX('CFOG'!$N$10:$N$16,MATCH($F25,'CFOG'!$B$10:$B$16,0))="","Cell will autofill based on response",INDEX('CFOG'!$N$10:$N$16,MATCH($F25,'CFOG'!$B$10:$B$16,0))),"N/A")</f>
        <v/>
      </c>
      <c r="O25" s="52">
        <f>IFERROR(IF(INDEX('CFOG'!$N$23:$N$24,MATCH($F25,'CFOG'!$B$23:$B$24,0))="","Cell will autofill based on response",INDEX('CFOG'!$N$23:$N$24,MATCH($F25,'CFOG'!$B$23:$B$24,0))),"N/A")</f>
        <v/>
      </c>
      <c r="P25" s="52">
        <f>IFERROR(IF(INDEX('ESG'!$N$10:$N$17,MATCH($F25,'ESG'!$B$10:$B$17,0))="","Cell will autofill based on response",INDEX('ESG'!$N$10:$N$17,MATCH($F25,'ESG'!$B$10:$B$17,0))),"N/A")</f>
        <v/>
      </c>
      <c r="Q25" s="52">
        <f>IFERROR(IF(INDEX('CIOG'!$N$10:$N$14,MATCH($F25,'CIOG'!$B$10:$B$14,0))="","Cell will autofill based on response",INDEX('CIOG'!$N$10:$N$14,MATCH($F25,'CIOG'!$B$10:$B$14,0))),"N/A")</f>
        <v/>
      </c>
      <c r="R25" s="52">
        <f>IFERROR(IF(INDEX('MRE'!$N$10:$N$18,MATCH($F25,'MRE'!$B$10:$B$18,0))="","Cell will autofill based on response",INDEX('MRE'!$N$10:$N$18,MATCH($F25,'MRE'!$B$10:$B$18,0))),"N/A")</f>
        <v/>
      </c>
      <c r="S25" s="52">
        <f>IFERROR(IF(INDEX('AC&amp;M'!$N$10:$N$14,MATCH($F25,'AC&amp;M'!$B$10:$B$14,0))="","Cell will autofill based on response",INDEX('AC&amp;M'!$N$10:$N$14,MATCH($F25,'AC&amp;M'!$B$10:$B$14,0))),"N/A")</f>
        <v/>
      </c>
      <c r="T25" s="52">
        <f>IFERROR(IF(INDEX('GCE'!$N$10:$N$12,MATCH($F25,'GCE'!$B$10:$B$12,0))="","Cell will autofill based on response",INDEX('GCE'!$N$10:$N$12,MATCH($F25,'GCE'!$B$10:$B$12,0))),"N/A")</f>
        <v/>
      </c>
      <c r="U25" s="52">
        <f>IFERROR(IF(INDEX('Education'!$N$10:$N$13,MATCH($F25,'Education'!$B$10:$B$13,0))="","Cell will autofill based on response",INDEX('Education'!$N$10:$N$13,MATCH($F25,'Education'!$B$10:$B$13,0))),"N/A")</f>
        <v/>
      </c>
      <c r="V25" s="52">
        <f>IFERROR(IF(INDEX('SaSS'!$N$10:$N$12,MATCH($F25,'SaSS'!$B$10:$B$12,0))="","Cell will autofill based on response",INDEX('SaSS'!$N$10:$N$12,MATCH($F25,'SaSS'!$B$10:$B$12,0))),"N/A")</f>
        <v/>
      </c>
      <c r="W25" s="52">
        <f>IFERROR(IF(INDEX('Indigenous'!$N$10:$N$11,MATCH($F25,'Indigenous'!$B$10:$B$11,0))="","Cell will autofill based on response",INDEX('Indigenous'!$N$10:$N$11,MATCH($F25,'Indigenous'!$B$10:$B$11,0))),"N/A")</f>
        <v/>
      </c>
      <c r="X25" s="52">
        <f>IFERROR(IF(INDEX('L&amp;R'!$N$10:$N$11,MATCH($F25,'L&amp;R'!$B$10:$B$11,0))="","Cell will autofill based on response",INDEX('L&amp;R'!$N$10:$N$11,MATCH($F25,'L&amp;R'!$B$10:$B$11,0))),"N/A")</f>
        <v/>
      </c>
    </row>
    <row r="26">
      <c r="A26">
        <f>F26&amp;"|"&amp;G26</f>
        <v/>
      </c>
      <c r="B26" s="13" t="inlineStr"/>
      <c r="C26" s="8" t="inlineStr"/>
      <c r="D26" s="8" t="inlineStr"/>
      <c r="E26" s="8" t="inlineStr"/>
      <c r="F26" s="8" t="inlineStr">
        <is>
          <t>EE1(c)</t>
        </is>
      </c>
      <c r="G26" s="8" t="inlineStr">
        <is>
          <t>Supporting information/comments</t>
        </is>
      </c>
      <c r="H26" s="52">
        <f>IFERROR(IF(INDEX('Faculties'!$O$10:$O$19,MATCH($F26,'Faculties'!$B$10:$B$19,0))="","Cell will autofill based on response",INDEX('Faculties'!$O$10:$O$19,MATCH($F26,'Faculties'!$B$10:$B$19,0))),"N/A")</f>
        <v/>
      </c>
      <c r="I26" s="52">
        <f>IFERROR(IF(INDEX('Faculties'!$O$26:$O$35,MATCH($F26,'Faculties'!$B$26:$B$35,0))="","Cell will autofill based on response",INDEX('Faculties'!$O$26:$O$35,MATCH($F26,'Faculties'!$B$26:$B$35,0))),"N/A")</f>
        <v/>
      </c>
      <c r="J26" s="52">
        <f>IFERROR(IF(INDEX('Faculties'!$O$42:$O$51,MATCH($F26,'Faculties'!$B$42:$B$51,0))="","Cell will autofill based on response",INDEX('Faculties'!$O$42:$O$51,MATCH($F26,'Faculties'!$B$42:$B$51,0))),"N/A")</f>
        <v/>
      </c>
      <c r="K26" s="52">
        <f>IFERROR(IF(INDEX('Faculties'!$O$58:$O$67,MATCH($F26,'Faculties'!$B$58:$B$67,0))="","Cell will autofill based on response",INDEX('Faculties'!$O$58:$O$67,MATCH($F26,'Faculties'!$B$58:$B$67,0))),"N/A")</f>
        <v/>
      </c>
      <c r="L26" s="52">
        <f>IFERROR(IF(INDEX('CI&amp;S'!$O$10:$O$15,MATCH($F26,'CI&amp;S'!$B$10:$B$15,0))="","Cell will autofill based on response",INDEX('CI&amp;S'!$O$10:$O$15,MATCH($F26,'CI&amp;S'!$B$10:$B$15,0))),"N/A")</f>
        <v/>
      </c>
      <c r="M26" s="52">
        <f>IFERROR(IF(INDEX('CI&amp;S'!$O$22:$O$36,MATCH($F26,'CI&amp;S'!$B$22:$B$36,0))="","Cell will autofill based on response",INDEX('CI&amp;S'!$O$22:$O$36,MATCH($F26,'CI&amp;S'!$B$22:$B$36,0))),"N/A")</f>
        <v/>
      </c>
      <c r="N26" s="52">
        <f>IFERROR(IF(INDEX('CFOG'!$O$10:$O$16,MATCH($F26,'CFOG'!$B$10:$B$16,0))="","Cell will autofill based on response",INDEX('CFOG'!$O$10:$O$16,MATCH($F26,'CFOG'!$B$10:$B$16,0))),"N/A")</f>
        <v/>
      </c>
      <c r="O26" s="52">
        <f>IFERROR(IF(INDEX('CFOG'!$O$23:$O$24,MATCH($F26,'CFOG'!$B$23:$B$24,0))="","Cell will autofill based on response",INDEX('CFOG'!$O$23:$O$24,MATCH($F26,'CFOG'!$B$23:$B$24,0))),"N/A")</f>
        <v/>
      </c>
      <c r="P26" s="52">
        <f>IFERROR(IF(INDEX('ESG'!$O$10:$O$17,MATCH($F26,'ESG'!$B$10:$B$17,0))="","Cell will autofill based on response",INDEX('ESG'!$O$10:$O$17,MATCH($F26,'ESG'!$B$10:$B$17,0))),"N/A")</f>
        <v/>
      </c>
      <c r="Q26" s="52">
        <f>IFERROR(IF(INDEX('CIOG'!$O$10:$O$14,MATCH($F26,'CIOG'!$B$10:$B$14,0))="","Cell will autofill based on response",INDEX('CIOG'!$O$10:$O$14,MATCH($F26,'CIOG'!$B$10:$B$14,0))),"N/A")</f>
        <v/>
      </c>
      <c r="R26" s="52">
        <f>IFERROR(IF(INDEX('MRE'!$O$10:$O$18,MATCH($F26,'MRE'!$B$10:$B$18,0))="","Cell will autofill based on response",INDEX('MRE'!$O$10:$O$18,MATCH($F26,'MRE'!$B$10:$B$18,0))),"N/A")</f>
        <v/>
      </c>
      <c r="S26" s="52">
        <f>IFERROR(IF(INDEX('AC&amp;M'!$O$10:$O$14,MATCH($F26,'AC&amp;M'!$B$10:$B$14,0))="","Cell will autofill based on response",INDEX('AC&amp;M'!$O$10:$O$14,MATCH($F26,'AC&amp;M'!$B$10:$B$14,0))),"N/A")</f>
        <v/>
      </c>
      <c r="T26" s="52">
        <f>IFERROR(IF(INDEX('GCE'!$O$10:$O$12,MATCH($F26,'GCE'!$B$10:$B$12,0))="","Cell will autofill based on response",INDEX('GCE'!$O$10:$O$12,MATCH($F26,'GCE'!$B$10:$B$12,0))),"N/A")</f>
        <v/>
      </c>
      <c r="U26" s="52">
        <f>IFERROR(IF(INDEX('Education'!$O$10:$O$13,MATCH($F26,'Education'!$B$10:$B$13,0))="","Cell will autofill based on response",INDEX('Education'!$O$10:$O$13,MATCH($F26,'Education'!$B$10:$B$13,0))),"N/A")</f>
        <v/>
      </c>
      <c r="V26" s="52">
        <f>IFERROR(IF(INDEX('SaSS'!$O$10:$O$12,MATCH($F26,'SaSS'!$B$10:$B$12,0))="","Cell will autofill based on response",INDEX('SaSS'!$O$10:$O$12,MATCH($F26,'SaSS'!$B$10:$B$12,0))),"N/A")</f>
        <v/>
      </c>
      <c r="W26" s="52">
        <f>IFERROR(IF(INDEX('Indigenous'!$O$10:$O$11,MATCH($F26,'Indigenous'!$B$10:$B$11,0))="","Cell will autofill based on response",INDEX('Indigenous'!$O$10:$O$11,MATCH($F26,'Indigenous'!$B$10:$B$11,0))),"N/A")</f>
        <v/>
      </c>
      <c r="X26" s="52">
        <f>IFERROR(IF(INDEX('L&amp;R'!$O$10:$O$11,MATCH($F26,'L&amp;R'!$B$10:$B$11,0))="","Cell will autofill based on response",INDEX('L&amp;R'!$O$10:$O$11,MATCH($F26,'L&amp;R'!$B$10:$B$11,0))),"N/A")</f>
        <v/>
      </c>
    </row>
    <row r="27">
      <c r="A27">
        <f>F27&amp;"|"&amp;G27</f>
        <v/>
      </c>
      <c r="B27" s="13" t="inlineStr"/>
      <c r="C27" s="8" t="inlineStr"/>
      <c r="D27" s="8" t="inlineStr"/>
      <c r="E27" s="8" t="inlineStr"/>
      <c r="F27" s="8" t="inlineStr">
        <is>
          <t>EE1(c)</t>
        </is>
      </c>
      <c r="G27" s="8" t="inlineStr">
        <is>
          <t>Data source and limitations</t>
        </is>
      </c>
      <c r="H27" s="52">
        <f>IFERROR(IF(INDEX('Faculties'!$P$10:$P$19,MATCH($F27,'Faculties'!$B$10:$B$19,0))="","Cell will autofill based on response",INDEX('Faculties'!$P$10:$P$19,MATCH($F27,'Faculties'!$B$10:$B$19,0))),"N/A")</f>
        <v/>
      </c>
      <c r="I27" s="52">
        <f>IFERROR(IF(INDEX('Faculties'!$P$26:$P$35,MATCH($F27,'Faculties'!$B$26:$B$35,0))="","Cell will autofill based on response",INDEX('Faculties'!$P$26:$P$35,MATCH($F27,'Faculties'!$B$26:$B$35,0))),"N/A")</f>
        <v/>
      </c>
      <c r="J27" s="52">
        <f>IFERROR(IF(INDEX('Faculties'!$P$42:$P$51,MATCH($F27,'Faculties'!$B$42:$B$51,0))="","Cell will autofill based on response",INDEX('Faculties'!$P$42:$P$51,MATCH($F27,'Faculties'!$B$42:$B$51,0))),"N/A")</f>
        <v/>
      </c>
      <c r="K27" s="52">
        <f>IFERROR(IF(INDEX('Faculties'!$P$58:$P$67,MATCH($F27,'Faculties'!$B$58:$B$67,0))="","Cell will autofill based on response",INDEX('Faculties'!$P$58:$P$67,MATCH($F27,'Faculties'!$B$58:$B$67,0))),"N/A")</f>
        <v/>
      </c>
      <c r="L27" s="52">
        <f>IFERROR(IF(INDEX('CI&amp;S'!$P$10:$P$15,MATCH($F27,'CI&amp;S'!$B$10:$B$15,0))="","Cell will autofill based on response",INDEX('CI&amp;S'!$P$10:$P$15,MATCH($F27,'CI&amp;S'!$B$10:$B$15,0))),"N/A")</f>
        <v/>
      </c>
      <c r="M27" s="52">
        <f>IFERROR(IF(INDEX('CI&amp;S'!$P$22:$P$36,MATCH($F27,'CI&amp;S'!$B$22:$B$36,0))="","Cell will autofill based on response",INDEX('CI&amp;S'!$P$22:$P$36,MATCH($F27,'CI&amp;S'!$B$22:$B$36,0))),"N/A")</f>
        <v/>
      </c>
      <c r="N27" s="52">
        <f>IFERROR(IF(INDEX('CFOG'!$P$10:$P$16,MATCH($F27,'CFOG'!$B$10:$B$16,0))="","Cell will autofill based on response",INDEX('CFOG'!$P$10:$P$16,MATCH($F27,'CFOG'!$B$10:$B$16,0))),"N/A")</f>
        <v/>
      </c>
      <c r="O27" s="52">
        <f>IFERROR(IF(INDEX('CFOG'!$P$23:$P$24,MATCH($F27,'CFOG'!$B$23:$B$24,0))="","Cell will autofill based on response",INDEX('CFOG'!$P$23:$P$24,MATCH($F27,'CFOG'!$B$23:$B$24,0))),"N/A")</f>
        <v/>
      </c>
      <c r="P27" s="52">
        <f>IFERROR(IF(INDEX('ESG'!$P$10:$P$17,MATCH($F27,'ESG'!$B$10:$B$17,0))="","Cell will autofill based on response",INDEX('ESG'!$P$10:$P$17,MATCH($F27,'ESG'!$B$10:$B$17,0))),"N/A")</f>
        <v/>
      </c>
      <c r="Q27" s="52">
        <f>IFERROR(IF(INDEX('CIOG'!$P$10:$P$14,MATCH($F27,'CIOG'!$B$10:$B$14,0))="","Cell will autofill based on response",INDEX('CIOG'!$P$10:$P$14,MATCH($F27,'CIOG'!$B$10:$B$14,0))),"N/A")</f>
        <v/>
      </c>
      <c r="R27" s="52">
        <f>IFERROR(IF(INDEX('MRE'!$P$10:$P$18,MATCH($F27,'MRE'!$B$10:$B$18,0))="","Cell will autofill based on response",INDEX('MRE'!$P$10:$P$18,MATCH($F27,'MRE'!$B$10:$B$18,0))),"N/A")</f>
        <v/>
      </c>
      <c r="S27" s="52">
        <f>IFERROR(IF(INDEX('AC&amp;M'!$P$10:$P$14,MATCH($F27,'AC&amp;M'!$B$10:$B$14,0))="","Cell will autofill based on response",INDEX('AC&amp;M'!$P$10:$P$14,MATCH($F27,'AC&amp;M'!$B$10:$B$14,0))),"N/A")</f>
        <v/>
      </c>
      <c r="T27" s="52">
        <f>IFERROR(IF(INDEX('GCE'!$P$10:$P$12,MATCH($F27,'GCE'!$B$10:$B$12,0))="","Cell will autofill based on response",INDEX('GCE'!$P$10:$P$12,MATCH($F27,'GCE'!$B$10:$B$12,0))),"N/A")</f>
        <v/>
      </c>
      <c r="U27" s="52">
        <f>IFERROR(IF(INDEX('Education'!$P$10:$P$13,MATCH($F27,'Education'!$B$10:$B$13,0))="","Cell will autofill based on response",INDEX('Education'!$P$10:$P$13,MATCH($F27,'Education'!$B$10:$B$13,0))),"N/A")</f>
        <v/>
      </c>
      <c r="V27" s="52">
        <f>IFERROR(IF(INDEX('SaSS'!$P$10:$P$12,MATCH($F27,'SaSS'!$B$10:$B$12,0))="","Cell will autofill based on response",INDEX('SaSS'!$P$10:$P$12,MATCH($F27,'SaSS'!$B$10:$B$12,0))),"N/A")</f>
        <v/>
      </c>
      <c r="W27" s="52">
        <f>IFERROR(IF(INDEX('Indigenous'!$P$10:$P$11,MATCH($F27,'Indigenous'!$B$10:$B$11,0))="","Cell will autofill based on response",INDEX('Indigenous'!$P$10:$P$11,MATCH($F27,'Indigenous'!$B$10:$B$11,0))),"N/A")</f>
        <v/>
      </c>
      <c r="X27" s="52">
        <f>IFERROR(IF(INDEX('L&amp;R'!$P$10:$P$11,MATCH($F27,'L&amp;R'!$B$10:$B$11,0))="","Cell will autofill based on response",INDEX('L&amp;R'!$P$10:$P$11,MATCH($F27,'L&amp;R'!$B$10:$B$11,0))),"N/A")</f>
        <v/>
      </c>
    </row>
    <row r="28">
      <c r="A28">
        <f>F28&amp;"|"&amp;G28</f>
        <v/>
      </c>
      <c r="B28" s="13" t="inlineStr"/>
      <c r="C28" s="8" t="inlineStr"/>
      <c r="D28" s="8" t="inlineStr"/>
      <c r="E28" s="8" t="inlineStr"/>
      <c r="F28" s="8" t="inlineStr">
        <is>
          <t>EE1(c)</t>
        </is>
      </c>
      <c r="G28" s="8" t="inlineStr">
        <is>
          <t>Data owner confirms</t>
        </is>
      </c>
      <c r="H28" s="52">
        <f>IFERROR(IF(INDEX('Faculties'!$Q$10:$Q$19,MATCH($F28,'Faculties'!$B$10:$B$19,0))="","Cell will autofill based on response",INDEX('Faculties'!$Q$10:$Q$19,MATCH($F28,'Faculties'!$B$10:$B$19,0))),"N/A")</f>
        <v/>
      </c>
      <c r="I28" s="52">
        <f>IFERROR(IF(INDEX('Faculties'!$Q$26:$Q$35,MATCH($F28,'Faculties'!$B$26:$B$35,0))="","Cell will autofill based on response",INDEX('Faculties'!$Q$26:$Q$35,MATCH($F28,'Faculties'!$B$26:$B$35,0))),"N/A")</f>
        <v/>
      </c>
      <c r="J28" s="52">
        <f>IFERROR(IF(INDEX('Faculties'!$Q$42:$Q$51,MATCH($F28,'Faculties'!$B$42:$B$51,0))="","Cell will autofill based on response",INDEX('Faculties'!$Q$42:$Q$51,MATCH($F28,'Faculties'!$B$42:$B$51,0))),"N/A")</f>
        <v/>
      </c>
      <c r="K28" s="52">
        <f>IFERROR(IF(INDEX('Faculties'!$Q$58:$Q$67,MATCH($F28,'Faculties'!$B$58:$B$67,0))="","Cell will autofill based on response",INDEX('Faculties'!$Q$58:$Q$67,MATCH($F28,'Faculties'!$B$58:$B$67,0))),"N/A")</f>
        <v/>
      </c>
      <c r="L28" s="52">
        <f>IFERROR(IF(INDEX('CI&amp;S'!$Q$10:$Q$15,MATCH($F28,'CI&amp;S'!$B$10:$B$15,0))="","Cell will autofill based on response",INDEX('CI&amp;S'!$Q$10:$Q$15,MATCH($F28,'CI&amp;S'!$B$10:$B$15,0))),"N/A")</f>
        <v/>
      </c>
      <c r="M28" s="52">
        <f>IFERROR(IF(INDEX('CI&amp;S'!$Q$22:$Q$36,MATCH($F28,'CI&amp;S'!$B$22:$B$36,0))="","Cell will autofill based on response",INDEX('CI&amp;S'!$Q$22:$Q$36,MATCH($F28,'CI&amp;S'!$B$22:$B$36,0))),"N/A")</f>
        <v/>
      </c>
      <c r="N28" s="52">
        <f>IFERROR(IF(INDEX('CFOG'!$Q$10:$Q$16,MATCH($F28,'CFOG'!$B$10:$B$16,0))="","Cell will autofill based on response",INDEX('CFOG'!$Q$10:$Q$16,MATCH($F28,'CFOG'!$B$10:$B$16,0))),"N/A")</f>
        <v/>
      </c>
      <c r="O28" s="52">
        <f>IFERROR(IF(INDEX('CFOG'!$Q$23:$Q$24,MATCH($F28,'CFOG'!$B$23:$B$24,0))="","Cell will autofill based on response",INDEX('CFOG'!$Q$23:$Q$24,MATCH($F28,'CFOG'!$B$23:$B$24,0))),"N/A")</f>
        <v/>
      </c>
      <c r="P28" s="52">
        <f>IFERROR(IF(INDEX('ESG'!$Q$10:$Q$17,MATCH($F28,'ESG'!$B$10:$B$17,0))="","Cell will autofill based on response",INDEX('ESG'!$Q$10:$Q$17,MATCH($F28,'ESG'!$B$10:$B$17,0))),"N/A")</f>
        <v/>
      </c>
      <c r="Q28" s="52">
        <f>IFERROR(IF(INDEX('CIOG'!$Q$10:$Q$14,MATCH($F28,'CIOG'!$B$10:$B$14,0))="","Cell will autofill based on response",INDEX('CIOG'!$Q$10:$Q$14,MATCH($F28,'CIOG'!$B$10:$B$14,0))),"N/A")</f>
        <v/>
      </c>
      <c r="R28" s="52">
        <f>IFERROR(IF(INDEX('MRE'!$Q$10:$Q$18,MATCH($F28,'MRE'!$B$10:$B$18,0))="","Cell will autofill based on response",INDEX('MRE'!$Q$10:$Q$18,MATCH($F28,'MRE'!$B$10:$B$18,0))),"N/A")</f>
        <v/>
      </c>
      <c r="S28" s="52">
        <f>IFERROR(IF(INDEX('AC&amp;M'!$Q$10:$Q$14,MATCH($F28,'AC&amp;M'!$B$10:$B$14,0))="","Cell will autofill based on response",INDEX('AC&amp;M'!$Q$10:$Q$14,MATCH($F28,'AC&amp;M'!$B$10:$B$14,0))),"N/A")</f>
        <v/>
      </c>
      <c r="T28" s="52">
        <f>IFERROR(IF(INDEX('GCE'!$Q$10:$Q$12,MATCH($F28,'GCE'!$B$10:$B$12,0))="","Cell will autofill based on response",INDEX('GCE'!$Q$10:$Q$12,MATCH($F28,'GCE'!$B$10:$B$12,0))),"N/A")</f>
        <v/>
      </c>
      <c r="U28" s="52">
        <f>IFERROR(IF(INDEX('Education'!$Q$10:$Q$13,MATCH($F28,'Education'!$B$10:$B$13,0))="","Cell will autofill based on response",INDEX('Education'!$Q$10:$Q$13,MATCH($F28,'Education'!$B$10:$B$13,0))),"N/A")</f>
        <v/>
      </c>
      <c r="V28" s="52">
        <f>IFERROR(IF(INDEX('SaSS'!$Q$10:$Q$12,MATCH($F28,'SaSS'!$B$10:$B$12,0))="","Cell will autofill based on response",INDEX('SaSS'!$Q$10:$Q$12,MATCH($F28,'SaSS'!$B$10:$B$12,0))),"N/A")</f>
        <v/>
      </c>
      <c r="W28" s="52">
        <f>IFERROR(IF(INDEX('Indigenous'!$Q$10:$Q$11,MATCH($F28,'Indigenous'!$B$10:$B$11,0))="","Cell will autofill based on response",INDEX('Indigenous'!$Q$10:$Q$11,MATCH($F28,'Indigenous'!$B$10:$B$11,0))),"N/A")</f>
        <v/>
      </c>
      <c r="X28" s="52">
        <f>IFERROR(IF(INDEX('L&amp;R'!$Q$10:$Q$11,MATCH($F28,'L&amp;R'!$B$10:$B$11,0))="","Cell will autofill based on response",INDEX('L&amp;R'!$Q$10:$Q$11,MATCH($F28,'L&amp;R'!$B$10:$B$11,0))),"N/A")</f>
        <v/>
      </c>
    </row>
    <row r="29">
      <c r="A29">
        <f>F29&amp;"|"&amp;G29</f>
        <v/>
      </c>
      <c r="B29" s="7" t="inlineStr">
        <is>
          <t>EE1(d)</t>
        </is>
      </c>
      <c r="C29" s="50" t="inlineStr">
        <is>
          <t>Exceptional education</t>
        </is>
      </c>
      <c r="D29" s="50" t="inlineStr">
        <is>
          <t>Alumni profiles demonstrating how graduates contribute to sustainability through their careers or communities.</t>
        </is>
      </c>
      <c r="E29" s="50"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9" s="50" t="inlineStr">
        <is>
          <t>EE1(d)</t>
        </is>
      </c>
      <c r="G29" s="50" t="inlineStr">
        <is>
          <t>Confirm end-2026 target status</t>
        </is>
      </c>
      <c r="H29" s="52">
        <f>IFERROR(IF(INDEX('Faculties'!$L$10:$L$19,MATCH($F29,'Faculties'!$B$10:$B$19,0))="","Cell will autofill based on response",INDEX('Faculties'!$L$10:$L$19,MATCH($F29,'Faculties'!$B$10:$B$19,0))),"N/A")</f>
        <v/>
      </c>
      <c r="I29" s="52">
        <f>IFERROR(IF(INDEX('Faculties'!$L$26:$L$35,MATCH($F29,'Faculties'!$B$26:$B$35,0))="","Cell will autofill based on response",INDEX('Faculties'!$L$26:$L$35,MATCH($F29,'Faculties'!$B$26:$B$35,0))),"N/A")</f>
        <v/>
      </c>
      <c r="J29" s="52">
        <f>IFERROR(IF(INDEX('Faculties'!$L$42:$L$51,MATCH($F29,'Faculties'!$B$42:$B$51,0))="","Cell will autofill based on response",INDEX('Faculties'!$L$42:$L$51,MATCH($F29,'Faculties'!$B$42:$B$51,0))),"N/A")</f>
        <v/>
      </c>
      <c r="K29" s="52">
        <f>IFERROR(IF(INDEX('Faculties'!$L$58:$L$67,MATCH($F29,'Faculties'!$B$58:$B$67,0))="","Cell will autofill based on response",INDEX('Faculties'!$L$58:$L$67,MATCH($F29,'Faculties'!$B$58:$B$67,0))),"N/A")</f>
        <v/>
      </c>
      <c r="L29" s="52">
        <f>IFERROR(IF(INDEX('CI&amp;S'!$L$10:$L$15,MATCH($F29,'CI&amp;S'!$B$10:$B$15,0))="","Cell will autofill based on response",INDEX('CI&amp;S'!$L$10:$L$15,MATCH($F29,'CI&amp;S'!$B$10:$B$15,0))),"N/A")</f>
        <v/>
      </c>
      <c r="M29" s="52">
        <f>IFERROR(IF(INDEX('CI&amp;S'!$L$22:$L$36,MATCH($F29,'CI&amp;S'!$B$22:$B$36,0))="","Cell will autofill based on response",INDEX('CI&amp;S'!$L$22:$L$36,MATCH($F29,'CI&amp;S'!$B$22:$B$36,0))),"N/A")</f>
        <v/>
      </c>
      <c r="N29" s="52">
        <f>IFERROR(IF(INDEX('CFOG'!$L$10:$L$16,MATCH($F29,'CFOG'!$B$10:$B$16,0))="","Cell will autofill based on response",INDEX('CFOG'!$L$10:$L$16,MATCH($F29,'CFOG'!$B$10:$B$16,0))),"N/A")</f>
        <v/>
      </c>
      <c r="O29" s="52">
        <f>IFERROR(IF(INDEX('CFOG'!$L$23:$L$24,MATCH($F29,'CFOG'!$B$23:$B$24,0))="","Cell will autofill based on response",INDEX('CFOG'!$L$23:$L$24,MATCH($F29,'CFOG'!$B$23:$B$24,0))),"N/A")</f>
        <v/>
      </c>
      <c r="P29" s="52">
        <f>IFERROR(IF(INDEX('ESG'!$L$10:$L$17,MATCH($F29,'ESG'!$B$10:$B$17,0))="","Cell will autofill based on response",INDEX('ESG'!$L$10:$L$17,MATCH($F29,'ESG'!$B$10:$B$17,0))),"N/A")</f>
        <v/>
      </c>
      <c r="Q29" s="52">
        <f>IFERROR(IF(INDEX('CIOG'!$L$10:$L$14,MATCH($F29,'CIOG'!$B$10:$B$14,0))="","Cell will autofill based on response",INDEX('CIOG'!$L$10:$L$14,MATCH($F29,'CIOG'!$B$10:$B$14,0))),"N/A")</f>
        <v/>
      </c>
      <c r="R29" s="52">
        <f>IFERROR(IF(INDEX('MRE'!$L$10:$L$18,MATCH($F29,'MRE'!$B$10:$B$18,0))="","Cell will autofill based on response",INDEX('MRE'!$L$10:$L$18,MATCH($F29,'MRE'!$B$10:$B$18,0))),"N/A")</f>
        <v/>
      </c>
      <c r="S29" s="52">
        <f>IFERROR(IF(INDEX('AC&amp;M'!$L$10:$L$14,MATCH($F29,'AC&amp;M'!$B$10:$B$14,0))="","Cell will autofill based on response",INDEX('AC&amp;M'!$L$10:$L$14,MATCH($F29,'AC&amp;M'!$B$10:$B$14,0))),"N/A")</f>
        <v/>
      </c>
      <c r="T29" s="52">
        <f>IFERROR(IF(INDEX('GCE'!$L$10:$L$12,MATCH($F29,'GCE'!$B$10:$B$12,0))="","Cell will autofill based on response",INDEX('GCE'!$L$10:$L$12,MATCH($F29,'GCE'!$B$10:$B$12,0))),"N/A")</f>
        <v/>
      </c>
      <c r="U29" s="52">
        <f>IFERROR(IF(INDEX('Education'!$L$10:$L$13,MATCH($F29,'Education'!$B$10:$B$13,0))="","Cell will autofill based on response",INDEX('Education'!$L$10:$L$13,MATCH($F29,'Education'!$B$10:$B$13,0))),"N/A")</f>
        <v/>
      </c>
      <c r="V29" s="52">
        <f>IFERROR(IF(INDEX('SaSS'!$L$10:$L$12,MATCH($F29,'SaSS'!$B$10:$B$12,0))="","Cell will autofill based on response",INDEX('SaSS'!$L$10:$L$12,MATCH($F29,'SaSS'!$B$10:$B$12,0))),"N/A")</f>
        <v/>
      </c>
      <c r="W29" s="52">
        <f>IFERROR(IF(INDEX('Indigenous'!$L$10:$L$11,MATCH($F29,'Indigenous'!$B$10:$B$11,0))="","Cell will autofill based on response",INDEX('Indigenous'!$L$10:$L$11,MATCH($F29,'Indigenous'!$B$10:$B$11,0))),"N/A")</f>
        <v/>
      </c>
      <c r="X29" s="52">
        <f>IFERROR(IF(INDEX('L&amp;R'!$L$10:$L$11,MATCH($F29,'L&amp;R'!$B$10:$B$11,0))="","Cell will autofill based on response",INDEX('L&amp;R'!$L$10:$L$11,MATCH($F29,'L&amp;R'!$B$10:$B$11,0))),"N/A")</f>
        <v/>
      </c>
      <c r="Z29" s="10">
        <f>COUNTIF($H29:$X29,"Cell will autofill based on response")</f>
        <v/>
      </c>
      <c r="AA29" s="10">
        <f>COUNTIF($H29:$X29,"Not yet started")</f>
        <v/>
      </c>
      <c r="AB29" s="10">
        <f>COUNTIF($H29:$X29,"Not met")</f>
        <v/>
      </c>
      <c r="AC29" s="10">
        <f>COUNTIF($H29:$X29,"Partially met")</f>
        <v/>
      </c>
      <c r="AD29" s="10">
        <f>COUNTIF($H29:$X29,"Met or exceeded")</f>
        <v/>
      </c>
      <c r="AE29" s="10">
        <f>3*AD29+2*AC29+AB29</f>
        <v/>
      </c>
      <c r="AF29" s="10">
        <f>AD29+AC29+AB29+AA29</f>
        <v/>
      </c>
      <c r="AG29" s="53">
        <f>IF(AF29&gt;0,AE29/AF29,"No valid responses to date")</f>
        <v/>
      </c>
      <c r="AH29" s="10">
        <f>IF(ISNUMBER(AG29),INDEX(Lists!$G$2:$G$5,MATCH(ROUND(AG29,0),Lists!$H$2:$H$5,0)),"")</f>
        <v/>
      </c>
      <c r="AI29" s="54">
        <f>IF(AF29&gt;0,AD29/AF29,"")</f>
        <v/>
      </c>
      <c r="AJ29" s="54">
        <f>IF(AF29&gt;0,(AD29+AC29)/AF29,"")</f>
        <v/>
      </c>
      <c r="AK29" s="10">
        <f>IF(AF29=0,"",IF(AI29&gt;0.75,"Met or exceeded",IF(AJ29&gt;=0.5,"Partially met","Not met")))</f>
        <v/>
      </c>
    </row>
    <row r="30">
      <c r="A30">
        <f>F30&amp;"|"&amp;G30</f>
        <v/>
      </c>
      <c r="B30" s="13" t="inlineStr"/>
      <c r="C30" s="8" t="inlineStr"/>
      <c r="D30" s="8" t="inlineStr"/>
      <c r="E30" s="8" t="inlineStr"/>
      <c r="F30" s="8" t="inlineStr">
        <is>
          <t>EE1(d)</t>
        </is>
      </c>
      <c r="G30" s="8" t="inlineStr">
        <is>
          <t>OPTION 1:  Target-level reporting</t>
        </is>
      </c>
      <c r="H30" s="52">
        <f>IFERROR(IF(INDEX('Faculties'!$M$10:$M$19,MATCH($F30,'Faculties'!$B$10:$B$19,0))="","Cell will autofill based on response",INDEX('Faculties'!$M$10:$M$19,MATCH($F30,'Faculties'!$B$10:$B$19,0))),"N/A")</f>
        <v/>
      </c>
      <c r="I30" s="52">
        <f>IFERROR(IF(INDEX('Faculties'!$M$26:$M$35,MATCH($F30,'Faculties'!$B$26:$B$35,0))="","Cell will autofill based on response",INDEX('Faculties'!$M$26:$M$35,MATCH($F30,'Faculties'!$B$26:$B$35,0))),"N/A")</f>
        <v/>
      </c>
      <c r="J30" s="52">
        <f>IFERROR(IF(INDEX('Faculties'!$M$42:$M$51,MATCH($F30,'Faculties'!$B$42:$B$51,0))="","Cell will autofill based on response",INDEX('Faculties'!$M$42:$M$51,MATCH($F30,'Faculties'!$B$42:$B$51,0))),"N/A")</f>
        <v/>
      </c>
      <c r="K30" s="52">
        <f>IFERROR(IF(INDEX('Faculties'!$M$58:$M$67,MATCH($F30,'Faculties'!$B$58:$B$67,0))="","Cell will autofill based on response",INDEX('Faculties'!$M$58:$M$67,MATCH($F30,'Faculties'!$B$58:$B$67,0))),"N/A")</f>
        <v/>
      </c>
      <c r="L30" s="52">
        <f>IFERROR(IF(INDEX('CI&amp;S'!$M$10:$M$15,MATCH($F30,'CI&amp;S'!$B$10:$B$15,0))="","Cell will autofill based on response",INDEX('CI&amp;S'!$M$10:$M$15,MATCH($F30,'CI&amp;S'!$B$10:$B$15,0))),"N/A")</f>
        <v/>
      </c>
      <c r="M30" s="52">
        <f>IFERROR(IF(INDEX('CI&amp;S'!$M$22:$M$36,MATCH($F30,'CI&amp;S'!$B$22:$B$36,0))="","Cell will autofill based on response",INDEX('CI&amp;S'!$M$22:$M$36,MATCH($F30,'CI&amp;S'!$B$22:$B$36,0))),"N/A")</f>
        <v/>
      </c>
      <c r="N30" s="52">
        <f>IFERROR(IF(INDEX('CFOG'!$M$10:$M$16,MATCH($F30,'CFOG'!$B$10:$B$16,0))="","Cell will autofill based on response",INDEX('CFOG'!$M$10:$M$16,MATCH($F30,'CFOG'!$B$10:$B$16,0))),"N/A")</f>
        <v/>
      </c>
      <c r="O30" s="52">
        <f>IFERROR(IF(INDEX('CFOG'!$M$23:$M$24,MATCH($F30,'CFOG'!$B$23:$B$24,0))="","Cell will autofill based on response",INDEX('CFOG'!$M$23:$M$24,MATCH($F30,'CFOG'!$B$23:$B$24,0))),"N/A")</f>
        <v/>
      </c>
      <c r="P30" s="52">
        <f>IFERROR(IF(INDEX('ESG'!$M$10:$M$17,MATCH($F30,'ESG'!$B$10:$B$17,0))="","Cell will autofill based on response",INDEX('ESG'!$M$10:$M$17,MATCH($F30,'ESG'!$B$10:$B$17,0))),"N/A")</f>
        <v/>
      </c>
      <c r="Q30" s="52">
        <f>IFERROR(IF(INDEX('CIOG'!$M$10:$M$14,MATCH($F30,'CIOG'!$B$10:$B$14,0))="","Cell will autofill based on response",INDEX('CIOG'!$M$10:$M$14,MATCH($F30,'CIOG'!$B$10:$B$14,0))),"N/A")</f>
        <v/>
      </c>
      <c r="R30" s="52">
        <f>IFERROR(IF(INDEX('MRE'!$M$10:$M$18,MATCH($F30,'MRE'!$B$10:$B$18,0))="","Cell will autofill based on response",INDEX('MRE'!$M$10:$M$18,MATCH($F30,'MRE'!$B$10:$B$18,0))),"N/A")</f>
        <v/>
      </c>
      <c r="S30" s="52">
        <f>IFERROR(IF(INDEX('AC&amp;M'!$M$10:$M$14,MATCH($F30,'AC&amp;M'!$B$10:$B$14,0))="","Cell will autofill based on response",INDEX('AC&amp;M'!$M$10:$M$14,MATCH($F30,'AC&amp;M'!$B$10:$B$14,0))),"N/A")</f>
        <v/>
      </c>
      <c r="T30" s="52">
        <f>IFERROR(IF(INDEX('GCE'!$M$10:$M$12,MATCH($F30,'GCE'!$B$10:$B$12,0))="","Cell will autofill based on response",INDEX('GCE'!$M$10:$M$12,MATCH($F30,'GCE'!$B$10:$B$12,0))),"N/A")</f>
        <v/>
      </c>
      <c r="U30" s="52">
        <f>IFERROR(IF(INDEX('Education'!$M$10:$M$13,MATCH($F30,'Education'!$B$10:$B$13,0))="","Cell will autofill based on response",INDEX('Education'!$M$10:$M$13,MATCH($F30,'Education'!$B$10:$B$13,0))),"N/A")</f>
        <v/>
      </c>
      <c r="V30" s="52">
        <f>IFERROR(IF(INDEX('SaSS'!$M$10:$M$12,MATCH($F30,'SaSS'!$B$10:$B$12,0))="","Cell will autofill based on response",INDEX('SaSS'!$M$10:$M$12,MATCH($F30,'SaSS'!$B$10:$B$12,0))),"N/A")</f>
        <v/>
      </c>
      <c r="W30" s="52">
        <f>IFERROR(IF(INDEX('Indigenous'!$M$10:$M$11,MATCH($F30,'Indigenous'!$B$10:$B$11,0))="","Cell will autofill based on response",INDEX('Indigenous'!$M$10:$M$11,MATCH($F30,'Indigenous'!$B$10:$B$11,0))),"N/A")</f>
        <v/>
      </c>
      <c r="X30" s="52">
        <f>IFERROR(IF(INDEX('L&amp;R'!$M$10:$M$11,MATCH($F30,'L&amp;R'!$B$10:$B$11,0))="","Cell will autofill based on response",INDEX('L&amp;R'!$M$10:$M$11,MATCH($F30,'L&amp;R'!$B$10:$B$11,0))),"N/A")</f>
        <v/>
      </c>
    </row>
    <row r="31">
      <c r="A31">
        <f>F31&amp;"|"&amp;G31</f>
        <v/>
      </c>
      <c r="B31" s="13" t="inlineStr"/>
      <c r="C31" s="8" t="inlineStr"/>
      <c r="D31" s="8" t="inlineStr"/>
      <c r="E31" s="8" t="inlineStr"/>
      <c r="F31" s="8" t="inlineStr">
        <is>
          <t>EE1(d)</t>
        </is>
      </c>
      <c r="G31" s="8" t="inlineStr">
        <is>
          <t>OPTION 2:  Indicator level reporting</t>
        </is>
      </c>
      <c r="H31" s="52">
        <f>IFERROR(IF(INDEX('Faculties'!$N$10:$N$19,MATCH($F31,'Faculties'!$B$10:$B$19,0))="","Cell will autofill based on response",INDEX('Faculties'!$N$10:$N$19,MATCH($F31,'Faculties'!$B$10:$B$19,0))),"N/A")</f>
        <v/>
      </c>
      <c r="I31" s="52">
        <f>IFERROR(IF(INDEX('Faculties'!$N$26:$N$35,MATCH($F31,'Faculties'!$B$26:$B$35,0))="","Cell will autofill based on response",INDEX('Faculties'!$N$26:$N$35,MATCH($F31,'Faculties'!$B$26:$B$35,0))),"N/A")</f>
        <v/>
      </c>
      <c r="J31" s="52">
        <f>IFERROR(IF(INDEX('Faculties'!$N$42:$N$51,MATCH($F31,'Faculties'!$B$42:$B$51,0))="","Cell will autofill based on response",INDEX('Faculties'!$N$42:$N$51,MATCH($F31,'Faculties'!$B$42:$B$51,0))),"N/A")</f>
        <v/>
      </c>
      <c r="K31" s="52">
        <f>IFERROR(IF(INDEX('Faculties'!$N$58:$N$67,MATCH($F31,'Faculties'!$B$58:$B$67,0))="","Cell will autofill based on response",INDEX('Faculties'!$N$58:$N$67,MATCH($F31,'Faculties'!$B$58:$B$67,0))),"N/A")</f>
        <v/>
      </c>
      <c r="L31" s="52">
        <f>IFERROR(IF(INDEX('CI&amp;S'!$N$10:$N$15,MATCH($F31,'CI&amp;S'!$B$10:$B$15,0))="","Cell will autofill based on response",INDEX('CI&amp;S'!$N$10:$N$15,MATCH($F31,'CI&amp;S'!$B$10:$B$15,0))),"N/A")</f>
        <v/>
      </c>
      <c r="M31" s="52">
        <f>IFERROR(IF(INDEX('CI&amp;S'!$N$22:$N$36,MATCH($F31,'CI&amp;S'!$B$22:$B$36,0))="","Cell will autofill based on response",INDEX('CI&amp;S'!$N$22:$N$36,MATCH($F31,'CI&amp;S'!$B$22:$B$36,0))),"N/A")</f>
        <v/>
      </c>
      <c r="N31" s="52">
        <f>IFERROR(IF(INDEX('CFOG'!$N$10:$N$16,MATCH($F31,'CFOG'!$B$10:$B$16,0))="","Cell will autofill based on response",INDEX('CFOG'!$N$10:$N$16,MATCH($F31,'CFOG'!$B$10:$B$16,0))),"N/A")</f>
        <v/>
      </c>
      <c r="O31" s="52">
        <f>IFERROR(IF(INDEX('CFOG'!$N$23:$N$24,MATCH($F31,'CFOG'!$B$23:$B$24,0))="","Cell will autofill based on response",INDEX('CFOG'!$N$23:$N$24,MATCH($F31,'CFOG'!$B$23:$B$24,0))),"N/A")</f>
        <v/>
      </c>
      <c r="P31" s="52">
        <f>IFERROR(IF(INDEX('ESG'!$N$10:$N$17,MATCH($F31,'ESG'!$B$10:$B$17,0))="","Cell will autofill based on response",INDEX('ESG'!$N$10:$N$17,MATCH($F31,'ESG'!$B$10:$B$17,0))),"N/A")</f>
        <v/>
      </c>
      <c r="Q31" s="52">
        <f>IFERROR(IF(INDEX('CIOG'!$N$10:$N$14,MATCH($F31,'CIOG'!$B$10:$B$14,0))="","Cell will autofill based on response",INDEX('CIOG'!$N$10:$N$14,MATCH($F31,'CIOG'!$B$10:$B$14,0))),"N/A")</f>
        <v/>
      </c>
      <c r="R31" s="52">
        <f>IFERROR(IF(INDEX('MRE'!$N$10:$N$18,MATCH($F31,'MRE'!$B$10:$B$18,0))="","Cell will autofill based on response",INDEX('MRE'!$N$10:$N$18,MATCH($F31,'MRE'!$B$10:$B$18,0))),"N/A")</f>
        <v/>
      </c>
      <c r="S31" s="52">
        <f>IFERROR(IF(INDEX('AC&amp;M'!$N$10:$N$14,MATCH($F31,'AC&amp;M'!$B$10:$B$14,0))="","Cell will autofill based on response",INDEX('AC&amp;M'!$N$10:$N$14,MATCH($F31,'AC&amp;M'!$B$10:$B$14,0))),"N/A")</f>
        <v/>
      </c>
      <c r="T31" s="52">
        <f>IFERROR(IF(INDEX('GCE'!$N$10:$N$12,MATCH($F31,'GCE'!$B$10:$B$12,0))="","Cell will autofill based on response",INDEX('GCE'!$N$10:$N$12,MATCH($F31,'GCE'!$B$10:$B$12,0))),"N/A")</f>
        <v/>
      </c>
      <c r="U31" s="52">
        <f>IFERROR(IF(INDEX('Education'!$N$10:$N$13,MATCH($F31,'Education'!$B$10:$B$13,0))="","Cell will autofill based on response",INDEX('Education'!$N$10:$N$13,MATCH($F31,'Education'!$B$10:$B$13,0))),"N/A")</f>
        <v/>
      </c>
      <c r="V31" s="52">
        <f>IFERROR(IF(INDEX('SaSS'!$N$10:$N$12,MATCH($F31,'SaSS'!$B$10:$B$12,0))="","Cell will autofill based on response",INDEX('SaSS'!$N$10:$N$12,MATCH($F31,'SaSS'!$B$10:$B$12,0))),"N/A")</f>
        <v/>
      </c>
      <c r="W31" s="52">
        <f>IFERROR(IF(INDEX('Indigenous'!$N$10:$N$11,MATCH($F31,'Indigenous'!$B$10:$B$11,0))="","Cell will autofill based on response",INDEX('Indigenous'!$N$10:$N$11,MATCH($F31,'Indigenous'!$B$10:$B$11,0))),"N/A")</f>
        <v/>
      </c>
      <c r="X31" s="52">
        <f>IFERROR(IF(INDEX('L&amp;R'!$N$10:$N$11,MATCH($F31,'L&amp;R'!$B$10:$B$11,0))="","Cell will autofill based on response",INDEX('L&amp;R'!$N$10:$N$11,MATCH($F31,'L&amp;R'!$B$10:$B$11,0))),"N/A")</f>
        <v/>
      </c>
    </row>
    <row r="32">
      <c r="A32">
        <f>F32&amp;"|"&amp;G32</f>
        <v/>
      </c>
      <c r="B32" s="13" t="inlineStr"/>
      <c r="C32" s="8" t="inlineStr"/>
      <c r="D32" s="8" t="inlineStr"/>
      <c r="E32" s="8" t="inlineStr"/>
      <c r="F32" s="8" t="inlineStr">
        <is>
          <t>EE1(d)</t>
        </is>
      </c>
      <c r="G32" s="8" t="inlineStr">
        <is>
          <t>Supporting information/comments</t>
        </is>
      </c>
      <c r="H32" s="52">
        <f>IFERROR(IF(INDEX('Faculties'!$O$10:$O$19,MATCH($F32,'Faculties'!$B$10:$B$19,0))="","Cell will autofill based on response",INDEX('Faculties'!$O$10:$O$19,MATCH($F32,'Faculties'!$B$10:$B$19,0))),"N/A")</f>
        <v/>
      </c>
      <c r="I32" s="52">
        <f>IFERROR(IF(INDEX('Faculties'!$O$26:$O$35,MATCH($F32,'Faculties'!$B$26:$B$35,0))="","Cell will autofill based on response",INDEX('Faculties'!$O$26:$O$35,MATCH($F32,'Faculties'!$B$26:$B$35,0))),"N/A")</f>
        <v/>
      </c>
      <c r="J32" s="52">
        <f>IFERROR(IF(INDEX('Faculties'!$O$42:$O$51,MATCH($F32,'Faculties'!$B$42:$B$51,0))="","Cell will autofill based on response",INDEX('Faculties'!$O$42:$O$51,MATCH($F32,'Faculties'!$B$42:$B$51,0))),"N/A")</f>
        <v/>
      </c>
      <c r="K32" s="52">
        <f>IFERROR(IF(INDEX('Faculties'!$O$58:$O$67,MATCH($F32,'Faculties'!$B$58:$B$67,0))="","Cell will autofill based on response",INDEX('Faculties'!$O$58:$O$67,MATCH($F32,'Faculties'!$B$58:$B$67,0))),"N/A")</f>
        <v/>
      </c>
      <c r="L32" s="52">
        <f>IFERROR(IF(INDEX('CI&amp;S'!$O$10:$O$15,MATCH($F32,'CI&amp;S'!$B$10:$B$15,0))="","Cell will autofill based on response",INDEX('CI&amp;S'!$O$10:$O$15,MATCH($F32,'CI&amp;S'!$B$10:$B$15,0))),"N/A")</f>
        <v/>
      </c>
      <c r="M32" s="52">
        <f>IFERROR(IF(INDEX('CI&amp;S'!$O$22:$O$36,MATCH($F32,'CI&amp;S'!$B$22:$B$36,0))="","Cell will autofill based on response",INDEX('CI&amp;S'!$O$22:$O$36,MATCH($F32,'CI&amp;S'!$B$22:$B$36,0))),"N/A")</f>
        <v/>
      </c>
      <c r="N32" s="52">
        <f>IFERROR(IF(INDEX('CFOG'!$O$10:$O$16,MATCH($F32,'CFOG'!$B$10:$B$16,0))="","Cell will autofill based on response",INDEX('CFOG'!$O$10:$O$16,MATCH($F32,'CFOG'!$B$10:$B$16,0))),"N/A")</f>
        <v/>
      </c>
      <c r="O32" s="52">
        <f>IFERROR(IF(INDEX('CFOG'!$O$23:$O$24,MATCH($F32,'CFOG'!$B$23:$B$24,0))="","Cell will autofill based on response",INDEX('CFOG'!$O$23:$O$24,MATCH($F32,'CFOG'!$B$23:$B$24,0))),"N/A")</f>
        <v/>
      </c>
      <c r="P32" s="52">
        <f>IFERROR(IF(INDEX('ESG'!$O$10:$O$17,MATCH($F32,'ESG'!$B$10:$B$17,0))="","Cell will autofill based on response",INDEX('ESG'!$O$10:$O$17,MATCH($F32,'ESG'!$B$10:$B$17,0))),"N/A")</f>
        <v/>
      </c>
      <c r="Q32" s="52">
        <f>IFERROR(IF(INDEX('CIOG'!$O$10:$O$14,MATCH($F32,'CIOG'!$B$10:$B$14,0))="","Cell will autofill based on response",INDEX('CIOG'!$O$10:$O$14,MATCH($F32,'CIOG'!$B$10:$B$14,0))),"N/A")</f>
        <v/>
      </c>
      <c r="R32" s="52">
        <f>IFERROR(IF(INDEX('MRE'!$O$10:$O$18,MATCH($F32,'MRE'!$B$10:$B$18,0))="","Cell will autofill based on response",INDEX('MRE'!$O$10:$O$18,MATCH($F32,'MRE'!$B$10:$B$18,0))),"N/A")</f>
        <v/>
      </c>
      <c r="S32" s="52">
        <f>IFERROR(IF(INDEX('AC&amp;M'!$O$10:$O$14,MATCH($F32,'AC&amp;M'!$B$10:$B$14,0))="","Cell will autofill based on response",INDEX('AC&amp;M'!$O$10:$O$14,MATCH($F32,'AC&amp;M'!$B$10:$B$14,0))),"N/A")</f>
        <v/>
      </c>
      <c r="T32" s="52">
        <f>IFERROR(IF(INDEX('GCE'!$O$10:$O$12,MATCH($F32,'GCE'!$B$10:$B$12,0))="","Cell will autofill based on response",INDEX('GCE'!$O$10:$O$12,MATCH($F32,'GCE'!$B$10:$B$12,0))),"N/A")</f>
        <v/>
      </c>
      <c r="U32" s="52">
        <f>IFERROR(IF(INDEX('Education'!$O$10:$O$13,MATCH($F32,'Education'!$B$10:$B$13,0))="","Cell will autofill based on response",INDEX('Education'!$O$10:$O$13,MATCH($F32,'Education'!$B$10:$B$13,0))),"N/A")</f>
        <v/>
      </c>
      <c r="V32" s="52">
        <f>IFERROR(IF(INDEX('SaSS'!$O$10:$O$12,MATCH($F32,'SaSS'!$B$10:$B$12,0))="","Cell will autofill based on response",INDEX('SaSS'!$O$10:$O$12,MATCH($F32,'SaSS'!$B$10:$B$12,0))),"N/A")</f>
        <v/>
      </c>
      <c r="W32" s="52">
        <f>IFERROR(IF(INDEX('Indigenous'!$O$10:$O$11,MATCH($F32,'Indigenous'!$B$10:$B$11,0))="","Cell will autofill based on response",INDEX('Indigenous'!$O$10:$O$11,MATCH($F32,'Indigenous'!$B$10:$B$11,0))),"N/A")</f>
        <v/>
      </c>
      <c r="X32" s="52">
        <f>IFERROR(IF(INDEX('L&amp;R'!$O$10:$O$11,MATCH($F32,'L&amp;R'!$B$10:$B$11,0))="","Cell will autofill based on response",INDEX('L&amp;R'!$O$10:$O$11,MATCH($F32,'L&amp;R'!$B$10:$B$11,0))),"N/A")</f>
        <v/>
      </c>
    </row>
    <row r="33">
      <c r="A33">
        <f>F33&amp;"|"&amp;G33</f>
        <v/>
      </c>
      <c r="B33" s="13" t="inlineStr"/>
      <c r="C33" s="8" t="inlineStr"/>
      <c r="D33" s="8" t="inlineStr"/>
      <c r="E33" s="8" t="inlineStr"/>
      <c r="F33" s="8" t="inlineStr">
        <is>
          <t>EE1(d)</t>
        </is>
      </c>
      <c r="G33" s="8" t="inlineStr">
        <is>
          <t>Data source and limitations</t>
        </is>
      </c>
      <c r="H33" s="52">
        <f>IFERROR(IF(INDEX('Faculties'!$P$10:$P$19,MATCH($F33,'Faculties'!$B$10:$B$19,0))="","Cell will autofill based on response",INDEX('Faculties'!$P$10:$P$19,MATCH($F33,'Faculties'!$B$10:$B$19,0))),"N/A")</f>
        <v/>
      </c>
      <c r="I33" s="52">
        <f>IFERROR(IF(INDEX('Faculties'!$P$26:$P$35,MATCH($F33,'Faculties'!$B$26:$B$35,0))="","Cell will autofill based on response",INDEX('Faculties'!$P$26:$P$35,MATCH($F33,'Faculties'!$B$26:$B$35,0))),"N/A")</f>
        <v/>
      </c>
      <c r="J33" s="52">
        <f>IFERROR(IF(INDEX('Faculties'!$P$42:$P$51,MATCH($F33,'Faculties'!$B$42:$B$51,0))="","Cell will autofill based on response",INDEX('Faculties'!$P$42:$P$51,MATCH($F33,'Faculties'!$B$42:$B$51,0))),"N/A")</f>
        <v/>
      </c>
      <c r="K33" s="52">
        <f>IFERROR(IF(INDEX('Faculties'!$P$58:$P$67,MATCH($F33,'Faculties'!$B$58:$B$67,0))="","Cell will autofill based on response",INDEX('Faculties'!$P$58:$P$67,MATCH($F33,'Faculties'!$B$58:$B$67,0))),"N/A")</f>
        <v/>
      </c>
      <c r="L33" s="52">
        <f>IFERROR(IF(INDEX('CI&amp;S'!$P$10:$P$15,MATCH($F33,'CI&amp;S'!$B$10:$B$15,0))="","Cell will autofill based on response",INDEX('CI&amp;S'!$P$10:$P$15,MATCH($F33,'CI&amp;S'!$B$10:$B$15,0))),"N/A")</f>
        <v/>
      </c>
      <c r="M33" s="52">
        <f>IFERROR(IF(INDEX('CI&amp;S'!$P$22:$P$36,MATCH($F33,'CI&amp;S'!$B$22:$B$36,0))="","Cell will autofill based on response",INDEX('CI&amp;S'!$P$22:$P$36,MATCH($F33,'CI&amp;S'!$B$22:$B$36,0))),"N/A")</f>
        <v/>
      </c>
      <c r="N33" s="52">
        <f>IFERROR(IF(INDEX('CFOG'!$P$10:$P$16,MATCH($F33,'CFOG'!$B$10:$B$16,0))="","Cell will autofill based on response",INDEX('CFOG'!$P$10:$P$16,MATCH($F33,'CFOG'!$B$10:$B$16,0))),"N/A")</f>
        <v/>
      </c>
      <c r="O33" s="52">
        <f>IFERROR(IF(INDEX('CFOG'!$P$23:$P$24,MATCH($F33,'CFOG'!$B$23:$B$24,0))="","Cell will autofill based on response",INDEX('CFOG'!$P$23:$P$24,MATCH($F33,'CFOG'!$B$23:$B$24,0))),"N/A")</f>
        <v/>
      </c>
      <c r="P33" s="52">
        <f>IFERROR(IF(INDEX('ESG'!$P$10:$P$17,MATCH($F33,'ESG'!$B$10:$B$17,0))="","Cell will autofill based on response",INDEX('ESG'!$P$10:$P$17,MATCH($F33,'ESG'!$B$10:$B$17,0))),"N/A")</f>
        <v/>
      </c>
      <c r="Q33" s="52">
        <f>IFERROR(IF(INDEX('CIOG'!$P$10:$P$14,MATCH($F33,'CIOG'!$B$10:$B$14,0))="","Cell will autofill based on response",INDEX('CIOG'!$P$10:$P$14,MATCH($F33,'CIOG'!$B$10:$B$14,0))),"N/A")</f>
        <v/>
      </c>
      <c r="R33" s="52">
        <f>IFERROR(IF(INDEX('MRE'!$P$10:$P$18,MATCH($F33,'MRE'!$B$10:$B$18,0))="","Cell will autofill based on response",INDEX('MRE'!$P$10:$P$18,MATCH($F33,'MRE'!$B$10:$B$18,0))),"N/A")</f>
        <v/>
      </c>
      <c r="S33" s="52">
        <f>IFERROR(IF(INDEX('AC&amp;M'!$P$10:$P$14,MATCH($F33,'AC&amp;M'!$B$10:$B$14,0))="","Cell will autofill based on response",INDEX('AC&amp;M'!$P$10:$P$14,MATCH($F33,'AC&amp;M'!$B$10:$B$14,0))),"N/A")</f>
        <v/>
      </c>
      <c r="T33" s="52">
        <f>IFERROR(IF(INDEX('GCE'!$P$10:$P$12,MATCH($F33,'GCE'!$B$10:$B$12,0))="","Cell will autofill based on response",INDEX('GCE'!$P$10:$P$12,MATCH($F33,'GCE'!$B$10:$B$12,0))),"N/A")</f>
        <v/>
      </c>
      <c r="U33" s="52">
        <f>IFERROR(IF(INDEX('Education'!$P$10:$P$13,MATCH($F33,'Education'!$B$10:$B$13,0))="","Cell will autofill based on response",INDEX('Education'!$P$10:$P$13,MATCH($F33,'Education'!$B$10:$B$13,0))),"N/A")</f>
        <v/>
      </c>
      <c r="V33" s="52">
        <f>IFERROR(IF(INDEX('SaSS'!$P$10:$P$12,MATCH($F33,'SaSS'!$B$10:$B$12,0))="","Cell will autofill based on response",INDEX('SaSS'!$P$10:$P$12,MATCH($F33,'SaSS'!$B$10:$B$12,0))),"N/A")</f>
        <v/>
      </c>
      <c r="W33" s="52">
        <f>IFERROR(IF(INDEX('Indigenous'!$P$10:$P$11,MATCH($F33,'Indigenous'!$B$10:$B$11,0))="","Cell will autofill based on response",INDEX('Indigenous'!$P$10:$P$11,MATCH($F33,'Indigenous'!$B$10:$B$11,0))),"N/A")</f>
        <v/>
      </c>
      <c r="X33" s="52">
        <f>IFERROR(IF(INDEX('L&amp;R'!$P$10:$P$11,MATCH($F33,'L&amp;R'!$B$10:$B$11,0))="","Cell will autofill based on response",INDEX('L&amp;R'!$P$10:$P$11,MATCH($F33,'L&amp;R'!$B$10:$B$11,0))),"N/A")</f>
        <v/>
      </c>
    </row>
    <row r="34">
      <c r="A34">
        <f>F34&amp;"|"&amp;G34</f>
        <v/>
      </c>
      <c r="B34" s="13" t="inlineStr"/>
      <c r="C34" s="8" t="inlineStr"/>
      <c r="D34" s="8" t="inlineStr"/>
      <c r="E34" s="8" t="inlineStr"/>
      <c r="F34" s="8" t="inlineStr">
        <is>
          <t>EE1(d)</t>
        </is>
      </c>
      <c r="G34" s="8" t="inlineStr">
        <is>
          <t>Data owner confirms</t>
        </is>
      </c>
      <c r="H34" s="52">
        <f>IFERROR(IF(INDEX('Faculties'!$Q$10:$Q$19,MATCH($F34,'Faculties'!$B$10:$B$19,0))="","Cell will autofill based on response",INDEX('Faculties'!$Q$10:$Q$19,MATCH($F34,'Faculties'!$B$10:$B$19,0))),"N/A")</f>
        <v/>
      </c>
      <c r="I34" s="52">
        <f>IFERROR(IF(INDEX('Faculties'!$Q$26:$Q$35,MATCH($F34,'Faculties'!$B$26:$B$35,0))="","Cell will autofill based on response",INDEX('Faculties'!$Q$26:$Q$35,MATCH($F34,'Faculties'!$B$26:$B$35,0))),"N/A")</f>
        <v/>
      </c>
      <c r="J34" s="52">
        <f>IFERROR(IF(INDEX('Faculties'!$Q$42:$Q$51,MATCH($F34,'Faculties'!$B$42:$B$51,0))="","Cell will autofill based on response",INDEX('Faculties'!$Q$42:$Q$51,MATCH($F34,'Faculties'!$B$42:$B$51,0))),"N/A")</f>
        <v/>
      </c>
      <c r="K34" s="52">
        <f>IFERROR(IF(INDEX('Faculties'!$Q$58:$Q$67,MATCH($F34,'Faculties'!$B$58:$B$67,0))="","Cell will autofill based on response",INDEX('Faculties'!$Q$58:$Q$67,MATCH($F34,'Faculties'!$B$58:$B$67,0))),"N/A")</f>
        <v/>
      </c>
      <c r="L34" s="52">
        <f>IFERROR(IF(INDEX('CI&amp;S'!$Q$10:$Q$15,MATCH($F34,'CI&amp;S'!$B$10:$B$15,0))="","Cell will autofill based on response",INDEX('CI&amp;S'!$Q$10:$Q$15,MATCH($F34,'CI&amp;S'!$B$10:$B$15,0))),"N/A")</f>
        <v/>
      </c>
      <c r="M34" s="52">
        <f>IFERROR(IF(INDEX('CI&amp;S'!$Q$22:$Q$36,MATCH($F34,'CI&amp;S'!$B$22:$B$36,0))="","Cell will autofill based on response",INDEX('CI&amp;S'!$Q$22:$Q$36,MATCH($F34,'CI&amp;S'!$B$22:$B$36,0))),"N/A")</f>
        <v/>
      </c>
      <c r="N34" s="52">
        <f>IFERROR(IF(INDEX('CFOG'!$Q$10:$Q$16,MATCH($F34,'CFOG'!$B$10:$B$16,0))="","Cell will autofill based on response",INDEX('CFOG'!$Q$10:$Q$16,MATCH($F34,'CFOG'!$B$10:$B$16,0))),"N/A")</f>
        <v/>
      </c>
      <c r="O34" s="52">
        <f>IFERROR(IF(INDEX('CFOG'!$Q$23:$Q$24,MATCH($F34,'CFOG'!$B$23:$B$24,0))="","Cell will autofill based on response",INDEX('CFOG'!$Q$23:$Q$24,MATCH($F34,'CFOG'!$B$23:$B$24,0))),"N/A")</f>
        <v/>
      </c>
      <c r="P34" s="52">
        <f>IFERROR(IF(INDEX('ESG'!$Q$10:$Q$17,MATCH($F34,'ESG'!$B$10:$B$17,0))="","Cell will autofill based on response",INDEX('ESG'!$Q$10:$Q$17,MATCH($F34,'ESG'!$B$10:$B$17,0))),"N/A")</f>
        <v/>
      </c>
      <c r="Q34" s="52">
        <f>IFERROR(IF(INDEX('CIOG'!$Q$10:$Q$14,MATCH($F34,'CIOG'!$B$10:$B$14,0))="","Cell will autofill based on response",INDEX('CIOG'!$Q$10:$Q$14,MATCH($F34,'CIOG'!$B$10:$B$14,0))),"N/A")</f>
        <v/>
      </c>
      <c r="R34" s="52">
        <f>IFERROR(IF(INDEX('MRE'!$Q$10:$Q$18,MATCH($F34,'MRE'!$B$10:$B$18,0))="","Cell will autofill based on response",INDEX('MRE'!$Q$10:$Q$18,MATCH($F34,'MRE'!$B$10:$B$18,0))),"N/A")</f>
        <v/>
      </c>
      <c r="S34" s="52">
        <f>IFERROR(IF(INDEX('AC&amp;M'!$Q$10:$Q$14,MATCH($F34,'AC&amp;M'!$B$10:$B$14,0))="","Cell will autofill based on response",INDEX('AC&amp;M'!$Q$10:$Q$14,MATCH($F34,'AC&amp;M'!$B$10:$B$14,0))),"N/A")</f>
        <v/>
      </c>
      <c r="T34" s="52">
        <f>IFERROR(IF(INDEX('GCE'!$Q$10:$Q$12,MATCH($F34,'GCE'!$B$10:$B$12,0))="","Cell will autofill based on response",INDEX('GCE'!$Q$10:$Q$12,MATCH($F34,'GCE'!$B$10:$B$12,0))),"N/A")</f>
        <v/>
      </c>
      <c r="U34" s="52">
        <f>IFERROR(IF(INDEX('Education'!$Q$10:$Q$13,MATCH($F34,'Education'!$B$10:$B$13,0))="","Cell will autofill based on response",INDEX('Education'!$Q$10:$Q$13,MATCH($F34,'Education'!$B$10:$B$13,0))),"N/A")</f>
        <v/>
      </c>
      <c r="V34" s="52">
        <f>IFERROR(IF(INDEX('SaSS'!$Q$10:$Q$12,MATCH($F34,'SaSS'!$B$10:$B$12,0))="","Cell will autofill based on response",INDEX('SaSS'!$Q$10:$Q$12,MATCH($F34,'SaSS'!$B$10:$B$12,0))),"N/A")</f>
        <v/>
      </c>
      <c r="W34" s="52">
        <f>IFERROR(IF(INDEX('Indigenous'!$Q$10:$Q$11,MATCH($F34,'Indigenous'!$B$10:$B$11,0))="","Cell will autofill based on response",INDEX('Indigenous'!$Q$10:$Q$11,MATCH($F34,'Indigenous'!$B$10:$B$11,0))),"N/A")</f>
        <v/>
      </c>
      <c r="X34" s="52">
        <f>IFERROR(IF(INDEX('L&amp;R'!$Q$10:$Q$11,MATCH($F34,'L&amp;R'!$B$10:$B$11,0))="","Cell will autofill based on response",INDEX('L&amp;R'!$Q$10:$Q$11,MATCH($F34,'L&amp;R'!$B$10:$B$11,0))),"N/A")</f>
        <v/>
      </c>
    </row>
    <row r="35">
      <c r="A35">
        <f>F35&amp;"|"&amp;G35</f>
        <v/>
      </c>
      <c r="B35" s="7" t="inlineStr">
        <is>
          <t>TR1(a)</t>
        </is>
      </c>
      <c r="C35" s="50" t="inlineStr">
        <is>
          <t>Transformational research</t>
        </is>
      </c>
      <c r="D35" s="50" t="inlineStr">
        <is>
          <t>Expert-reviewed evidence of researchers contributing to operational sustainability priorities through partnerships, advisory input, living labs, applied projects or decision-support</t>
        </is>
      </c>
      <c r="E35" s="50"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5" s="50" t="inlineStr">
        <is>
          <t>TR1(a)</t>
        </is>
      </c>
      <c r="G35" s="50" t="inlineStr">
        <is>
          <t>Confirm end-2026 target status</t>
        </is>
      </c>
      <c r="H35" s="52">
        <f>IFERROR(IF(INDEX('Faculties'!$L$10:$L$19,MATCH($F35,'Faculties'!$B$10:$B$19,0))="","Cell will autofill based on response",INDEX('Faculties'!$L$10:$L$19,MATCH($F35,'Faculties'!$B$10:$B$19,0))),"N/A")</f>
        <v/>
      </c>
      <c r="I35" s="52">
        <f>IFERROR(IF(INDEX('Faculties'!$L$26:$L$35,MATCH($F35,'Faculties'!$B$26:$B$35,0))="","Cell will autofill based on response",INDEX('Faculties'!$L$26:$L$35,MATCH($F35,'Faculties'!$B$26:$B$35,0))),"N/A")</f>
        <v/>
      </c>
      <c r="J35" s="52">
        <f>IFERROR(IF(INDEX('Faculties'!$L$42:$L$51,MATCH($F35,'Faculties'!$B$42:$B$51,0))="","Cell will autofill based on response",INDEX('Faculties'!$L$42:$L$51,MATCH($F35,'Faculties'!$B$42:$B$51,0))),"N/A")</f>
        <v/>
      </c>
      <c r="K35" s="52">
        <f>IFERROR(IF(INDEX('Faculties'!$L$58:$L$67,MATCH($F35,'Faculties'!$B$58:$B$67,0))="","Cell will autofill based on response",INDEX('Faculties'!$L$58:$L$67,MATCH($F35,'Faculties'!$B$58:$B$67,0))),"N/A")</f>
        <v/>
      </c>
      <c r="L35" s="52">
        <f>IFERROR(IF(INDEX('CI&amp;S'!$L$10:$L$15,MATCH($F35,'CI&amp;S'!$B$10:$B$15,0))="","Cell will autofill based on response",INDEX('CI&amp;S'!$L$10:$L$15,MATCH($F35,'CI&amp;S'!$B$10:$B$15,0))),"N/A")</f>
        <v/>
      </c>
      <c r="M35" s="52">
        <f>IFERROR(IF(INDEX('CI&amp;S'!$L$22:$L$36,MATCH($F35,'CI&amp;S'!$B$22:$B$36,0))="","Cell will autofill based on response",INDEX('CI&amp;S'!$L$22:$L$36,MATCH($F35,'CI&amp;S'!$B$22:$B$36,0))),"N/A")</f>
        <v/>
      </c>
      <c r="N35" s="52">
        <f>IFERROR(IF(INDEX('CFOG'!$L$10:$L$16,MATCH($F35,'CFOG'!$B$10:$B$16,0))="","Cell will autofill based on response",INDEX('CFOG'!$L$10:$L$16,MATCH($F35,'CFOG'!$B$10:$B$16,0))),"N/A")</f>
        <v/>
      </c>
      <c r="O35" s="52">
        <f>IFERROR(IF(INDEX('CFOG'!$L$23:$L$24,MATCH($F35,'CFOG'!$B$23:$B$24,0))="","Cell will autofill based on response",INDEX('CFOG'!$L$23:$L$24,MATCH($F35,'CFOG'!$B$23:$B$24,0))),"N/A")</f>
        <v/>
      </c>
      <c r="P35" s="52">
        <f>IFERROR(IF(INDEX('ESG'!$L$10:$L$17,MATCH($F35,'ESG'!$B$10:$B$17,0))="","Cell will autofill based on response",INDEX('ESG'!$L$10:$L$17,MATCH($F35,'ESG'!$B$10:$B$17,0))),"N/A")</f>
        <v/>
      </c>
      <c r="Q35" s="52">
        <f>IFERROR(IF(INDEX('CIOG'!$L$10:$L$14,MATCH($F35,'CIOG'!$B$10:$B$14,0))="","Cell will autofill based on response",INDEX('CIOG'!$L$10:$L$14,MATCH($F35,'CIOG'!$B$10:$B$14,0))),"N/A")</f>
        <v/>
      </c>
      <c r="R35" s="52">
        <f>IFERROR(IF(INDEX('MRE'!$L$10:$L$18,MATCH($F35,'MRE'!$B$10:$B$18,0))="","Cell will autofill based on response",INDEX('MRE'!$L$10:$L$18,MATCH($F35,'MRE'!$B$10:$B$18,0))),"N/A")</f>
        <v/>
      </c>
      <c r="S35" s="52">
        <f>IFERROR(IF(INDEX('AC&amp;M'!$L$10:$L$14,MATCH($F35,'AC&amp;M'!$B$10:$B$14,0))="","Cell will autofill based on response",INDEX('AC&amp;M'!$L$10:$L$14,MATCH($F35,'AC&amp;M'!$B$10:$B$14,0))),"N/A")</f>
        <v/>
      </c>
      <c r="T35" s="52">
        <f>IFERROR(IF(INDEX('GCE'!$L$10:$L$12,MATCH($F35,'GCE'!$B$10:$B$12,0))="","Cell will autofill based on response",INDEX('GCE'!$L$10:$L$12,MATCH($F35,'GCE'!$B$10:$B$12,0))),"N/A")</f>
        <v/>
      </c>
      <c r="U35" s="52">
        <f>IFERROR(IF(INDEX('Education'!$L$10:$L$13,MATCH($F35,'Education'!$B$10:$B$13,0))="","Cell will autofill based on response",INDEX('Education'!$L$10:$L$13,MATCH($F35,'Education'!$B$10:$B$13,0))),"N/A")</f>
        <v/>
      </c>
      <c r="V35" s="52">
        <f>IFERROR(IF(INDEX('SaSS'!$L$10:$L$12,MATCH($F35,'SaSS'!$B$10:$B$12,0))="","Cell will autofill based on response",INDEX('SaSS'!$L$10:$L$12,MATCH($F35,'SaSS'!$B$10:$B$12,0))),"N/A")</f>
        <v/>
      </c>
      <c r="W35" s="52">
        <f>IFERROR(IF(INDEX('Indigenous'!$L$10:$L$11,MATCH($F35,'Indigenous'!$B$10:$B$11,0))="","Cell will autofill based on response",INDEX('Indigenous'!$L$10:$L$11,MATCH($F35,'Indigenous'!$B$10:$B$11,0))),"N/A")</f>
        <v/>
      </c>
      <c r="X35" s="52">
        <f>IFERROR(IF(INDEX('L&amp;R'!$L$10:$L$11,MATCH($F35,'L&amp;R'!$B$10:$B$11,0))="","Cell will autofill based on response",INDEX('L&amp;R'!$L$10:$L$11,MATCH($F35,'L&amp;R'!$B$10:$B$11,0))),"N/A")</f>
        <v/>
      </c>
      <c r="Z35" s="10">
        <f>COUNTIF($H35:$X35,"Cell will autofill based on response")</f>
        <v/>
      </c>
      <c r="AA35" s="10">
        <f>COUNTIF($H35:$X35,"Not yet started")</f>
        <v/>
      </c>
      <c r="AB35" s="10">
        <f>COUNTIF($H35:$X35,"Not met")</f>
        <v/>
      </c>
      <c r="AC35" s="10">
        <f>COUNTIF($H35:$X35,"Partially met")</f>
        <v/>
      </c>
      <c r="AD35" s="10">
        <f>COUNTIF($H35:$X35,"Met or exceeded")</f>
        <v/>
      </c>
      <c r="AE35" s="10">
        <f>3*AD35+2*AC35+AB35</f>
        <v/>
      </c>
      <c r="AF35" s="10">
        <f>AD35+AC35+AB35+AA35</f>
        <v/>
      </c>
      <c r="AG35" s="53">
        <f>IF(AF35&gt;0,AE35/AF35,"No valid responses to date")</f>
        <v/>
      </c>
      <c r="AH35" s="10">
        <f>IF(ISNUMBER(AG35),INDEX(Lists!$G$2:$G$5,MATCH(ROUND(AG35,0),Lists!$H$2:$H$5,0)),"")</f>
        <v/>
      </c>
      <c r="AI35" s="54">
        <f>IF(AF35&gt;0,AD35/AF35,"")</f>
        <v/>
      </c>
      <c r="AJ35" s="54">
        <f>IF(AF35&gt;0,(AD35+AC35)/AF35,"")</f>
        <v/>
      </c>
      <c r="AK35" s="10">
        <f>IF(AF35=0,"",IF(AI35&gt;0.75,"Met or exceeded",IF(AJ35&gt;=0.5,"Partially met","Not met")))</f>
        <v/>
      </c>
    </row>
    <row r="36">
      <c r="A36">
        <f>F36&amp;"|"&amp;G36</f>
        <v/>
      </c>
      <c r="B36" s="13" t="inlineStr"/>
      <c r="C36" s="8" t="inlineStr"/>
      <c r="D36" s="8" t="inlineStr"/>
      <c r="E36" s="8" t="inlineStr"/>
      <c r="F36" s="8" t="inlineStr">
        <is>
          <t>TR1(a)</t>
        </is>
      </c>
      <c r="G36" s="8" t="inlineStr">
        <is>
          <t>OPTION 1:  Target-level reporting</t>
        </is>
      </c>
      <c r="H36" s="52">
        <f>IFERROR(IF(INDEX('Faculties'!$M$10:$M$19,MATCH($F36,'Faculties'!$B$10:$B$19,0))="","Cell will autofill based on response",INDEX('Faculties'!$M$10:$M$19,MATCH($F36,'Faculties'!$B$10:$B$19,0))),"N/A")</f>
        <v/>
      </c>
      <c r="I36" s="52">
        <f>IFERROR(IF(INDEX('Faculties'!$M$26:$M$35,MATCH($F36,'Faculties'!$B$26:$B$35,0))="","Cell will autofill based on response",INDEX('Faculties'!$M$26:$M$35,MATCH($F36,'Faculties'!$B$26:$B$35,0))),"N/A")</f>
        <v/>
      </c>
      <c r="J36" s="52">
        <f>IFERROR(IF(INDEX('Faculties'!$M$42:$M$51,MATCH($F36,'Faculties'!$B$42:$B$51,0))="","Cell will autofill based on response",INDEX('Faculties'!$M$42:$M$51,MATCH($F36,'Faculties'!$B$42:$B$51,0))),"N/A")</f>
        <v/>
      </c>
      <c r="K36" s="52">
        <f>IFERROR(IF(INDEX('Faculties'!$M$58:$M$67,MATCH($F36,'Faculties'!$B$58:$B$67,0))="","Cell will autofill based on response",INDEX('Faculties'!$M$58:$M$67,MATCH($F36,'Faculties'!$B$58:$B$67,0))),"N/A")</f>
        <v/>
      </c>
      <c r="L36" s="52">
        <f>IFERROR(IF(INDEX('CI&amp;S'!$M$10:$M$15,MATCH($F36,'CI&amp;S'!$B$10:$B$15,0))="","Cell will autofill based on response",INDEX('CI&amp;S'!$M$10:$M$15,MATCH($F36,'CI&amp;S'!$B$10:$B$15,0))),"N/A")</f>
        <v/>
      </c>
      <c r="M36" s="52">
        <f>IFERROR(IF(INDEX('CI&amp;S'!$M$22:$M$36,MATCH($F36,'CI&amp;S'!$B$22:$B$36,0))="","Cell will autofill based on response",INDEX('CI&amp;S'!$M$22:$M$36,MATCH($F36,'CI&amp;S'!$B$22:$B$36,0))),"N/A")</f>
        <v/>
      </c>
      <c r="N36" s="52">
        <f>IFERROR(IF(INDEX('CFOG'!$M$10:$M$16,MATCH($F36,'CFOG'!$B$10:$B$16,0))="","Cell will autofill based on response",INDEX('CFOG'!$M$10:$M$16,MATCH($F36,'CFOG'!$B$10:$B$16,0))),"N/A")</f>
        <v/>
      </c>
      <c r="O36" s="52">
        <f>IFERROR(IF(INDEX('CFOG'!$M$23:$M$24,MATCH($F36,'CFOG'!$B$23:$B$24,0))="","Cell will autofill based on response",INDEX('CFOG'!$M$23:$M$24,MATCH($F36,'CFOG'!$B$23:$B$24,0))),"N/A")</f>
        <v/>
      </c>
      <c r="P36" s="52">
        <f>IFERROR(IF(INDEX('ESG'!$M$10:$M$17,MATCH($F36,'ESG'!$B$10:$B$17,0))="","Cell will autofill based on response",INDEX('ESG'!$M$10:$M$17,MATCH($F36,'ESG'!$B$10:$B$17,0))),"N/A")</f>
        <v/>
      </c>
      <c r="Q36" s="52">
        <f>IFERROR(IF(INDEX('CIOG'!$M$10:$M$14,MATCH($F36,'CIOG'!$B$10:$B$14,0))="","Cell will autofill based on response",INDEX('CIOG'!$M$10:$M$14,MATCH($F36,'CIOG'!$B$10:$B$14,0))),"N/A")</f>
        <v/>
      </c>
      <c r="R36" s="52">
        <f>IFERROR(IF(INDEX('MRE'!$M$10:$M$18,MATCH($F36,'MRE'!$B$10:$B$18,0))="","Cell will autofill based on response",INDEX('MRE'!$M$10:$M$18,MATCH($F36,'MRE'!$B$10:$B$18,0))),"N/A")</f>
        <v/>
      </c>
      <c r="S36" s="52">
        <f>IFERROR(IF(INDEX('AC&amp;M'!$M$10:$M$14,MATCH($F36,'AC&amp;M'!$B$10:$B$14,0))="","Cell will autofill based on response",INDEX('AC&amp;M'!$M$10:$M$14,MATCH($F36,'AC&amp;M'!$B$10:$B$14,0))),"N/A")</f>
        <v/>
      </c>
      <c r="T36" s="52">
        <f>IFERROR(IF(INDEX('GCE'!$M$10:$M$12,MATCH($F36,'GCE'!$B$10:$B$12,0))="","Cell will autofill based on response",INDEX('GCE'!$M$10:$M$12,MATCH($F36,'GCE'!$B$10:$B$12,0))),"N/A")</f>
        <v/>
      </c>
      <c r="U36" s="52">
        <f>IFERROR(IF(INDEX('Education'!$M$10:$M$13,MATCH($F36,'Education'!$B$10:$B$13,0))="","Cell will autofill based on response",INDEX('Education'!$M$10:$M$13,MATCH($F36,'Education'!$B$10:$B$13,0))),"N/A")</f>
        <v/>
      </c>
      <c r="V36" s="52">
        <f>IFERROR(IF(INDEX('SaSS'!$M$10:$M$12,MATCH($F36,'SaSS'!$B$10:$B$12,0))="","Cell will autofill based on response",INDEX('SaSS'!$M$10:$M$12,MATCH($F36,'SaSS'!$B$10:$B$12,0))),"N/A")</f>
        <v/>
      </c>
      <c r="W36" s="52">
        <f>IFERROR(IF(INDEX('Indigenous'!$M$10:$M$11,MATCH($F36,'Indigenous'!$B$10:$B$11,0))="","Cell will autofill based on response",INDEX('Indigenous'!$M$10:$M$11,MATCH($F36,'Indigenous'!$B$10:$B$11,0))),"N/A")</f>
        <v/>
      </c>
      <c r="X36" s="52">
        <f>IFERROR(IF(INDEX('L&amp;R'!$M$10:$M$11,MATCH($F36,'L&amp;R'!$B$10:$B$11,0))="","Cell will autofill based on response",INDEX('L&amp;R'!$M$10:$M$11,MATCH($F36,'L&amp;R'!$B$10:$B$11,0))),"N/A")</f>
        <v/>
      </c>
    </row>
    <row r="37">
      <c r="A37">
        <f>F37&amp;"|"&amp;G37</f>
        <v/>
      </c>
      <c r="B37" s="13" t="inlineStr"/>
      <c r="C37" s="8" t="inlineStr"/>
      <c r="D37" s="8" t="inlineStr"/>
      <c r="E37" s="8" t="inlineStr"/>
      <c r="F37" s="8" t="inlineStr">
        <is>
          <t>TR1(a)</t>
        </is>
      </c>
      <c r="G37" s="8" t="inlineStr">
        <is>
          <t>OPTION 2:  Indicator level reporting</t>
        </is>
      </c>
      <c r="H37" s="52">
        <f>IFERROR(IF(INDEX('Faculties'!$N$10:$N$19,MATCH($F37,'Faculties'!$B$10:$B$19,0))="","Cell will autofill based on response",INDEX('Faculties'!$N$10:$N$19,MATCH($F37,'Faculties'!$B$10:$B$19,0))),"N/A")</f>
        <v/>
      </c>
      <c r="I37" s="52">
        <f>IFERROR(IF(INDEX('Faculties'!$N$26:$N$35,MATCH($F37,'Faculties'!$B$26:$B$35,0))="","Cell will autofill based on response",INDEX('Faculties'!$N$26:$N$35,MATCH($F37,'Faculties'!$B$26:$B$35,0))),"N/A")</f>
        <v/>
      </c>
      <c r="J37" s="52">
        <f>IFERROR(IF(INDEX('Faculties'!$N$42:$N$51,MATCH($F37,'Faculties'!$B$42:$B$51,0))="","Cell will autofill based on response",INDEX('Faculties'!$N$42:$N$51,MATCH($F37,'Faculties'!$B$42:$B$51,0))),"N/A")</f>
        <v/>
      </c>
      <c r="K37" s="52">
        <f>IFERROR(IF(INDEX('Faculties'!$N$58:$N$67,MATCH($F37,'Faculties'!$B$58:$B$67,0))="","Cell will autofill based on response",INDEX('Faculties'!$N$58:$N$67,MATCH($F37,'Faculties'!$B$58:$B$67,0))),"N/A")</f>
        <v/>
      </c>
      <c r="L37" s="52">
        <f>IFERROR(IF(INDEX('CI&amp;S'!$N$10:$N$15,MATCH($F37,'CI&amp;S'!$B$10:$B$15,0))="","Cell will autofill based on response",INDEX('CI&amp;S'!$N$10:$N$15,MATCH($F37,'CI&amp;S'!$B$10:$B$15,0))),"N/A")</f>
        <v/>
      </c>
      <c r="M37" s="52">
        <f>IFERROR(IF(INDEX('CI&amp;S'!$N$22:$N$36,MATCH($F37,'CI&amp;S'!$B$22:$B$36,0))="","Cell will autofill based on response",INDEX('CI&amp;S'!$N$22:$N$36,MATCH($F37,'CI&amp;S'!$B$22:$B$36,0))),"N/A")</f>
        <v/>
      </c>
      <c r="N37" s="52">
        <f>IFERROR(IF(INDEX('CFOG'!$N$10:$N$16,MATCH($F37,'CFOG'!$B$10:$B$16,0))="","Cell will autofill based on response",INDEX('CFOG'!$N$10:$N$16,MATCH($F37,'CFOG'!$B$10:$B$16,0))),"N/A")</f>
        <v/>
      </c>
      <c r="O37" s="52">
        <f>IFERROR(IF(INDEX('CFOG'!$N$23:$N$24,MATCH($F37,'CFOG'!$B$23:$B$24,0))="","Cell will autofill based on response",INDEX('CFOG'!$N$23:$N$24,MATCH($F37,'CFOG'!$B$23:$B$24,0))),"N/A")</f>
        <v/>
      </c>
      <c r="P37" s="52">
        <f>IFERROR(IF(INDEX('ESG'!$N$10:$N$17,MATCH($F37,'ESG'!$B$10:$B$17,0))="","Cell will autofill based on response",INDEX('ESG'!$N$10:$N$17,MATCH($F37,'ESG'!$B$10:$B$17,0))),"N/A")</f>
        <v/>
      </c>
      <c r="Q37" s="52">
        <f>IFERROR(IF(INDEX('CIOG'!$N$10:$N$14,MATCH($F37,'CIOG'!$B$10:$B$14,0))="","Cell will autofill based on response",INDEX('CIOG'!$N$10:$N$14,MATCH($F37,'CIOG'!$B$10:$B$14,0))),"N/A")</f>
        <v/>
      </c>
      <c r="R37" s="52">
        <f>IFERROR(IF(INDEX('MRE'!$N$10:$N$18,MATCH($F37,'MRE'!$B$10:$B$18,0))="","Cell will autofill based on response",INDEX('MRE'!$N$10:$N$18,MATCH($F37,'MRE'!$B$10:$B$18,0))),"N/A")</f>
        <v/>
      </c>
      <c r="S37" s="52">
        <f>IFERROR(IF(INDEX('AC&amp;M'!$N$10:$N$14,MATCH($F37,'AC&amp;M'!$B$10:$B$14,0))="","Cell will autofill based on response",INDEX('AC&amp;M'!$N$10:$N$14,MATCH($F37,'AC&amp;M'!$B$10:$B$14,0))),"N/A")</f>
        <v/>
      </c>
      <c r="T37" s="52">
        <f>IFERROR(IF(INDEX('GCE'!$N$10:$N$12,MATCH($F37,'GCE'!$B$10:$B$12,0))="","Cell will autofill based on response",INDEX('GCE'!$N$10:$N$12,MATCH($F37,'GCE'!$B$10:$B$12,0))),"N/A")</f>
        <v/>
      </c>
      <c r="U37" s="52">
        <f>IFERROR(IF(INDEX('Education'!$N$10:$N$13,MATCH($F37,'Education'!$B$10:$B$13,0))="","Cell will autofill based on response",INDEX('Education'!$N$10:$N$13,MATCH($F37,'Education'!$B$10:$B$13,0))),"N/A")</f>
        <v/>
      </c>
      <c r="V37" s="52">
        <f>IFERROR(IF(INDEX('SaSS'!$N$10:$N$12,MATCH($F37,'SaSS'!$B$10:$B$12,0))="","Cell will autofill based on response",INDEX('SaSS'!$N$10:$N$12,MATCH($F37,'SaSS'!$B$10:$B$12,0))),"N/A")</f>
        <v/>
      </c>
      <c r="W37" s="52">
        <f>IFERROR(IF(INDEX('Indigenous'!$N$10:$N$11,MATCH($F37,'Indigenous'!$B$10:$B$11,0))="","Cell will autofill based on response",INDEX('Indigenous'!$N$10:$N$11,MATCH($F37,'Indigenous'!$B$10:$B$11,0))),"N/A")</f>
        <v/>
      </c>
      <c r="X37" s="52">
        <f>IFERROR(IF(INDEX('L&amp;R'!$N$10:$N$11,MATCH($F37,'L&amp;R'!$B$10:$B$11,0))="","Cell will autofill based on response",INDEX('L&amp;R'!$N$10:$N$11,MATCH($F37,'L&amp;R'!$B$10:$B$11,0))),"N/A")</f>
        <v/>
      </c>
    </row>
    <row r="38">
      <c r="A38">
        <f>F38&amp;"|"&amp;G38</f>
        <v/>
      </c>
      <c r="B38" s="13" t="inlineStr"/>
      <c r="C38" s="8" t="inlineStr"/>
      <c r="D38" s="8" t="inlineStr"/>
      <c r="E38" s="8" t="inlineStr"/>
      <c r="F38" s="8" t="inlineStr">
        <is>
          <t>TR1(a)</t>
        </is>
      </c>
      <c r="G38" s="8" t="inlineStr">
        <is>
          <t>Supporting information/comments</t>
        </is>
      </c>
      <c r="H38" s="52">
        <f>IFERROR(IF(INDEX('Faculties'!$O$10:$O$19,MATCH($F38,'Faculties'!$B$10:$B$19,0))="","Cell will autofill based on response",INDEX('Faculties'!$O$10:$O$19,MATCH($F38,'Faculties'!$B$10:$B$19,0))),"N/A")</f>
        <v/>
      </c>
      <c r="I38" s="52">
        <f>IFERROR(IF(INDEX('Faculties'!$O$26:$O$35,MATCH($F38,'Faculties'!$B$26:$B$35,0))="","Cell will autofill based on response",INDEX('Faculties'!$O$26:$O$35,MATCH($F38,'Faculties'!$B$26:$B$35,0))),"N/A")</f>
        <v/>
      </c>
      <c r="J38" s="52">
        <f>IFERROR(IF(INDEX('Faculties'!$O$42:$O$51,MATCH($F38,'Faculties'!$B$42:$B$51,0))="","Cell will autofill based on response",INDEX('Faculties'!$O$42:$O$51,MATCH($F38,'Faculties'!$B$42:$B$51,0))),"N/A")</f>
        <v/>
      </c>
      <c r="K38" s="52">
        <f>IFERROR(IF(INDEX('Faculties'!$O$58:$O$67,MATCH($F38,'Faculties'!$B$58:$B$67,0))="","Cell will autofill based on response",INDEX('Faculties'!$O$58:$O$67,MATCH($F38,'Faculties'!$B$58:$B$67,0))),"N/A")</f>
        <v/>
      </c>
      <c r="L38" s="52">
        <f>IFERROR(IF(INDEX('CI&amp;S'!$O$10:$O$15,MATCH($F38,'CI&amp;S'!$B$10:$B$15,0))="","Cell will autofill based on response",INDEX('CI&amp;S'!$O$10:$O$15,MATCH($F38,'CI&amp;S'!$B$10:$B$15,0))),"N/A")</f>
        <v/>
      </c>
      <c r="M38" s="52">
        <f>IFERROR(IF(INDEX('CI&amp;S'!$O$22:$O$36,MATCH($F38,'CI&amp;S'!$B$22:$B$36,0))="","Cell will autofill based on response",INDEX('CI&amp;S'!$O$22:$O$36,MATCH($F38,'CI&amp;S'!$B$22:$B$36,0))),"N/A")</f>
        <v/>
      </c>
      <c r="N38" s="52">
        <f>IFERROR(IF(INDEX('CFOG'!$O$10:$O$16,MATCH($F38,'CFOG'!$B$10:$B$16,0))="","Cell will autofill based on response",INDEX('CFOG'!$O$10:$O$16,MATCH($F38,'CFOG'!$B$10:$B$16,0))),"N/A")</f>
        <v/>
      </c>
      <c r="O38" s="52">
        <f>IFERROR(IF(INDEX('CFOG'!$O$23:$O$24,MATCH($F38,'CFOG'!$B$23:$B$24,0))="","Cell will autofill based on response",INDEX('CFOG'!$O$23:$O$24,MATCH($F38,'CFOG'!$B$23:$B$24,0))),"N/A")</f>
        <v/>
      </c>
      <c r="P38" s="52">
        <f>IFERROR(IF(INDEX('ESG'!$O$10:$O$17,MATCH($F38,'ESG'!$B$10:$B$17,0))="","Cell will autofill based on response",INDEX('ESG'!$O$10:$O$17,MATCH($F38,'ESG'!$B$10:$B$17,0))),"N/A")</f>
        <v/>
      </c>
      <c r="Q38" s="52">
        <f>IFERROR(IF(INDEX('CIOG'!$O$10:$O$14,MATCH($F38,'CIOG'!$B$10:$B$14,0))="","Cell will autofill based on response",INDEX('CIOG'!$O$10:$O$14,MATCH($F38,'CIOG'!$B$10:$B$14,0))),"N/A")</f>
        <v/>
      </c>
      <c r="R38" s="52">
        <f>IFERROR(IF(INDEX('MRE'!$O$10:$O$18,MATCH($F38,'MRE'!$B$10:$B$18,0))="","Cell will autofill based on response",INDEX('MRE'!$O$10:$O$18,MATCH($F38,'MRE'!$B$10:$B$18,0))),"N/A")</f>
        <v/>
      </c>
      <c r="S38" s="52">
        <f>IFERROR(IF(INDEX('AC&amp;M'!$O$10:$O$14,MATCH($F38,'AC&amp;M'!$B$10:$B$14,0))="","Cell will autofill based on response",INDEX('AC&amp;M'!$O$10:$O$14,MATCH($F38,'AC&amp;M'!$B$10:$B$14,0))),"N/A")</f>
        <v/>
      </c>
      <c r="T38" s="52">
        <f>IFERROR(IF(INDEX('GCE'!$O$10:$O$12,MATCH($F38,'GCE'!$B$10:$B$12,0))="","Cell will autofill based on response",INDEX('GCE'!$O$10:$O$12,MATCH($F38,'GCE'!$B$10:$B$12,0))),"N/A")</f>
        <v/>
      </c>
      <c r="U38" s="52">
        <f>IFERROR(IF(INDEX('Education'!$O$10:$O$13,MATCH($F38,'Education'!$B$10:$B$13,0))="","Cell will autofill based on response",INDEX('Education'!$O$10:$O$13,MATCH($F38,'Education'!$B$10:$B$13,0))),"N/A")</f>
        <v/>
      </c>
      <c r="V38" s="52">
        <f>IFERROR(IF(INDEX('SaSS'!$O$10:$O$12,MATCH($F38,'SaSS'!$B$10:$B$12,0))="","Cell will autofill based on response",INDEX('SaSS'!$O$10:$O$12,MATCH($F38,'SaSS'!$B$10:$B$12,0))),"N/A")</f>
        <v/>
      </c>
      <c r="W38" s="52">
        <f>IFERROR(IF(INDEX('Indigenous'!$O$10:$O$11,MATCH($F38,'Indigenous'!$B$10:$B$11,0))="","Cell will autofill based on response",INDEX('Indigenous'!$O$10:$O$11,MATCH($F38,'Indigenous'!$B$10:$B$11,0))),"N/A")</f>
        <v/>
      </c>
      <c r="X38" s="52">
        <f>IFERROR(IF(INDEX('L&amp;R'!$O$10:$O$11,MATCH($F38,'L&amp;R'!$B$10:$B$11,0))="","Cell will autofill based on response",INDEX('L&amp;R'!$O$10:$O$11,MATCH($F38,'L&amp;R'!$B$10:$B$11,0))),"N/A")</f>
        <v/>
      </c>
    </row>
    <row r="39">
      <c r="A39">
        <f>F39&amp;"|"&amp;G39</f>
        <v/>
      </c>
      <c r="B39" s="13" t="inlineStr"/>
      <c r="C39" s="8" t="inlineStr"/>
      <c r="D39" s="8" t="inlineStr"/>
      <c r="E39" s="8" t="inlineStr"/>
      <c r="F39" s="8" t="inlineStr">
        <is>
          <t>TR1(a)</t>
        </is>
      </c>
      <c r="G39" s="8" t="inlineStr">
        <is>
          <t>Data source and limitations</t>
        </is>
      </c>
      <c r="H39" s="52">
        <f>IFERROR(IF(INDEX('Faculties'!$P$10:$P$19,MATCH($F39,'Faculties'!$B$10:$B$19,0))="","Cell will autofill based on response",INDEX('Faculties'!$P$10:$P$19,MATCH($F39,'Faculties'!$B$10:$B$19,0))),"N/A")</f>
        <v/>
      </c>
      <c r="I39" s="52">
        <f>IFERROR(IF(INDEX('Faculties'!$P$26:$P$35,MATCH($F39,'Faculties'!$B$26:$B$35,0))="","Cell will autofill based on response",INDEX('Faculties'!$P$26:$P$35,MATCH($F39,'Faculties'!$B$26:$B$35,0))),"N/A")</f>
        <v/>
      </c>
      <c r="J39" s="52">
        <f>IFERROR(IF(INDEX('Faculties'!$P$42:$P$51,MATCH($F39,'Faculties'!$B$42:$B$51,0))="","Cell will autofill based on response",INDEX('Faculties'!$P$42:$P$51,MATCH($F39,'Faculties'!$B$42:$B$51,0))),"N/A")</f>
        <v/>
      </c>
      <c r="K39" s="52">
        <f>IFERROR(IF(INDEX('Faculties'!$P$58:$P$67,MATCH($F39,'Faculties'!$B$58:$B$67,0))="","Cell will autofill based on response",INDEX('Faculties'!$P$58:$P$67,MATCH($F39,'Faculties'!$B$58:$B$67,0))),"N/A")</f>
        <v/>
      </c>
      <c r="L39" s="52">
        <f>IFERROR(IF(INDEX('CI&amp;S'!$P$10:$P$15,MATCH($F39,'CI&amp;S'!$B$10:$B$15,0))="","Cell will autofill based on response",INDEX('CI&amp;S'!$P$10:$P$15,MATCH($F39,'CI&amp;S'!$B$10:$B$15,0))),"N/A")</f>
        <v/>
      </c>
      <c r="M39" s="52">
        <f>IFERROR(IF(INDEX('CI&amp;S'!$P$22:$P$36,MATCH($F39,'CI&amp;S'!$B$22:$B$36,0))="","Cell will autofill based on response",INDEX('CI&amp;S'!$P$22:$P$36,MATCH($F39,'CI&amp;S'!$B$22:$B$36,0))),"N/A")</f>
        <v/>
      </c>
      <c r="N39" s="52">
        <f>IFERROR(IF(INDEX('CFOG'!$P$10:$P$16,MATCH($F39,'CFOG'!$B$10:$B$16,0))="","Cell will autofill based on response",INDEX('CFOG'!$P$10:$P$16,MATCH($F39,'CFOG'!$B$10:$B$16,0))),"N/A")</f>
        <v/>
      </c>
      <c r="O39" s="52">
        <f>IFERROR(IF(INDEX('CFOG'!$P$23:$P$24,MATCH($F39,'CFOG'!$B$23:$B$24,0))="","Cell will autofill based on response",INDEX('CFOG'!$P$23:$P$24,MATCH($F39,'CFOG'!$B$23:$B$24,0))),"N/A")</f>
        <v/>
      </c>
      <c r="P39" s="52">
        <f>IFERROR(IF(INDEX('ESG'!$P$10:$P$17,MATCH($F39,'ESG'!$B$10:$B$17,0))="","Cell will autofill based on response",INDEX('ESG'!$P$10:$P$17,MATCH($F39,'ESG'!$B$10:$B$17,0))),"N/A")</f>
        <v/>
      </c>
      <c r="Q39" s="52">
        <f>IFERROR(IF(INDEX('CIOG'!$P$10:$P$14,MATCH($F39,'CIOG'!$B$10:$B$14,0))="","Cell will autofill based on response",INDEX('CIOG'!$P$10:$P$14,MATCH($F39,'CIOG'!$B$10:$B$14,0))),"N/A")</f>
        <v/>
      </c>
      <c r="R39" s="52">
        <f>IFERROR(IF(INDEX('MRE'!$P$10:$P$18,MATCH($F39,'MRE'!$B$10:$B$18,0))="","Cell will autofill based on response",INDEX('MRE'!$P$10:$P$18,MATCH($F39,'MRE'!$B$10:$B$18,0))),"N/A")</f>
        <v/>
      </c>
      <c r="S39" s="52">
        <f>IFERROR(IF(INDEX('AC&amp;M'!$P$10:$P$14,MATCH($F39,'AC&amp;M'!$B$10:$B$14,0))="","Cell will autofill based on response",INDEX('AC&amp;M'!$P$10:$P$14,MATCH($F39,'AC&amp;M'!$B$10:$B$14,0))),"N/A")</f>
        <v/>
      </c>
      <c r="T39" s="52">
        <f>IFERROR(IF(INDEX('GCE'!$P$10:$P$12,MATCH($F39,'GCE'!$B$10:$B$12,0))="","Cell will autofill based on response",INDEX('GCE'!$P$10:$P$12,MATCH($F39,'GCE'!$B$10:$B$12,0))),"N/A")</f>
        <v/>
      </c>
      <c r="U39" s="52">
        <f>IFERROR(IF(INDEX('Education'!$P$10:$P$13,MATCH($F39,'Education'!$B$10:$B$13,0))="","Cell will autofill based on response",INDEX('Education'!$P$10:$P$13,MATCH($F39,'Education'!$B$10:$B$13,0))),"N/A")</f>
        <v/>
      </c>
      <c r="V39" s="52">
        <f>IFERROR(IF(INDEX('SaSS'!$P$10:$P$12,MATCH($F39,'SaSS'!$B$10:$B$12,0))="","Cell will autofill based on response",INDEX('SaSS'!$P$10:$P$12,MATCH($F39,'SaSS'!$B$10:$B$12,0))),"N/A")</f>
        <v/>
      </c>
      <c r="W39" s="52">
        <f>IFERROR(IF(INDEX('Indigenous'!$P$10:$P$11,MATCH($F39,'Indigenous'!$B$10:$B$11,0))="","Cell will autofill based on response",INDEX('Indigenous'!$P$10:$P$11,MATCH($F39,'Indigenous'!$B$10:$B$11,0))),"N/A")</f>
        <v/>
      </c>
      <c r="X39" s="52">
        <f>IFERROR(IF(INDEX('L&amp;R'!$P$10:$P$11,MATCH($F39,'L&amp;R'!$B$10:$B$11,0))="","Cell will autofill based on response",INDEX('L&amp;R'!$P$10:$P$11,MATCH($F39,'L&amp;R'!$B$10:$B$11,0))),"N/A")</f>
        <v/>
      </c>
    </row>
    <row r="40">
      <c r="A40">
        <f>F40&amp;"|"&amp;G40</f>
        <v/>
      </c>
      <c r="B40" s="13" t="inlineStr"/>
      <c r="C40" s="8" t="inlineStr"/>
      <c r="D40" s="8" t="inlineStr"/>
      <c r="E40" s="8" t="inlineStr"/>
      <c r="F40" s="8" t="inlineStr">
        <is>
          <t>TR1(a)</t>
        </is>
      </c>
      <c r="G40" s="8" t="inlineStr">
        <is>
          <t>Data owner confirms</t>
        </is>
      </c>
      <c r="H40" s="52">
        <f>IFERROR(IF(INDEX('Faculties'!$Q$10:$Q$19,MATCH($F40,'Faculties'!$B$10:$B$19,0))="","Cell will autofill based on response",INDEX('Faculties'!$Q$10:$Q$19,MATCH($F40,'Faculties'!$B$10:$B$19,0))),"N/A")</f>
        <v/>
      </c>
      <c r="I40" s="52">
        <f>IFERROR(IF(INDEX('Faculties'!$Q$26:$Q$35,MATCH($F40,'Faculties'!$B$26:$B$35,0))="","Cell will autofill based on response",INDEX('Faculties'!$Q$26:$Q$35,MATCH($F40,'Faculties'!$B$26:$B$35,0))),"N/A")</f>
        <v/>
      </c>
      <c r="J40" s="52">
        <f>IFERROR(IF(INDEX('Faculties'!$Q$42:$Q$51,MATCH($F40,'Faculties'!$B$42:$B$51,0))="","Cell will autofill based on response",INDEX('Faculties'!$Q$42:$Q$51,MATCH($F40,'Faculties'!$B$42:$B$51,0))),"N/A")</f>
        <v/>
      </c>
      <c r="K40" s="52">
        <f>IFERROR(IF(INDEX('Faculties'!$Q$58:$Q$67,MATCH($F40,'Faculties'!$B$58:$B$67,0))="","Cell will autofill based on response",INDEX('Faculties'!$Q$58:$Q$67,MATCH($F40,'Faculties'!$B$58:$B$67,0))),"N/A")</f>
        <v/>
      </c>
      <c r="L40" s="52">
        <f>IFERROR(IF(INDEX('CI&amp;S'!$Q$10:$Q$15,MATCH($F40,'CI&amp;S'!$B$10:$B$15,0))="","Cell will autofill based on response",INDEX('CI&amp;S'!$Q$10:$Q$15,MATCH($F40,'CI&amp;S'!$B$10:$B$15,0))),"N/A")</f>
        <v/>
      </c>
      <c r="M40" s="52">
        <f>IFERROR(IF(INDEX('CI&amp;S'!$Q$22:$Q$36,MATCH($F40,'CI&amp;S'!$B$22:$B$36,0))="","Cell will autofill based on response",INDEX('CI&amp;S'!$Q$22:$Q$36,MATCH($F40,'CI&amp;S'!$B$22:$B$36,0))),"N/A")</f>
        <v/>
      </c>
      <c r="N40" s="52">
        <f>IFERROR(IF(INDEX('CFOG'!$Q$10:$Q$16,MATCH($F40,'CFOG'!$B$10:$B$16,0))="","Cell will autofill based on response",INDEX('CFOG'!$Q$10:$Q$16,MATCH($F40,'CFOG'!$B$10:$B$16,0))),"N/A")</f>
        <v/>
      </c>
      <c r="O40" s="52">
        <f>IFERROR(IF(INDEX('CFOG'!$Q$23:$Q$24,MATCH($F40,'CFOG'!$B$23:$B$24,0))="","Cell will autofill based on response",INDEX('CFOG'!$Q$23:$Q$24,MATCH($F40,'CFOG'!$B$23:$B$24,0))),"N/A")</f>
        <v/>
      </c>
      <c r="P40" s="52">
        <f>IFERROR(IF(INDEX('ESG'!$Q$10:$Q$17,MATCH($F40,'ESG'!$B$10:$B$17,0))="","Cell will autofill based on response",INDEX('ESG'!$Q$10:$Q$17,MATCH($F40,'ESG'!$B$10:$B$17,0))),"N/A")</f>
        <v/>
      </c>
      <c r="Q40" s="52">
        <f>IFERROR(IF(INDEX('CIOG'!$Q$10:$Q$14,MATCH($F40,'CIOG'!$B$10:$B$14,0))="","Cell will autofill based on response",INDEX('CIOG'!$Q$10:$Q$14,MATCH($F40,'CIOG'!$B$10:$B$14,0))),"N/A")</f>
        <v/>
      </c>
      <c r="R40" s="52">
        <f>IFERROR(IF(INDEX('MRE'!$Q$10:$Q$18,MATCH($F40,'MRE'!$B$10:$B$18,0))="","Cell will autofill based on response",INDEX('MRE'!$Q$10:$Q$18,MATCH($F40,'MRE'!$B$10:$B$18,0))),"N/A")</f>
        <v/>
      </c>
      <c r="S40" s="52">
        <f>IFERROR(IF(INDEX('AC&amp;M'!$Q$10:$Q$14,MATCH($F40,'AC&amp;M'!$B$10:$B$14,0))="","Cell will autofill based on response",INDEX('AC&amp;M'!$Q$10:$Q$14,MATCH($F40,'AC&amp;M'!$B$10:$B$14,0))),"N/A")</f>
        <v/>
      </c>
      <c r="T40" s="52">
        <f>IFERROR(IF(INDEX('GCE'!$Q$10:$Q$12,MATCH($F40,'GCE'!$B$10:$B$12,0))="","Cell will autofill based on response",INDEX('GCE'!$Q$10:$Q$12,MATCH($F40,'GCE'!$B$10:$B$12,0))),"N/A")</f>
        <v/>
      </c>
      <c r="U40" s="52">
        <f>IFERROR(IF(INDEX('Education'!$Q$10:$Q$13,MATCH($F40,'Education'!$B$10:$B$13,0))="","Cell will autofill based on response",INDEX('Education'!$Q$10:$Q$13,MATCH($F40,'Education'!$B$10:$B$13,0))),"N/A")</f>
        <v/>
      </c>
      <c r="V40" s="52">
        <f>IFERROR(IF(INDEX('SaSS'!$Q$10:$Q$12,MATCH($F40,'SaSS'!$B$10:$B$12,0))="","Cell will autofill based on response",INDEX('SaSS'!$Q$10:$Q$12,MATCH($F40,'SaSS'!$B$10:$B$12,0))),"N/A")</f>
        <v/>
      </c>
      <c r="W40" s="52">
        <f>IFERROR(IF(INDEX('Indigenous'!$Q$10:$Q$11,MATCH($F40,'Indigenous'!$B$10:$B$11,0))="","Cell will autofill based on response",INDEX('Indigenous'!$Q$10:$Q$11,MATCH($F40,'Indigenous'!$B$10:$B$11,0))),"N/A")</f>
        <v/>
      </c>
      <c r="X40" s="52">
        <f>IFERROR(IF(INDEX('L&amp;R'!$Q$10:$Q$11,MATCH($F40,'L&amp;R'!$B$10:$B$11,0))="","Cell will autofill based on response",INDEX('L&amp;R'!$Q$10:$Q$11,MATCH($F40,'L&amp;R'!$B$10:$B$11,0))),"N/A")</f>
        <v/>
      </c>
    </row>
    <row r="41">
      <c r="A41">
        <f>F41&amp;"|"&amp;G41</f>
        <v/>
      </c>
      <c r="B41" s="7" t="inlineStr">
        <is>
          <t>TR1(b)</t>
        </is>
      </c>
      <c r="C41" s="50" t="inlineStr">
        <is>
          <t>Transformational research</t>
        </is>
      </c>
      <c r="D41" s="50" t="inlineStr">
        <is>
          <t>Evidence of institutional pathways that enable ongoing collaboration between academic and professional staff</t>
        </is>
      </c>
      <c r="E41" s="50"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41" s="50" t="inlineStr">
        <is>
          <t>TR1(b)</t>
        </is>
      </c>
      <c r="G41" s="50" t="inlineStr">
        <is>
          <t>Confirm end-2026 target status</t>
        </is>
      </c>
      <c r="H41" s="52">
        <f>IFERROR(IF(INDEX('Faculties'!$L$10:$L$19,MATCH($F41,'Faculties'!$B$10:$B$19,0))="","Cell will autofill based on response",INDEX('Faculties'!$L$10:$L$19,MATCH($F41,'Faculties'!$B$10:$B$19,0))),"N/A")</f>
        <v/>
      </c>
      <c r="I41" s="52">
        <f>IFERROR(IF(INDEX('Faculties'!$L$26:$L$35,MATCH($F41,'Faculties'!$B$26:$B$35,0))="","Cell will autofill based on response",INDEX('Faculties'!$L$26:$L$35,MATCH($F41,'Faculties'!$B$26:$B$35,0))),"N/A")</f>
        <v/>
      </c>
      <c r="J41" s="52">
        <f>IFERROR(IF(INDEX('Faculties'!$L$42:$L$51,MATCH($F41,'Faculties'!$B$42:$B$51,0))="","Cell will autofill based on response",INDEX('Faculties'!$L$42:$L$51,MATCH($F41,'Faculties'!$B$42:$B$51,0))),"N/A")</f>
        <v/>
      </c>
      <c r="K41" s="52">
        <f>IFERROR(IF(INDEX('Faculties'!$L$58:$L$67,MATCH($F41,'Faculties'!$B$58:$B$67,0))="","Cell will autofill based on response",INDEX('Faculties'!$L$58:$L$67,MATCH($F41,'Faculties'!$B$58:$B$67,0))),"N/A")</f>
        <v/>
      </c>
      <c r="L41" s="52">
        <f>IFERROR(IF(INDEX('CI&amp;S'!$L$10:$L$15,MATCH($F41,'CI&amp;S'!$B$10:$B$15,0))="","Cell will autofill based on response",INDEX('CI&amp;S'!$L$10:$L$15,MATCH($F41,'CI&amp;S'!$B$10:$B$15,0))),"N/A")</f>
        <v/>
      </c>
      <c r="M41" s="52">
        <f>IFERROR(IF(INDEX('CI&amp;S'!$L$22:$L$36,MATCH($F41,'CI&amp;S'!$B$22:$B$36,0))="","Cell will autofill based on response",INDEX('CI&amp;S'!$L$22:$L$36,MATCH($F41,'CI&amp;S'!$B$22:$B$36,0))),"N/A")</f>
        <v/>
      </c>
      <c r="N41" s="52">
        <f>IFERROR(IF(INDEX('CFOG'!$L$10:$L$16,MATCH($F41,'CFOG'!$B$10:$B$16,0))="","Cell will autofill based on response",INDEX('CFOG'!$L$10:$L$16,MATCH($F41,'CFOG'!$B$10:$B$16,0))),"N/A")</f>
        <v/>
      </c>
      <c r="O41" s="52">
        <f>IFERROR(IF(INDEX('CFOG'!$L$23:$L$24,MATCH($F41,'CFOG'!$B$23:$B$24,0))="","Cell will autofill based on response",INDEX('CFOG'!$L$23:$L$24,MATCH($F41,'CFOG'!$B$23:$B$24,0))),"N/A")</f>
        <v/>
      </c>
      <c r="P41" s="52">
        <f>IFERROR(IF(INDEX('ESG'!$L$10:$L$17,MATCH($F41,'ESG'!$B$10:$B$17,0))="","Cell will autofill based on response",INDEX('ESG'!$L$10:$L$17,MATCH($F41,'ESG'!$B$10:$B$17,0))),"N/A")</f>
        <v/>
      </c>
      <c r="Q41" s="52">
        <f>IFERROR(IF(INDEX('CIOG'!$L$10:$L$14,MATCH($F41,'CIOG'!$B$10:$B$14,0))="","Cell will autofill based on response",INDEX('CIOG'!$L$10:$L$14,MATCH($F41,'CIOG'!$B$10:$B$14,0))),"N/A")</f>
        <v/>
      </c>
      <c r="R41" s="52">
        <f>IFERROR(IF(INDEX('MRE'!$L$10:$L$18,MATCH($F41,'MRE'!$B$10:$B$18,0))="","Cell will autofill based on response",INDEX('MRE'!$L$10:$L$18,MATCH($F41,'MRE'!$B$10:$B$18,0))),"N/A")</f>
        <v/>
      </c>
      <c r="S41" s="52">
        <f>IFERROR(IF(INDEX('AC&amp;M'!$L$10:$L$14,MATCH($F41,'AC&amp;M'!$B$10:$B$14,0))="","Cell will autofill based on response",INDEX('AC&amp;M'!$L$10:$L$14,MATCH($F41,'AC&amp;M'!$B$10:$B$14,0))),"N/A")</f>
        <v/>
      </c>
      <c r="T41" s="52">
        <f>IFERROR(IF(INDEX('GCE'!$L$10:$L$12,MATCH($F41,'GCE'!$B$10:$B$12,0))="","Cell will autofill based on response",INDEX('GCE'!$L$10:$L$12,MATCH($F41,'GCE'!$B$10:$B$12,0))),"N/A")</f>
        <v/>
      </c>
      <c r="U41" s="52">
        <f>IFERROR(IF(INDEX('Education'!$L$10:$L$13,MATCH($F41,'Education'!$B$10:$B$13,0))="","Cell will autofill based on response",INDEX('Education'!$L$10:$L$13,MATCH($F41,'Education'!$B$10:$B$13,0))),"N/A")</f>
        <v/>
      </c>
      <c r="V41" s="52">
        <f>IFERROR(IF(INDEX('SaSS'!$L$10:$L$12,MATCH($F41,'SaSS'!$B$10:$B$12,0))="","Cell will autofill based on response",INDEX('SaSS'!$L$10:$L$12,MATCH($F41,'SaSS'!$B$10:$B$12,0))),"N/A")</f>
        <v/>
      </c>
      <c r="W41" s="52">
        <f>IFERROR(IF(INDEX('Indigenous'!$L$10:$L$11,MATCH($F41,'Indigenous'!$B$10:$B$11,0))="","Cell will autofill based on response",INDEX('Indigenous'!$L$10:$L$11,MATCH($F41,'Indigenous'!$B$10:$B$11,0))),"N/A")</f>
        <v/>
      </c>
      <c r="X41" s="52">
        <f>IFERROR(IF(INDEX('L&amp;R'!$L$10:$L$11,MATCH($F41,'L&amp;R'!$B$10:$B$11,0))="","Cell will autofill based on response",INDEX('L&amp;R'!$L$10:$L$11,MATCH($F41,'L&amp;R'!$B$10:$B$11,0))),"N/A")</f>
        <v/>
      </c>
      <c r="Z41" s="10">
        <f>COUNTIF($H41:$X41,"Cell will autofill based on response")</f>
        <v/>
      </c>
      <c r="AA41" s="10">
        <f>COUNTIF($H41:$X41,"Not yet started")</f>
        <v/>
      </c>
      <c r="AB41" s="10">
        <f>COUNTIF($H41:$X41,"Not met")</f>
        <v/>
      </c>
      <c r="AC41" s="10">
        <f>COUNTIF($H41:$X41,"Partially met")</f>
        <v/>
      </c>
      <c r="AD41" s="10">
        <f>COUNTIF($H41:$X41,"Met or exceeded")</f>
        <v/>
      </c>
      <c r="AE41" s="10">
        <f>3*AD41+2*AC41+AB41</f>
        <v/>
      </c>
      <c r="AF41" s="10">
        <f>AD41+AC41+AB41+AA41</f>
        <v/>
      </c>
      <c r="AG41" s="53">
        <f>IF(AF41&gt;0,AE41/AF41,"No valid responses to date")</f>
        <v/>
      </c>
      <c r="AH41" s="10">
        <f>IF(ISNUMBER(AG41),INDEX(Lists!$G$2:$G$5,MATCH(ROUND(AG41,0),Lists!$H$2:$H$5,0)),"")</f>
        <v/>
      </c>
      <c r="AI41" s="54">
        <f>IF(AF41&gt;0,AD41/AF41,"")</f>
        <v/>
      </c>
      <c r="AJ41" s="54">
        <f>IF(AF41&gt;0,(AD41+AC41)/AF41,"")</f>
        <v/>
      </c>
      <c r="AK41" s="10">
        <f>IF(AF41=0,"",IF(AI41&gt;0.75,"Met or exceeded",IF(AJ41&gt;=0.5,"Partially met","Not met")))</f>
        <v/>
      </c>
    </row>
    <row r="42">
      <c r="A42">
        <f>F42&amp;"|"&amp;G42</f>
        <v/>
      </c>
      <c r="B42" s="13" t="inlineStr"/>
      <c r="C42" s="8" t="inlineStr"/>
      <c r="D42" s="8" t="inlineStr"/>
      <c r="E42" s="8" t="inlineStr"/>
      <c r="F42" s="8" t="inlineStr">
        <is>
          <t>TR1(b)</t>
        </is>
      </c>
      <c r="G42" s="8" t="inlineStr">
        <is>
          <t>OPTION 1:  Target-level reporting</t>
        </is>
      </c>
      <c r="H42" s="52">
        <f>IFERROR(IF(INDEX('Faculties'!$M$10:$M$19,MATCH($F42,'Faculties'!$B$10:$B$19,0))="","Cell will autofill based on response",INDEX('Faculties'!$M$10:$M$19,MATCH($F42,'Faculties'!$B$10:$B$19,0))),"N/A")</f>
        <v/>
      </c>
      <c r="I42" s="52">
        <f>IFERROR(IF(INDEX('Faculties'!$M$26:$M$35,MATCH($F42,'Faculties'!$B$26:$B$35,0))="","Cell will autofill based on response",INDEX('Faculties'!$M$26:$M$35,MATCH($F42,'Faculties'!$B$26:$B$35,0))),"N/A")</f>
        <v/>
      </c>
      <c r="J42" s="52">
        <f>IFERROR(IF(INDEX('Faculties'!$M$42:$M$51,MATCH($F42,'Faculties'!$B$42:$B$51,0))="","Cell will autofill based on response",INDEX('Faculties'!$M$42:$M$51,MATCH($F42,'Faculties'!$B$42:$B$51,0))),"N/A")</f>
        <v/>
      </c>
      <c r="K42" s="52">
        <f>IFERROR(IF(INDEX('Faculties'!$M$58:$M$67,MATCH($F42,'Faculties'!$B$58:$B$67,0))="","Cell will autofill based on response",INDEX('Faculties'!$M$58:$M$67,MATCH($F42,'Faculties'!$B$58:$B$67,0))),"N/A")</f>
        <v/>
      </c>
      <c r="L42" s="52">
        <f>IFERROR(IF(INDEX('CI&amp;S'!$M$10:$M$15,MATCH($F42,'CI&amp;S'!$B$10:$B$15,0))="","Cell will autofill based on response",INDEX('CI&amp;S'!$M$10:$M$15,MATCH($F42,'CI&amp;S'!$B$10:$B$15,0))),"N/A")</f>
        <v/>
      </c>
      <c r="M42" s="52">
        <f>IFERROR(IF(INDEX('CI&amp;S'!$M$22:$M$36,MATCH($F42,'CI&amp;S'!$B$22:$B$36,0))="","Cell will autofill based on response",INDEX('CI&amp;S'!$M$22:$M$36,MATCH($F42,'CI&amp;S'!$B$22:$B$36,0))),"N/A")</f>
        <v/>
      </c>
      <c r="N42" s="52">
        <f>IFERROR(IF(INDEX('CFOG'!$M$10:$M$16,MATCH($F42,'CFOG'!$B$10:$B$16,0))="","Cell will autofill based on response",INDEX('CFOG'!$M$10:$M$16,MATCH($F42,'CFOG'!$B$10:$B$16,0))),"N/A")</f>
        <v/>
      </c>
      <c r="O42" s="52">
        <f>IFERROR(IF(INDEX('CFOG'!$M$23:$M$24,MATCH($F42,'CFOG'!$B$23:$B$24,0))="","Cell will autofill based on response",INDEX('CFOG'!$M$23:$M$24,MATCH($F42,'CFOG'!$B$23:$B$24,0))),"N/A")</f>
        <v/>
      </c>
      <c r="P42" s="52">
        <f>IFERROR(IF(INDEX('ESG'!$M$10:$M$17,MATCH($F42,'ESG'!$B$10:$B$17,0))="","Cell will autofill based on response",INDEX('ESG'!$M$10:$M$17,MATCH($F42,'ESG'!$B$10:$B$17,0))),"N/A")</f>
        <v/>
      </c>
      <c r="Q42" s="52">
        <f>IFERROR(IF(INDEX('CIOG'!$M$10:$M$14,MATCH($F42,'CIOG'!$B$10:$B$14,0))="","Cell will autofill based on response",INDEX('CIOG'!$M$10:$M$14,MATCH($F42,'CIOG'!$B$10:$B$14,0))),"N/A")</f>
        <v/>
      </c>
      <c r="R42" s="52">
        <f>IFERROR(IF(INDEX('MRE'!$M$10:$M$18,MATCH($F42,'MRE'!$B$10:$B$18,0))="","Cell will autofill based on response",INDEX('MRE'!$M$10:$M$18,MATCH($F42,'MRE'!$B$10:$B$18,0))),"N/A")</f>
        <v/>
      </c>
      <c r="S42" s="52">
        <f>IFERROR(IF(INDEX('AC&amp;M'!$M$10:$M$14,MATCH($F42,'AC&amp;M'!$B$10:$B$14,0))="","Cell will autofill based on response",INDEX('AC&amp;M'!$M$10:$M$14,MATCH($F42,'AC&amp;M'!$B$10:$B$14,0))),"N/A")</f>
        <v/>
      </c>
      <c r="T42" s="52">
        <f>IFERROR(IF(INDEX('GCE'!$M$10:$M$12,MATCH($F42,'GCE'!$B$10:$B$12,0))="","Cell will autofill based on response",INDEX('GCE'!$M$10:$M$12,MATCH($F42,'GCE'!$B$10:$B$12,0))),"N/A")</f>
        <v/>
      </c>
      <c r="U42" s="52">
        <f>IFERROR(IF(INDEX('Education'!$M$10:$M$13,MATCH($F42,'Education'!$B$10:$B$13,0))="","Cell will autofill based on response",INDEX('Education'!$M$10:$M$13,MATCH($F42,'Education'!$B$10:$B$13,0))),"N/A")</f>
        <v/>
      </c>
      <c r="V42" s="52">
        <f>IFERROR(IF(INDEX('SaSS'!$M$10:$M$12,MATCH($F42,'SaSS'!$B$10:$B$12,0))="","Cell will autofill based on response",INDEX('SaSS'!$M$10:$M$12,MATCH($F42,'SaSS'!$B$10:$B$12,0))),"N/A")</f>
        <v/>
      </c>
      <c r="W42" s="52">
        <f>IFERROR(IF(INDEX('Indigenous'!$M$10:$M$11,MATCH($F42,'Indigenous'!$B$10:$B$11,0))="","Cell will autofill based on response",INDEX('Indigenous'!$M$10:$M$11,MATCH($F42,'Indigenous'!$B$10:$B$11,0))),"N/A")</f>
        <v/>
      </c>
      <c r="X42" s="52">
        <f>IFERROR(IF(INDEX('L&amp;R'!$M$10:$M$11,MATCH($F42,'L&amp;R'!$B$10:$B$11,0))="","Cell will autofill based on response",INDEX('L&amp;R'!$M$10:$M$11,MATCH($F42,'L&amp;R'!$B$10:$B$11,0))),"N/A")</f>
        <v/>
      </c>
    </row>
    <row r="43">
      <c r="A43">
        <f>F43&amp;"|"&amp;G43</f>
        <v/>
      </c>
      <c r="B43" s="13" t="inlineStr"/>
      <c r="C43" s="8" t="inlineStr"/>
      <c r="D43" s="8" t="inlineStr"/>
      <c r="E43" s="8" t="inlineStr"/>
      <c r="F43" s="8" t="inlineStr">
        <is>
          <t>TR1(b)</t>
        </is>
      </c>
      <c r="G43" s="8" t="inlineStr">
        <is>
          <t>OPTION 2:  Indicator level reporting</t>
        </is>
      </c>
      <c r="H43" s="52">
        <f>IFERROR(IF(INDEX('Faculties'!$N$10:$N$19,MATCH($F43,'Faculties'!$B$10:$B$19,0))="","Cell will autofill based on response",INDEX('Faculties'!$N$10:$N$19,MATCH($F43,'Faculties'!$B$10:$B$19,0))),"N/A")</f>
        <v/>
      </c>
      <c r="I43" s="52">
        <f>IFERROR(IF(INDEX('Faculties'!$N$26:$N$35,MATCH($F43,'Faculties'!$B$26:$B$35,0))="","Cell will autofill based on response",INDEX('Faculties'!$N$26:$N$35,MATCH($F43,'Faculties'!$B$26:$B$35,0))),"N/A")</f>
        <v/>
      </c>
      <c r="J43" s="52">
        <f>IFERROR(IF(INDEX('Faculties'!$N$42:$N$51,MATCH($F43,'Faculties'!$B$42:$B$51,0))="","Cell will autofill based on response",INDEX('Faculties'!$N$42:$N$51,MATCH($F43,'Faculties'!$B$42:$B$51,0))),"N/A")</f>
        <v/>
      </c>
      <c r="K43" s="52">
        <f>IFERROR(IF(INDEX('Faculties'!$N$58:$N$67,MATCH($F43,'Faculties'!$B$58:$B$67,0))="","Cell will autofill based on response",INDEX('Faculties'!$N$58:$N$67,MATCH($F43,'Faculties'!$B$58:$B$67,0))),"N/A")</f>
        <v/>
      </c>
      <c r="L43" s="52">
        <f>IFERROR(IF(INDEX('CI&amp;S'!$N$10:$N$15,MATCH($F43,'CI&amp;S'!$B$10:$B$15,0))="","Cell will autofill based on response",INDEX('CI&amp;S'!$N$10:$N$15,MATCH($F43,'CI&amp;S'!$B$10:$B$15,0))),"N/A")</f>
        <v/>
      </c>
      <c r="M43" s="52">
        <f>IFERROR(IF(INDEX('CI&amp;S'!$N$22:$N$36,MATCH($F43,'CI&amp;S'!$B$22:$B$36,0))="","Cell will autofill based on response",INDEX('CI&amp;S'!$N$22:$N$36,MATCH($F43,'CI&amp;S'!$B$22:$B$36,0))),"N/A")</f>
        <v/>
      </c>
      <c r="N43" s="52">
        <f>IFERROR(IF(INDEX('CFOG'!$N$10:$N$16,MATCH($F43,'CFOG'!$B$10:$B$16,0))="","Cell will autofill based on response",INDEX('CFOG'!$N$10:$N$16,MATCH($F43,'CFOG'!$B$10:$B$16,0))),"N/A")</f>
        <v/>
      </c>
      <c r="O43" s="52">
        <f>IFERROR(IF(INDEX('CFOG'!$N$23:$N$24,MATCH($F43,'CFOG'!$B$23:$B$24,0))="","Cell will autofill based on response",INDEX('CFOG'!$N$23:$N$24,MATCH($F43,'CFOG'!$B$23:$B$24,0))),"N/A")</f>
        <v/>
      </c>
      <c r="P43" s="52">
        <f>IFERROR(IF(INDEX('ESG'!$N$10:$N$17,MATCH($F43,'ESG'!$B$10:$B$17,0))="","Cell will autofill based on response",INDEX('ESG'!$N$10:$N$17,MATCH($F43,'ESG'!$B$10:$B$17,0))),"N/A")</f>
        <v/>
      </c>
      <c r="Q43" s="52">
        <f>IFERROR(IF(INDEX('CIOG'!$N$10:$N$14,MATCH($F43,'CIOG'!$B$10:$B$14,0))="","Cell will autofill based on response",INDEX('CIOG'!$N$10:$N$14,MATCH($F43,'CIOG'!$B$10:$B$14,0))),"N/A")</f>
        <v/>
      </c>
      <c r="R43" s="52">
        <f>IFERROR(IF(INDEX('MRE'!$N$10:$N$18,MATCH($F43,'MRE'!$B$10:$B$18,0))="","Cell will autofill based on response",INDEX('MRE'!$N$10:$N$18,MATCH($F43,'MRE'!$B$10:$B$18,0))),"N/A")</f>
        <v/>
      </c>
      <c r="S43" s="52">
        <f>IFERROR(IF(INDEX('AC&amp;M'!$N$10:$N$14,MATCH($F43,'AC&amp;M'!$B$10:$B$14,0))="","Cell will autofill based on response",INDEX('AC&amp;M'!$N$10:$N$14,MATCH($F43,'AC&amp;M'!$B$10:$B$14,0))),"N/A")</f>
        <v/>
      </c>
      <c r="T43" s="52">
        <f>IFERROR(IF(INDEX('GCE'!$N$10:$N$12,MATCH($F43,'GCE'!$B$10:$B$12,0))="","Cell will autofill based on response",INDEX('GCE'!$N$10:$N$12,MATCH($F43,'GCE'!$B$10:$B$12,0))),"N/A")</f>
        <v/>
      </c>
      <c r="U43" s="52">
        <f>IFERROR(IF(INDEX('Education'!$N$10:$N$13,MATCH($F43,'Education'!$B$10:$B$13,0))="","Cell will autofill based on response",INDEX('Education'!$N$10:$N$13,MATCH($F43,'Education'!$B$10:$B$13,0))),"N/A")</f>
        <v/>
      </c>
      <c r="V43" s="52">
        <f>IFERROR(IF(INDEX('SaSS'!$N$10:$N$12,MATCH($F43,'SaSS'!$B$10:$B$12,0))="","Cell will autofill based on response",INDEX('SaSS'!$N$10:$N$12,MATCH($F43,'SaSS'!$B$10:$B$12,0))),"N/A")</f>
        <v/>
      </c>
      <c r="W43" s="52">
        <f>IFERROR(IF(INDEX('Indigenous'!$N$10:$N$11,MATCH($F43,'Indigenous'!$B$10:$B$11,0))="","Cell will autofill based on response",INDEX('Indigenous'!$N$10:$N$11,MATCH($F43,'Indigenous'!$B$10:$B$11,0))),"N/A")</f>
        <v/>
      </c>
      <c r="X43" s="52">
        <f>IFERROR(IF(INDEX('L&amp;R'!$N$10:$N$11,MATCH($F43,'L&amp;R'!$B$10:$B$11,0))="","Cell will autofill based on response",INDEX('L&amp;R'!$N$10:$N$11,MATCH($F43,'L&amp;R'!$B$10:$B$11,0))),"N/A")</f>
        <v/>
      </c>
    </row>
    <row r="44">
      <c r="A44">
        <f>F44&amp;"|"&amp;G44</f>
        <v/>
      </c>
      <c r="B44" s="13" t="inlineStr"/>
      <c r="C44" s="8" t="inlineStr"/>
      <c r="D44" s="8" t="inlineStr"/>
      <c r="E44" s="8" t="inlineStr"/>
      <c r="F44" s="8" t="inlineStr">
        <is>
          <t>TR1(b)</t>
        </is>
      </c>
      <c r="G44" s="8" t="inlineStr">
        <is>
          <t>Supporting information/comments</t>
        </is>
      </c>
      <c r="H44" s="52">
        <f>IFERROR(IF(INDEX('Faculties'!$O$10:$O$19,MATCH($F44,'Faculties'!$B$10:$B$19,0))="","Cell will autofill based on response",INDEX('Faculties'!$O$10:$O$19,MATCH($F44,'Faculties'!$B$10:$B$19,0))),"N/A")</f>
        <v/>
      </c>
      <c r="I44" s="52">
        <f>IFERROR(IF(INDEX('Faculties'!$O$26:$O$35,MATCH($F44,'Faculties'!$B$26:$B$35,0))="","Cell will autofill based on response",INDEX('Faculties'!$O$26:$O$35,MATCH($F44,'Faculties'!$B$26:$B$35,0))),"N/A")</f>
        <v/>
      </c>
      <c r="J44" s="52">
        <f>IFERROR(IF(INDEX('Faculties'!$O$42:$O$51,MATCH($F44,'Faculties'!$B$42:$B$51,0))="","Cell will autofill based on response",INDEX('Faculties'!$O$42:$O$51,MATCH($F44,'Faculties'!$B$42:$B$51,0))),"N/A")</f>
        <v/>
      </c>
      <c r="K44" s="52">
        <f>IFERROR(IF(INDEX('Faculties'!$O$58:$O$67,MATCH($F44,'Faculties'!$B$58:$B$67,0))="","Cell will autofill based on response",INDEX('Faculties'!$O$58:$O$67,MATCH($F44,'Faculties'!$B$58:$B$67,0))),"N/A")</f>
        <v/>
      </c>
      <c r="L44" s="52">
        <f>IFERROR(IF(INDEX('CI&amp;S'!$O$10:$O$15,MATCH($F44,'CI&amp;S'!$B$10:$B$15,0))="","Cell will autofill based on response",INDEX('CI&amp;S'!$O$10:$O$15,MATCH($F44,'CI&amp;S'!$B$10:$B$15,0))),"N/A")</f>
        <v/>
      </c>
      <c r="M44" s="52">
        <f>IFERROR(IF(INDEX('CI&amp;S'!$O$22:$O$36,MATCH($F44,'CI&amp;S'!$B$22:$B$36,0))="","Cell will autofill based on response",INDEX('CI&amp;S'!$O$22:$O$36,MATCH($F44,'CI&amp;S'!$B$22:$B$36,0))),"N/A")</f>
        <v/>
      </c>
      <c r="N44" s="52">
        <f>IFERROR(IF(INDEX('CFOG'!$O$10:$O$16,MATCH($F44,'CFOG'!$B$10:$B$16,0))="","Cell will autofill based on response",INDEX('CFOG'!$O$10:$O$16,MATCH($F44,'CFOG'!$B$10:$B$16,0))),"N/A")</f>
        <v/>
      </c>
      <c r="O44" s="52">
        <f>IFERROR(IF(INDEX('CFOG'!$O$23:$O$24,MATCH($F44,'CFOG'!$B$23:$B$24,0))="","Cell will autofill based on response",INDEX('CFOG'!$O$23:$O$24,MATCH($F44,'CFOG'!$B$23:$B$24,0))),"N/A")</f>
        <v/>
      </c>
      <c r="P44" s="52">
        <f>IFERROR(IF(INDEX('ESG'!$O$10:$O$17,MATCH($F44,'ESG'!$B$10:$B$17,0))="","Cell will autofill based on response",INDEX('ESG'!$O$10:$O$17,MATCH($F44,'ESG'!$B$10:$B$17,0))),"N/A")</f>
        <v/>
      </c>
      <c r="Q44" s="52">
        <f>IFERROR(IF(INDEX('CIOG'!$O$10:$O$14,MATCH($F44,'CIOG'!$B$10:$B$14,0))="","Cell will autofill based on response",INDEX('CIOG'!$O$10:$O$14,MATCH($F44,'CIOG'!$B$10:$B$14,0))),"N/A")</f>
        <v/>
      </c>
      <c r="R44" s="52">
        <f>IFERROR(IF(INDEX('MRE'!$O$10:$O$18,MATCH($F44,'MRE'!$B$10:$B$18,0))="","Cell will autofill based on response",INDEX('MRE'!$O$10:$O$18,MATCH($F44,'MRE'!$B$10:$B$18,0))),"N/A")</f>
        <v/>
      </c>
      <c r="S44" s="52">
        <f>IFERROR(IF(INDEX('AC&amp;M'!$O$10:$O$14,MATCH($F44,'AC&amp;M'!$B$10:$B$14,0))="","Cell will autofill based on response",INDEX('AC&amp;M'!$O$10:$O$14,MATCH($F44,'AC&amp;M'!$B$10:$B$14,0))),"N/A")</f>
        <v/>
      </c>
      <c r="T44" s="52">
        <f>IFERROR(IF(INDEX('GCE'!$O$10:$O$12,MATCH($F44,'GCE'!$B$10:$B$12,0))="","Cell will autofill based on response",INDEX('GCE'!$O$10:$O$12,MATCH($F44,'GCE'!$B$10:$B$12,0))),"N/A")</f>
        <v/>
      </c>
      <c r="U44" s="52">
        <f>IFERROR(IF(INDEX('Education'!$O$10:$O$13,MATCH($F44,'Education'!$B$10:$B$13,0))="","Cell will autofill based on response",INDEX('Education'!$O$10:$O$13,MATCH($F44,'Education'!$B$10:$B$13,0))),"N/A")</f>
        <v/>
      </c>
      <c r="V44" s="52">
        <f>IFERROR(IF(INDEX('SaSS'!$O$10:$O$12,MATCH($F44,'SaSS'!$B$10:$B$12,0))="","Cell will autofill based on response",INDEX('SaSS'!$O$10:$O$12,MATCH($F44,'SaSS'!$B$10:$B$12,0))),"N/A")</f>
        <v/>
      </c>
      <c r="W44" s="52">
        <f>IFERROR(IF(INDEX('Indigenous'!$O$10:$O$11,MATCH($F44,'Indigenous'!$B$10:$B$11,0))="","Cell will autofill based on response",INDEX('Indigenous'!$O$10:$O$11,MATCH($F44,'Indigenous'!$B$10:$B$11,0))),"N/A")</f>
        <v/>
      </c>
      <c r="X44" s="52">
        <f>IFERROR(IF(INDEX('L&amp;R'!$O$10:$O$11,MATCH($F44,'L&amp;R'!$B$10:$B$11,0))="","Cell will autofill based on response",INDEX('L&amp;R'!$O$10:$O$11,MATCH($F44,'L&amp;R'!$B$10:$B$11,0))),"N/A")</f>
        <v/>
      </c>
    </row>
    <row r="45">
      <c r="A45">
        <f>F45&amp;"|"&amp;G45</f>
        <v/>
      </c>
      <c r="B45" s="13" t="inlineStr"/>
      <c r="C45" s="8" t="inlineStr"/>
      <c r="D45" s="8" t="inlineStr"/>
      <c r="E45" s="8" t="inlineStr"/>
      <c r="F45" s="8" t="inlineStr">
        <is>
          <t>TR1(b)</t>
        </is>
      </c>
      <c r="G45" s="8" t="inlineStr">
        <is>
          <t>Data source and limitations</t>
        </is>
      </c>
      <c r="H45" s="52">
        <f>IFERROR(IF(INDEX('Faculties'!$P$10:$P$19,MATCH($F45,'Faculties'!$B$10:$B$19,0))="","Cell will autofill based on response",INDEX('Faculties'!$P$10:$P$19,MATCH($F45,'Faculties'!$B$10:$B$19,0))),"N/A")</f>
        <v/>
      </c>
      <c r="I45" s="52">
        <f>IFERROR(IF(INDEX('Faculties'!$P$26:$P$35,MATCH($F45,'Faculties'!$B$26:$B$35,0))="","Cell will autofill based on response",INDEX('Faculties'!$P$26:$P$35,MATCH($F45,'Faculties'!$B$26:$B$35,0))),"N/A")</f>
        <v/>
      </c>
      <c r="J45" s="52">
        <f>IFERROR(IF(INDEX('Faculties'!$P$42:$P$51,MATCH($F45,'Faculties'!$B$42:$B$51,0))="","Cell will autofill based on response",INDEX('Faculties'!$P$42:$P$51,MATCH($F45,'Faculties'!$B$42:$B$51,0))),"N/A")</f>
        <v/>
      </c>
      <c r="K45" s="52">
        <f>IFERROR(IF(INDEX('Faculties'!$P$58:$P$67,MATCH($F45,'Faculties'!$B$58:$B$67,0))="","Cell will autofill based on response",INDEX('Faculties'!$P$58:$P$67,MATCH($F45,'Faculties'!$B$58:$B$67,0))),"N/A")</f>
        <v/>
      </c>
      <c r="L45" s="52">
        <f>IFERROR(IF(INDEX('CI&amp;S'!$P$10:$P$15,MATCH($F45,'CI&amp;S'!$B$10:$B$15,0))="","Cell will autofill based on response",INDEX('CI&amp;S'!$P$10:$P$15,MATCH($F45,'CI&amp;S'!$B$10:$B$15,0))),"N/A")</f>
        <v/>
      </c>
      <c r="M45" s="52">
        <f>IFERROR(IF(INDEX('CI&amp;S'!$P$22:$P$36,MATCH($F45,'CI&amp;S'!$B$22:$B$36,0))="","Cell will autofill based on response",INDEX('CI&amp;S'!$P$22:$P$36,MATCH($F45,'CI&amp;S'!$B$22:$B$36,0))),"N/A")</f>
        <v/>
      </c>
      <c r="N45" s="52">
        <f>IFERROR(IF(INDEX('CFOG'!$P$10:$P$16,MATCH($F45,'CFOG'!$B$10:$B$16,0))="","Cell will autofill based on response",INDEX('CFOG'!$P$10:$P$16,MATCH($F45,'CFOG'!$B$10:$B$16,0))),"N/A")</f>
        <v/>
      </c>
      <c r="O45" s="52">
        <f>IFERROR(IF(INDEX('CFOG'!$P$23:$P$24,MATCH($F45,'CFOG'!$B$23:$B$24,0))="","Cell will autofill based on response",INDEX('CFOG'!$P$23:$P$24,MATCH($F45,'CFOG'!$B$23:$B$24,0))),"N/A")</f>
        <v/>
      </c>
      <c r="P45" s="52">
        <f>IFERROR(IF(INDEX('ESG'!$P$10:$P$17,MATCH($F45,'ESG'!$B$10:$B$17,0))="","Cell will autofill based on response",INDEX('ESG'!$P$10:$P$17,MATCH($F45,'ESG'!$B$10:$B$17,0))),"N/A")</f>
        <v/>
      </c>
      <c r="Q45" s="52">
        <f>IFERROR(IF(INDEX('CIOG'!$P$10:$P$14,MATCH($F45,'CIOG'!$B$10:$B$14,0))="","Cell will autofill based on response",INDEX('CIOG'!$P$10:$P$14,MATCH($F45,'CIOG'!$B$10:$B$14,0))),"N/A")</f>
        <v/>
      </c>
      <c r="R45" s="52">
        <f>IFERROR(IF(INDEX('MRE'!$P$10:$P$18,MATCH($F45,'MRE'!$B$10:$B$18,0))="","Cell will autofill based on response",INDEX('MRE'!$P$10:$P$18,MATCH($F45,'MRE'!$B$10:$B$18,0))),"N/A")</f>
        <v/>
      </c>
      <c r="S45" s="52">
        <f>IFERROR(IF(INDEX('AC&amp;M'!$P$10:$P$14,MATCH($F45,'AC&amp;M'!$B$10:$B$14,0))="","Cell will autofill based on response",INDEX('AC&amp;M'!$P$10:$P$14,MATCH($F45,'AC&amp;M'!$B$10:$B$14,0))),"N/A")</f>
        <v/>
      </c>
      <c r="T45" s="52">
        <f>IFERROR(IF(INDEX('GCE'!$P$10:$P$12,MATCH($F45,'GCE'!$B$10:$B$12,0))="","Cell will autofill based on response",INDEX('GCE'!$P$10:$P$12,MATCH($F45,'GCE'!$B$10:$B$12,0))),"N/A")</f>
        <v/>
      </c>
      <c r="U45" s="52">
        <f>IFERROR(IF(INDEX('Education'!$P$10:$P$13,MATCH($F45,'Education'!$B$10:$B$13,0))="","Cell will autofill based on response",INDEX('Education'!$P$10:$P$13,MATCH($F45,'Education'!$B$10:$B$13,0))),"N/A")</f>
        <v/>
      </c>
      <c r="V45" s="52">
        <f>IFERROR(IF(INDEX('SaSS'!$P$10:$P$12,MATCH($F45,'SaSS'!$B$10:$B$12,0))="","Cell will autofill based on response",INDEX('SaSS'!$P$10:$P$12,MATCH($F45,'SaSS'!$B$10:$B$12,0))),"N/A")</f>
        <v/>
      </c>
      <c r="W45" s="52">
        <f>IFERROR(IF(INDEX('Indigenous'!$P$10:$P$11,MATCH($F45,'Indigenous'!$B$10:$B$11,0))="","Cell will autofill based on response",INDEX('Indigenous'!$P$10:$P$11,MATCH($F45,'Indigenous'!$B$10:$B$11,0))),"N/A")</f>
        <v/>
      </c>
      <c r="X45" s="52">
        <f>IFERROR(IF(INDEX('L&amp;R'!$P$10:$P$11,MATCH($F45,'L&amp;R'!$B$10:$B$11,0))="","Cell will autofill based on response",INDEX('L&amp;R'!$P$10:$P$11,MATCH($F45,'L&amp;R'!$B$10:$B$11,0))),"N/A")</f>
        <v/>
      </c>
    </row>
    <row r="46">
      <c r="A46">
        <f>F46&amp;"|"&amp;G46</f>
        <v/>
      </c>
      <c r="B46" s="13" t="inlineStr"/>
      <c r="C46" s="8" t="inlineStr"/>
      <c r="D46" s="8" t="inlineStr"/>
      <c r="E46" s="8" t="inlineStr"/>
      <c r="F46" s="8" t="inlineStr">
        <is>
          <t>TR1(b)</t>
        </is>
      </c>
      <c r="G46" s="8" t="inlineStr">
        <is>
          <t>Data owner confirms</t>
        </is>
      </c>
      <c r="H46" s="52">
        <f>IFERROR(IF(INDEX('Faculties'!$Q$10:$Q$19,MATCH($F46,'Faculties'!$B$10:$B$19,0))="","Cell will autofill based on response",INDEX('Faculties'!$Q$10:$Q$19,MATCH($F46,'Faculties'!$B$10:$B$19,0))),"N/A")</f>
        <v/>
      </c>
      <c r="I46" s="52">
        <f>IFERROR(IF(INDEX('Faculties'!$Q$26:$Q$35,MATCH($F46,'Faculties'!$B$26:$B$35,0))="","Cell will autofill based on response",INDEX('Faculties'!$Q$26:$Q$35,MATCH($F46,'Faculties'!$B$26:$B$35,0))),"N/A")</f>
        <v/>
      </c>
      <c r="J46" s="52">
        <f>IFERROR(IF(INDEX('Faculties'!$Q$42:$Q$51,MATCH($F46,'Faculties'!$B$42:$B$51,0))="","Cell will autofill based on response",INDEX('Faculties'!$Q$42:$Q$51,MATCH($F46,'Faculties'!$B$42:$B$51,0))),"N/A")</f>
        <v/>
      </c>
      <c r="K46" s="52">
        <f>IFERROR(IF(INDEX('Faculties'!$Q$58:$Q$67,MATCH($F46,'Faculties'!$B$58:$B$67,0))="","Cell will autofill based on response",INDEX('Faculties'!$Q$58:$Q$67,MATCH($F46,'Faculties'!$B$58:$B$67,0))),"N/A")</f>
        <v/>
      </c>
      <c r="L46" s="52">
        <f>IFERROR(IF(INDEX('CI&amp;S'!$Q$10:$Q$15,MATCH($F46,'CI&amp;S'!$B$10:$B$15,0))="","Cell will autofill based on response",INDEX('CI&amp;S'!$Q$10:$Q$15,MATCH($F46,'CI&amp;S'!$B$10:$B$15,0))),"N/A")</f>
        <v/>
      </c>
      <c r="M46" s="52">
        <f>IFERROR(IF(INDEX('CI&amp;S'!$Q$22:$Q$36,MATCH($F46,'CI&amp;S'!$B$22:$B$36,0))="","Cell will autofill based on response",INDEX('CI&amp;S'!$Q$22:$Q$36,MATCH($F46,'CI&amp;S'!$B$22:$B$36,0))),"N/A")</f>
        <v/>
      </c>
      <c r="N46" s="52">
        <f>IFERROR(IF(INDEX('CFOG'!$Q$10:$Q$16,MATCH($F46,'CFOG'!$B$10:$B$16,0))="","Cell will autofill based on response",INDEX('CFOG'!$Q$10:$Q$16,MATCH($F46,'CFOG'!$B$10:$B$16,0))),"N/A")</f>
        <v/>
      </c>
      <c r="O46" s="52">
        <f>IFERROR(IF(INDEX('CFOG'!$Q$23:$Q$24,MATCH($F46,'CFOG'!$B$23:$B$24,0))="","Cell will autofill based on response",INDEX('CFOG'!$Q$23:$Q$24,MATCH($F46,'CFOG'!$B$23:$B$24,0))),"N/A")</f>
        <v/>
      </c>
      <c r="P46" s="52">
        <f>IFERROR(IF(INDEX('ESG'!$Q$10:$Q$17,MATCH($F46,'ESG'!$B$10:$B$17,0))="","Cell will autofill based on response",INDEX('ESG'!$Q$10:$Q$17,MATCH($F46,'ESG'!$B$10:$B$17,0))),"N/A")</f>
        <v/>
      </c>
      <c r="Q46" s="52">
        <f>IFERROR(IF(INDEX('CIOG'!$Q$10:$Q$14,MATCH($F46,'CIOG'!$B$10:$B$14,0))="","Cell will autofill based on response",INDEX('CIOG'!$Q$10:$Q$14,MATCH($F46,'CIOG'!$B$10:$B$14,0))),"N/A")</f>
        <v/>
      </c>
      <c r="R46" s="52">
        <f>IFERROR(IF(INDEX('MRE'!$Q$10:$Q$18,MATCH($F46,'MRE'!$B$10:$B$18,0))="","Cell will autofill based on response",INDEX('MRE'!$Q$10:$Q$18,MATCH($F46,'MRE'!$B$10:$B$18,0))),"N/A")</f>
        <v/>
      </c>
      <c r="S46" s="52">
        <f>IFERROR(IF(INDEX('AC&amp;M'!$Q$10:$Q$14,MATCH($F46,'AC&amp;M'!$B$10:$B$14,0))="","Cell will autofill based on response",INDEX('AC&amp;M'!$Q$10:$Q$14,MATCH($F46,'AC&amp;M'!$B$10:$B$14,0))),"N/A")</f>
        <v/>
      </c>
      <c r="T46" s="52">
        <f>IFERROR(IF(INDEX('GCE'!$Q$10:$Q$12,MATCH($F46,'GCE'!$B$10:$B$12,0))="","Cell will autofill based on response",INDEX('GCE'!$Q$10:$Q$12,MATCH($F46,'GCE'!$B$10:$B$12,0))),"N/A")</f>
        <v/>
      </c>
      <c r="U46" s="52">
        <f>IFERROR(IF(INDEX('Education'!$Q$10:$Q$13,MATCH($F46,'Education'!$B$10:$B$13,0))="","Cell will autofill based on response",INDEX('Education'!$Q$10:$Q$13,MATCH($F46,'Education'!$B$10:$B$13,0))),"N/A")</f>
        <v/>
      </c>
      <c r="V46" s="52">
        <f>IFERROR(IF(INDEX('SaSS'!$Q$10:$Q$12,MATCH($F46,'SaSS'!$B$10:$B$12,0))="","Cell will autofill based on response",INDEX('SaSS'!$Q$10:$Q$12,MATCH($F46,'SaSS'!$B$10:$B$12,0))),"N/A")</f>
        <v/>
      </c>
      <c r="W46" s="52">
        <f>IFERROR(IF(INDEX('Indigenous'!$Q$10:$Q$11,MATCH($F46,'Indigenous'!$B$10:$B$11,0))="","Cell will autofill based on response",INDEX('Indigenous'!$Q$10:$Q$11,MATCH($F46,'Indigenous'!$B$10:$B$11,0))),"N/A")</f>
        <v/>
      </c>
      <c r="X46" s="52">
        <f>IFERROR(IF(INDEX('L&amp;R'!$Q$10:$Q$11,MATCH($F46,'L&amp;R'!$B$10:$B$11,0))="","Cell will autofill based on response",INDEX('L&amp;R'!$Q$10:$Q$11,MATCH($F46,'L&amp;R'!$B$10:$B$11,0))),"N/A")</f>
        <v/>
      </c>
    </row>
    <row r="47">
      <c r="A47">
        <f>F47&amp;"|"&amp;G47</f>
        <v/>
      </c>
      <c r="B47" s="7" t="inlineStr">
        <is>
          <t>TR1(c)</t>
        </is>
      </c>
      <c r="C47" s="50" t="inlineStr">
        <is>
          <t>Transformational research</t>
        </is>
      </c>
      <c r="D47" s="50" t="inlineStr">
        <is>
          <t>Expert assessment of the quality, relevance and continuity of these collaborations</t>
        </is>
      </c>
      <c r="E47" s="50"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7" s="50" t="inlineStr">
        <is>
          <t>TR1(c)</t>
        </is>
      </c>
      <c r="G47" s="50" t="inlineStr">
        <is>
          <t>Confirm end-2026 target status</t>
        </is>
      </c>
      <c r="H47" s="52">
        <f>IFERROR(IF(INDEX('Faculties'!$L$10:$L$19,MATCH($F47,'Faculties'!$B$10:$B$19,0))="","Cell will autofill based on response",INDEX('Faculties'!$L$10:$L$19,MATCH($F47,'Faculties'!$B$10:$B$19,0))),"N/A")</f>
        <v/>
      </c>
      <c r="I47" s="52">
        <f>IFERROR(IF(INDEX('Faculties'!$L$26:$L$35,MATCH($F47,'Faculties'!$B$26:$B$35,0))="","Cell will autofill based on response",INDEX('Faculties'!$L$26:$L$35,MATCH($F47,'Faculties'!$B$26:$B$35,0))),"N/A")</f>
        <v/>
      </c>
      <c r="J47" s="52">
        <f>IFERROR(IF(INDEX('Faculties'!$L$42:$L$51,MATCH($F47,'Faculties'!$B$42:$B$51,0))="","Cell will autofill based on response",INDEX('Faculties'!$L$42:$L$51,MATCH($F47,'Faculties'!$B$42:$B$51,0))),"N/A")</f>
        <v/>
      </c>
      <c r="K47" s="52">
        <f>IFERROR(IF(INDEX('Faculties'!$L$58:$L$67,MATCH($F47,'Faculties'!$B$58:$B$67,0))="","Cell will autofill based on response",INDEX('Faculties'!$L$58:$L$67,MATCH($F47,'Faculties'!$B$58:$B$67,0))),"N/A")</f>
        <v/>
      </c>
      <c r="L47" s="52">
        <f>IFERROR(IF(INDEX('CI&amp;S'!$L$10:$L$15,MATCH($F47,'CI&amp;S'!$B$10:$B$15,0))="","Cell will autofill based on response",INDEX('CI&amp;S'!$L$10:$L$15,MATCH($F47,'CI&amp;S'!$B$10:$B$15,0))),"N/A")</f>
        <v/>
      </c>
      <c r="M47" s="52">
        <f>IFERROR(IF(INDEX('CI&amp;S'!$L$22:$L$36,MATCH($F47,'CI&amp;S'!$B$22:$B$36,0))="","Cell will autofill based on response",INDEX('CI&amp;S'!$L$22:$L$36,MATCH($F47,'CI&amp;S'!$B$22:$B$36,0))),"N/A")</f>
        <v/>
      </c>
      <c r="N47" s="52">
        <f>IFERROR(IF(INDEX('CFOG'!$L$10:$L$16,MATCH($F47,'CFOG'!$B$10:$B$16,0))="","Cell will autofill based on response",INDEX('CFOG'!$L$10:$L$16,MATCH($F47,'CFOG'!$B$10:$B$16,0))),"N/A")</f>
        <v/>
      </c>
      <c r="O47" s="52">
        <f>IFERROR(IF(INDEX('CFOG'!$L$23:$L$24,MATCH($F47,'CFOG'!$B$23:$B$24,0))="","Cell will autofill based on response",INDEX('CFOG'!$L$23:$L$24,MATCH($F47,'CFOG'!$B$23:$B$24,0))),"N/A")</f>
        <v/>
      </c>
      <c r="P47" s="52">
        <f>IFERROR(IF(INDEX('ESG'!$L$10:$L$17,MATCH($F47,'ESG'!$B$10:$B$17,0))="","Cell will autofill based on response",INDEX('ESG'!$L$10:$L$17,MATCH($F47,'ESG'!$B$10:$B$17,0))),"N/A")</f>
        <v/>
      </c>
      <c r="Q47" s="52">
        <f>IFERROR(IF(INDEX('CIOG'!$L$10:$L$14,MATCH($F47,'CIOG'!$B$10:$B$14,0))="","Cell will autofill based on response",INDEX('CIOG'!$L$10:$L$14,MATCH($F47,'CIOG'!$B$10:$B$14,0))),"N/A")</f>
        <v/>
      </c>
      <c r="R47" s="52">
        <f>IFERROR(IF(INDEX('MRE'!$L$10:$L$18,MATCH($F47,'MRE'!$B$10:$B$18,0))="","Cell will autofill based on response",INDEX('MRE'!$L$10:$L$18,MATCH($F47,'MRE'!$B$10:$B$18,0))),"N/A")</f>
        <v/>
      </c>
      <c r="S47" s="52">
        <f>IFERROR(IF(INDEX('AC&amp;M'!$L$10:$L$14,MATCH($F47,'AC&amp;M'!$B$10:$B$14,0))="","Cell will autofill based on response",INDEX('AC&amp;M'!$L$10:$L$14,MATCH($F47,'AC&amp;M'!$B$10:$B$14,0))),"N/A")</f>
        <v/>
      </c>
      <c r="T47" s="52">
        <f>IFERROR(IF(INDEX('GCE'!$L$10:$L$12,MATCH($F47,'GCE'!$B$10:$B$12,0))="","Cell will autofill based on response",INDEX('GCE'!$L$10:$L$12,MATCH($F47,'GCE'!$B$10:$B$12,0))),"N/A")</f>
        <v/>
      </c>
      <c r="U47" s="52">
        <f>IFERROR(IF(INDEX('Education'!$L$10:$L$13,MATCH($F47,'Education'!$B$10:$B$13,0))="","Cell will autofill based on response",INDEX('Education'!$L$10:$L$13,MATCH($F47,'Education'!$B$10:$B$13,0))),"N/A")</f>
        <v/>
      </c>
      <c r="V47" s="52">
        <f>IFERROR(IF(INDEX('SaSS'!$L$10:$L$12,MATCH($F47,'SaSS'!$B$10:$B$12,0))="","Cell will autofill based on response",INDEX('SaSS'!$L$10:$L$12,MATCH($F47,'SaSS'!$B$10:$B$12,0))),"N/A")</f>
        <v/>
      </c>
      <c r="W47" s="52">
        <f>IFERROR(IF(INDEX('Indigenous'!$L$10:$L$11,MATCH($F47,'Indigenous'!$B$10:$B$11,0))="","Cell will autofill based on response",INDEX('Indigenous'!$L$10:$L$11,MATCH($F47,'Indigenous'!$B$10:$B$11,0))),"N/A")</f>
        <v/>
      </c>
      <c r="X47" s="52">
        <f>IFERROR(IF(INDEX('L&amp;R'!$L$10:$L$11,MATCH($F47,'L&amp;R'!$B$10:$B$11,0))="","Cell will autofill based on response",INDEX('L&amp;R'!$L$10:$L$11,MATCH($F47,'L&amp;R'!$B$10:$B$11,0))),"N/A")</f>
        <v/>
      </c>
      <c r="Z47" s="10">
        <f>COUNTIF($H47:$X47,"Cell will autofill based on response")</f>
        <v/>
      </c>
      <c r="AA47" s="10">
        <f>COUNTIF($H47:$X47,"Not yet started")</f>
        <v/>
      </c>
      <c r="AB47" s="10">
        <f>COUNTIF($H47:$X47,"Not met")</f>
        <v/>
      </c>
      <c r="AC47" s="10">
        <f>COUNTIF($H47:$X47,"Partially met")</f>
        <v/>
      </c>
      <c r="AD47" s="10">
        <f>COUNTIF($H47:$X47,"Met or exceeded")</f>
        <v/>
      </c>
      <c r="AE47" s="10">
        <f>3*AD47+2*AC47+AB47</f>
        <v/>
      </c>
      <c r="AF47" s="10">
        <f>AD47+AC47+AB47+AA47</f>
        <v/>
      </c>
      <c r="AG47" s="53">
        <f>IF(AF47&gt;0,AE47/AF47,"No valid responses to date")</f>
        <v/>
      </c>
      <c r="AH47" s="10">
        <f>IF(ISNUMBER(AG47),INDEX(Lists!$G$2:$G$5,MATCH(ROUND(AG47,0),Lists!$H$2:$H$5,0)),"")</f>
        <v/>
      </c>
      <c r="AI47" s="54">
        <f>IF(AF47&gt;0,AD47/AF47,"")</f>
        <v/>
      </c>
      <c r="AJ47" s="54">
        <f>IF(AF47&gt;0,(AD47+AC47)/AF47,"")</f>
        <v/>
      </c>
      <c r="AK47" s="10">
        <f>IF(AF47=0,"",IF(AI47&gt;0.75,"Met or exceeded",IF(AJ47&gt;=0.5,"Partially met","Not met")))</f>
        <v/>
      </c>
    </row>
    <row r="48">
      <c r="A48">
        <f>F48&amp;"|"&amp;G48</f>
        <v/>
      </c>
      <c r="B48" s="13" t="inlineStr"/>
      <c r="C48" s="8" t="inlineStr"/>
      <c r="D48" s="8" t="inlineStr"/>
      <c r="E48" s="8" t="inlineStr"/>
      <c r="F48" s="8" t="inlineStr">
        <is>
          <t>TR1(c)</t>
        </is>
      </c>
      <c r="G48" s="8" t="inlineStr">
        <is>
          <t>OPTION 1:  Target-level reporting</t>
        </is>
      </c>
      <c r="H48" s="52">
        <f>IFERROR(IF(INDEX('Faculties'!$M$10:$M$19,MATCH($F48,'Faculties'!$B$10:$B$19,0))="","Cell will autofill based on response",INDEX('Faculties'!$M$10:$M$19,MATCH($F48,'Faculties'!$B$10:$B$19,0))),"N/A")</f>
        <v/>
      </c>
      <c r="I48" s="52">
        <f>IFERROR(IF(INDEX('Faculties'!$M$26:$M$35,MATCH($F48,'Faculties'!$B$26:$B$35,0))="","Cell will autofill based on response",INDEX('Faculties'!$M$26:$M$35,MATCH($F48,'Faculties'!$B$26:$B$35,0))),"N/A")</f>
        <v/>
      </c>
      <c r="J48" s="52">
        <f>IFERROR(IF(INDEX('Faculties'!$M$42:$M$51,MATCH($F48,'Faculties'!$B$42:$B$51,0))="","Cell will autofill based on response",INDEX('Faculties'!$M$42:$M$51,MATCH($F48,'Faculties'!$B$42:$B$51,0))),"N/A")</f>
        <v/>
      </c>
      <c r="K48" s="52">
        <f>IFERROR(IF(INDEX('Faculties'!$M$58:$M$67,MATCH($F48,'Faculties'!$B$58:$B$67,0))="","Cell will autofill based on response",INDEX('Faculties'!$M$58:$M$67,MATCH($F48,'Faculties'!$B$58:$B$67,0))),"N/A")</f>
        <v/>
      </c>
      <c r="L48" s="52">
        <f>IFERROR(IF(INDEX('CI&amp;S'!$M$10:$M$15,MATCH($F48,'CI&amp;S'!$B$10:$B$15,0))="","Cell will autofill based on response",INDEX('CI&amp;S'!$M$10:$M$15,MATCH($F48,'CI&amp;S'!$B$10:$B$15,0))),"N/A")</f>
        <v/>
      </c>
      <c r="M48" s="52">
        <f>IFERROR(IF(INDEX('CI&amp;S'!$M$22:$M$36,MATCH($F48,'CI&amp;S'!$B$22:$B$36,0))="","Cell will autofill based on response",INDEX('CI&amp;S'!$M$22:$M$36,MATCH($F48,'CI&amp;S'!$B$22:$B$36,0))),"N/A")</f>
        <v/>
      </c>
      <c r="N48" s="52">
        <f>IFERROR(IF(INDEX('CFOG'!$M$10:$M$16,MATCH($F48,'CFOG'!$B$10:$B$16,0))="","Cell will autofill based on response",INDEX('CFOG'!$M$10:$M$16,MATCH($F48,'CFOG'!$B$10:$B$16,0))),"N/A")</f>
        <v/>
      </c>
      <c r="O48" s="52">
        <f>IFERROR(IF(INDEX('CFOG'!$M$23:$M$24,MATCH($F48,'CFOG'!$B$23:$B$24,0))="","Cell will autofill based on response",INDEX('CFOG'!$M$23:$M$24,MATCH($F48,'CFOG'!$B$23:$B$24,0))),"N/A")</f>
        <v/>
      </c>
      <c r="P48" s="52">
        <f>IFERROR(IF(INDEX('ESG'!$M$10:$M$17,MATCH($F48,'ESG'!$B$10:$B$17,0))="","Cell will autofill based on response",INDEX('ESG'!$M$10:$M$17,MATCH($F48,'ESG'!$B$10:$B$17,0))),"N/A")</f>
        <v/>
      </c>
      <c r="Q48" s="52">
        <f>IFERROR(IF(INDEX('CIOG'!$M$10:$M$14,MATCH($F48,'CIOG'!$B$10:$B$14,0))="","Cell will autofill based on response",INDEX('CIOG'!$M$10:$M$14,MATCH($F48,'CIOG'!$B$10:$B$14,0))),"N/A")</f>
        <v/>
      </c>
      <c r="R48" s="52">
        <f>IFERROR(IF(INDEX('MRE'!$M$10:$M$18,MATCH($F48,'MRE'!$B$10:$B$18,0))="","Cell will autofill based on response",INDEX('MRE'!$M$10:$M$18,MATCH($F48,'MRE'!$B$10:$B$18,0))),"N/A")</f>
        <v/>
      </c>
      <c r="S48" s="52">
        <f>IFERROR(IF(INDEX('AC&amp;M'!$M$10:$M$14,MATCH($F48,'AC&amp;M'!$B$10:$B$14,0))="","Cell will autofill based on response",INDEX('AC&amp;M'!$M$10:$M$14,MATCH($F48,'AC&amp;M'!$B$10:$B$14,0))),"N/A")</f>
        <v/>
      </c>
      <c r="T48" s="52">
        <f>IFERROR(IF(INDEX('GCE'!$M$10:$M$12,MATCH($F48,'GCE'!$B$10:$B$12,0))="","Cell will autofill based on response",INDEX('GCE'!$M$10:$M$12,MATCH($F48,'GCE'!$B$10:$B$12,0))),"N/A")</f>
        <v/>
      </c>
      <c r="U48" s="52">
        <f>IFERROR(IF(INDEX('Education'!$M$10:$M$13,MATCH($F48,'Education'!$B$10:$B$13,0))="","Cell will autofill based on response",INDEX('Education'!$M$10:$M$13,MATCH($F48,'Education'!$B$10:$B$13,0))),"N/A")</f>
        <v/>
      </c>
      <c r="V48" s="52">
        <f>IFERROR(IF(INDEX('SaSS'!$M$10:$M$12,MATCH($F48,'SaSS'!$B$10:$B$12,0))="","Cell will autofill based on response",INDEX('SaSS'!$M$10:$M$12,MATCH($F48,'SaSS'!$B$10:$B$12,0))),"N/A")</f>
        <v/>
      </c>
      <c r="W48" s="52">
        <f>IFERROR(IF(INDEX('Indigenous'!$M$10:$M$11,MATCH($F48,'Indigenous'!$B$10:$B$11,0))="","Cell will autofill based on response",INDEX('Indigenous'!$M$10:$M$11,MATCH($F48,'Indigenous'!$B$10:$B$11,0))),"N/A")</f>
        <v/>
      </c>
      <c r="X48" s="52">
        <f>IFERROR(IF(INDEX('L&amp;R'!$M$10:$M$11,MATCH($F48,'L&amp;R'!$B$10:$B$11,0))="","Cell will autofill based on response",INDEX('L&amp;R'!$M$10:$M$11,MATCH($F48,'L&amp;R'!$B$10:$B$11,0))),"N/A")</f>
        <v/>
      </c>
    </row>
    <row r="49">
      <c r="A49">
        <f>F49&amp;"|"&amp;G49</f>
        <v/>
      </c>
      <c r="B49" s="13" t="inlineStr"/>
      <c r="C49" s="8" t="inlineStr"/>
      <c r="D49" s="8" t="inlineStr"/>
      <c r="E49" s="8" t="inlineStr"/>
      <c r="F49" s="8" t="inlineStr">
        <is>
          <t>TR1(c)</t>
        </is>
      </c>
      <c r="G49" s="8" t="inlineStr">
        <is>
          <t>OPTION 2:  Indicator level reporting</t>
        </is>
      </c>
      <c r="H49" s="52">
        <f>IFERROR(IF(INDEX('Faculties'!$N$10:$N$19,MATCH($F49,'Faculties'!$B$10:$B$19,0))="","Cell will autofill based on response",INDEX('Faculties'!$N$10:$N$19,MATCH($F49,'Faculties'!$B$10:$B$19,0))),"N/A")</f>
        <v/>
      </c>
      <c r="I49" s="52">
        <f>IFERROR(IF(INDEX('Faculties'!$N$26:$N$35,MATCH($F49,'Faculties'!$B$26:$B$35,0))="","Cell will autofill based on response",INDEX('Faculties'!$N$26:$N$35,MATCH($F49,'Faculties'!$B$26:$B$35,0))),"N/A")</f>
        <v/>
      </c>
      <c r="J49" s="52">
        <f>IFERROR(IF(INDEX('Faculties'!$N$42:$N$51,MATCH($F49,'Faculties'!$B$42:$B$51,0))="","Cell will autofill based on response",INDEX('Faculties'!$N$42:$N$51,MATCH($F49,'Faculties'!$B$42:$B$51,0))),"N/A")</f>
        <v/>
      </c>
      <c r="K49" s="52">
        <f>IFERROR(IF(INDEX('Faculties'!$N$58:$N$67,MATCH($F49,'Faculties'!$B$58:$B$67,0))="","Cell will autofill based on response",INDEX('Faculties'!$N$58:$N$67,MATCH($F49,'Faculties'!$B$58:$B$67,0))),"N/A")</f>
        <v/>
      </c>
      <c r="L49" s="52">
        <f>IFERROR(IF(INDEX('CI&amp;S'!$N$10:$N$15,MATCH($F49,'CI&amp;S'!$B$10:$B$15,0))="","Cell will autofill based on response",INDEX('CI&amp;S'!$N$10:$N$15,MATCH($F49,'CI&amp;S'!$B$10:$B$15,0))),"N/A")</f>
        <v/>
      </c>
      <c r="M49" s="52">
        <f>IFERROR(IF(INDEX('CI&amp;S'!$N$22:$N$36,MATCH($F49,'CI&amp;S'!$B$22:$B$36,0))="","Cell will autofill based on response",INDEX('CI&amp;S'!$N$22:$N$36,MATCH($F49,'CI&amp;S'!$B$22:$B$36,0))),"N/A")</f>
        <v/>
      </c>
      <c r="N49" s="52">
        <f>IFERROR(IF(INDEX('CFOG'!$N$10:$N$16,MATCH($F49,'CFOG'!$B$10:$B$16,0))="","Cell will autofill based on response",INDEX('CFOG'!$N$10:$N$16,MATCH($F49,'CFOG'!$B$10:$B$16,0))),"N/A")</f>
        <v/>
      </c>
      <c r="O49" s="52">
        <f>IFERROR(IF(INDEX('CFOG'!$N$23:$N$24,MATCH($F49,'CFOG'!$B$23:$B$24,0))="","Cell will autofill based on response",INDEX('CFOG'!$N$23:$N$24,MATCH($F49,'CFOG'!$B$23:$B$24,0))),"N/A")</f>
        <v/>
      </c>
      <c r="P49" s="52">
        <f>IFERROR(IF(INDEX('ESG'!$N$10:$N$17,MATCH($F49,'ESG'!$B$10:$B$17,0))="","Cell will autofill based on response",INDEX('ESG'!$N$10:$N$17,MATCH($F49,'ESG'!$B$10:$B$17,0))),"N/A")</f>
        <v/>
      </c>
      <c r="Q49" s="52">
        <f>IFERROR(IF(INDEX('CIOG'!$N$10:$N$14,MATCH($F49,'CIOG'!$B$10:$B$14,0))="","Cell will autofill based on response",INDEX('CIOG'!$N$10:$N$14,MATCH($F49,'CIOG'!$B$10:$B$14,0))),"N/A")</f>
        <v/>
      </c>
      <c r="R49" s="52">
        <f>IFERROR(IF(INDEX('MRE'!$N$10:$N$18,MATCH($F49,'MRE'!$B$10:$B$18,0))="","Cell will autofill based on response",INDEX('MRE'!$N$10:$N$18,MATCH($F49,'MRE'!$B$10:$B$18,0))),"N/A")</f>
        <v/>
      </c>
      <c r="S49" s="52">
        <f>IFERROR(IF(INDEX('AC&amp;M'!$N$10:$N$14,MATCH($F49,'AC&amp;M'!$B$10:$B$14,0))="","Cell will autofill based on response",INDEX('AC&amp;M'!$N$10:$N$14,MATCH($F49,'AC&amp;M'!$B$10:$B$14,0))),"N/A")</f>
        <v/>
      </c>
      <c r="T49" s="52">
        <f>IFERROR(IF(INDEX('GCE'!$N$10:$N$12,MATCH($F49,'GCE'!$B$10:$B$12,0))="","Cell will autofill based on response",INDEX('GCE'!$N$10:$N$12,MATCH($F49,'GCE'!$B$10:$B$12,0))),"N/A")</f>
        <v/>
      </c>
      <c r="U49" s="52">
        <f>IFERROR(IF(INDEX('Education'!$N$10:$N$13,MATCH($F49,'Education'!$B$10:$B$13,0))="","Cell will autofill based on response",INDEX('Education'!$N$10:$N$13,MATCH($F49,'Education'!$B$10:$B$13,0))),"N/A")</f>
        <v/>
      </c>
      <c r="V49" s="52">
        <f>IFERROR(IF(INDEX('SaSS'!$N$10:$N$12,MATCH($F49,'SaSS'!$B$10:$B$12,0))="","Cell will autofill based on response",INDEX('SaSS'!$N$10:$N$12,MATCH($F49,'SaSS'!$B$10:$B$12,0))),"N/A")</f>
        <v/>
      </c>
      <c r="W49" s="52">
        <f>IFERROR(IF(INDEX('Indigenous'!$N$10:$N$11,MATCH($F49,'Indigenous'!$B$10:$B$11,0))="","Cell will autofill based on response",INDEX('Indigenous'!$N$10:$N$11,MATCH($F49,'Indigenous'!$B$10:$B$11,0))),"N/A")</f>
        <v/>
      </c>
      <c r="X49" s="52">
        <f>IFERROR(IF(INDEX('L&amp;R'!$N$10:$N$11,MATCH($F49,'L&amp;R'!$B$10:$B$11,0))="","Cell will autofill based on response",INDEX('L&amp;R'!$N$10:$N$11,MATCH($F49,'L&amp;R'!$B$10:$B$11,0))),"N/A")</f>
        <v/>
      </c>
    </row>
    <row r="50">
      <c r="A50">
        <f>F50&amp;"|"&amp;G50</f>
        <v/>
      </c>
      <c r="B50" s="13" t="inlineStr"/>
      <c r="C50" s="8" t="inlineStr"/>
      <c r="D50" s="8" t="inlineStr"/>
      <c r="E50" s="8" t="inlineStr"/>
      <c r="F50" s="8" t="inlineStr">
        <is>
          <t>TR1(c)</t>
        </is>
      </c>
      <c r="G50" s="8" t="inlineStr">
        <is>
          <t>Supporting information/comments</t>
        </is>
      </c>
      <c r="H50" s="52">
        <f>IFERROR(IF(INDEX('Faculties'!$O$10:$O$19,MATCH($F50,'Faculties'!$B$10:$B$19,0))="","Cell will autofill based on response",INDEX('Faculties'!$O$10:$O$19,MATCH($F50,'Faculties'!$B$10:$B$19,0))),"N/A")</f>
        <v/>
      </c>
      <c r="I50" s="52">
        <f>IFERROR(IF(INDEX('Faculties'!$O$26:$O$35,MATCH($F50,'Faculties'!$B$26:$B$35,0))="","Cell will autofill based on response",INDEX('Faculties'!$O$26:$O$35,MATCH($F50,'Faculties'!$B$26:$B$35,0))),"N/A")</f>
        <v/>
      </c>
      <c r="J50" s="52">
        <f>IFERROR(IF(INDEX('Faculties'!$O$42:$O$51,MATCH($F50,'Faculties'!$B$42:$B$51,0))="","Cell will autofill based on response",INDEX('Faculties'!$O$42:$O$51,MATCH($F50,'Faculties'!$B$42:$B$51,0))),"N/A")</f>
        <v/>
      </c>
      <c r="K50" s="52">
        <f>IFERROR(IF(INDEX('Faculties'!$O$58:$O$67,MATCH($F50,'Faculties'!$B$58:$B$67,0))="","Cell will autofill based on response",INDEX('Faculties'!$O$58:$O$67,MATCH($F50,'Faculties'!$B$58:$B$67,0))),"N/A")</f>
        <v/>
      </c>
      <c r="L50" s="52">
        <f>IFERROR(IF(INDEX('CI&amp;S'!$O$10:$O$15,MATCH($F50,'CI&amp;S'!$B$10:$B$15,0))="","Cell will autofill based on response",INDEX('CI&amp;S'!$O$10:$O$15,MATCH($F50,'CI&amp;S'!$B$10:$B$15,0))),"N/A")</f>
        <v/>
      </c>
      <c r="M50" s="52">
        <f>IFERROR(IF(INDEX('CI&amp;S'!$O$22:$O$36,MATCH($F50,'CI&amp;S'!$B$22:$B$36,0))="","Cell will autofill based on response",INDEX('CI&amp;S'!$O$22:$O$36,MATCH($F50,'CI&amp;S'!$B$22:$B$36,0))),"N/A")</f>
        <v/>
      </c>
      <c r="N50" s="52">
        <f>IFERROR(IF(INDEX('CFOG'!$O$10:$O$16,MATCH($F50,'CFOG'!$B$10:$B$16,0))="","Cell will autofill based on response",INDEX('CFOG'!$O$10:$O$16,MATCH($F50,'CFOG'!$B$10:$B$16,0))),"N/A")</f>
        <v/>
      </c>
      <c r="O50" s="52">
        <f>IFERROR(IF(INDEX('CFOG'!$O$23:$O$24,MATCH($F50,'CFOG'!$B$23:$B$24,0))="","Cell will autofill based on response",INDEX('CFOG'!$O$23:$O$24,MATCH($F50,'CFOG'!$B$23:$B$24,0))),"N/A")</f>
        <v/>
      </c>
      <c r="P50" s="52">
        <f>IFERROR(IF(INDEX('ESG'!$O$10:$O$17,MATCH($F50,'ESG'!$B$10:$B$17,0))="","Cell will autofill based on response",INDEX('ESG'!$O$10:$O$17,MATCH($F50,'ESG'!$B$10:$B$17,0))),"N/A")</f>
        <v/>
      </c>
      <c r="Q50" s="52">
        <f>IFERROR(IF(INDEX('CIOG'!$O$10:$O$14,MATCH($F50,'CIOG'!$B$10:$B$14,0))="","Cell will autofill based on response",INDEX('CIOG'!$O$10:$O$14,MATCH($F50,'CIOG'!$B$10:$B$14,0))),"N/A")</f>
        <v/>
      </c>
      <c r="R50" s="52">
        <f>IFERROR(IF(INDEX('MRE'!$O$10:$O$18,MATCH($F50,'MRE'!$B$10:$B$18,0))="","Cell will autofill based on response",INDEX('MRE'!$O$10:$O$18,MATCH($F50,'MRE'!$B$10:$B$18,0))),"N/A")</f>
        <v/>
      </c>
      <c r="S50" s="52">
        <f>IFERROR(IF(INDEX('AC&amp;M'!$O$10:$O$14,MATCH($F50,'AC&amp;M'!$B$10:$B$14,0))="","Cell will autofill based on response",INDEX('AC&amp;M'!$O$10:$O$14,MATCH($F50,'AC&amp;M'!$B$10:$B$14,0))),"N/A")</f>
        <v/>
      </c>
      <c r="T50" s="52">
        <f>IFERROR(IF(INDEX('GCE'!$O$10:$O$12,MATCH($F50,'GCE'!$B$10:$B$12,0))="","Cell will autofill based on response",INDEX('GCE'!$O$10:$O$12,MATCH($F50,'GCE'!$B$10:$B$12,0))),"N/A")</f>
        <v/>
      </c>
      <c r="U50" s="52">
        <f>IFERROR(IF(INDEX('Education'!$O$10:$O$13,MATCH($F50,'Education'!$B$10:$B$13,0))="","Cell will autofill based on response",INDEX('Education'!$O$10:$O$13,MATCH($F50,'Education'!$B$10:$B$13,0))),"N/A")</f>
        <v/>
      </c>
      <c r="V50" s="52">
        <f>IFERROR(IF(INDEX('SaSS'!$O$10:$O$12,MATCH($F50,'SaSS'!$B$10:$B$12,0))="","Cell will autofill based on response",INDEX('SaSS'!$O$10:$O$12,MATCH($F50,'SaSS'!$B$10:$B$12,0))),"N/A")</f>
        <v/>
      </c>
      <c r="W50" s="52">
        <f>IFERROR(IF(INDEX('Indigenous'!$O$10:$O$11,MATCH($F50,'Indigenous'!$B$10:$B$11,0))="","Cell will autofill based on response",INDEX('Indigenous'!$O$10:$O$11,MATCH($F50,'Indigenous'!$B$10:$B$11,0))),"N/A")</f>
        <v/>
      </c>
      <c r="X50" s="52">
        <f>IFERROR(IF(INDEX('L&amp;R'!$O$10:$O$11,MATCH($F50,'L&amp;R'!$B$10:$B$11,0))="","Cell will autofill based on response",INDEX('L&amp;R'!$O$10:$O$11,MATCH($F50,'L&amp;R'!$B$10:$B$11,0))),"N/A")</f>
        <v/>
      </c>
    </row>
    <row r="51">
      <c r="A51">
        <f>F51&amp;"|"&amp;G51</f>
        <v/>
      </c>
      <c r="B51" s="13" t="inlineStr"/>
      <c r="C51" s="8" t="inlineStr"/>
      <c r="D51" s="8" t="inlineStr"/>
      <c r="E51" s="8" t="inlineStr"/>
      <c r="F51" s="8" t="inlineStr">
        <is>
          <t>TR1(c)</t>
        </is>
      </c>
      <c r="G51" s="8" t="inlineStr">
        <is>
          <t>Data source and limitations</t>
        </is>
      </c>
      <c r="H51" s="52">
        <f>IFERROR(IF(INDEX('Faculties'!$P$10:$P$19,MATCH($F51,'Faculties'!$B$10:$B$19,0))="","Cell will autofill based on response",INDEX('Faculties'!$P$10:$P$19,MATCH($F51,'Faculties'!$B$10:$B$19,0))),"N/A")</f>
        <v/>
      </c>
      <c r="I51" s="52">
        <f>IFERROR(IF(INDEX('Faculties'!$P$26:$P$35,MATCH($F51,'Faculties'!$B$26:$B$35,0))="","Cell will autofill based on response",INDEX('Faculties'!$P$26:$P$35,MATCH($F51,'Faculties'!$B$26:$B$35,0))),"N/A")</f>
        <v/>
      </c>
      <c r="J51" s="52">
        <f>IFERROR(IF(INDEX('Faculties'!$P$42:$P$51,MATCH($F51,'Faculties'!$B$42:$B$51,0))="","Cell will autofill based on response",INDEX('Faculties'!$P$42:$P$51,MATCH($F51,'Faculties'!$B$42:$B$51,0))),"N/A")</f>
        <v/>
      </c>
      <c r="K51" s="52">
        <f>IFERROR(IF(INDEX('Faculties'!$P$58:$P$67,MATCH($F51,'Faculties'!$B$58:$B$67,0))="","Cell will autofill based on response",INDEX('Faculties'!$P$58:$P$67,MATCH($F51,'Faculties'!$B$58:$B$67,0))),"N/A")</f>
        <v/>
      </c>
      <c r="L51" s="52">
        <f>IFERROR(IF(INDEX('CI&amp;S'!$P$10:$P$15,MATCH($F51,'CI&amp;S'!$B$10:$B$15,0))="","Cell will autofill based on response",INDEX('CI&amp;S'!$P$10:$P$15,MATCH($F51,'CI&amp;S'!$B$10:$B$15,0))),"N/A")</f>
        <v/>
      </c>
      <c r="M51" s="52">
        <f>IFERROR(IF(INDEX('CI&amp;S'!$P$22:$P$36,MATCH($F51,'CI&amp;S'!$B$22:$B$36,0))="","Cell will autofill based on response",INDEX('CI&amp;S'!$P$22:$P$36,MATCH($F51,'CI&amp;S'!$B$22:$B$36,0))),"N/A")</f>
        <v/>
      </c>
      <c r="N51" s="52">
        <f>IFERROR(IF(INDEX('CFOG'!$P$10:$P$16,MATCH($F51,'CFOG'!$B$10:$B$16,0))="","Cell will autofill based on response",INDEX('CFOG'!$P$10:$P$16,MATCH($F51,'CFOG'!$B$10:$B$16,0))),"N/A")</f>
        <v/>
      </c>
      <c r="O51" s="52">
        <f>IFERROR(IF(INDEX('CFOG'!$P$23:$P$24,MATCH($F51,'CFOG'!$B$23:$B$24,0))="","Cell will autofill based on response",INDEX('CFOG'!$P$23:$P$24,MATCH($F51,'CFOG'!$B$23:$B$24,0))),"N/A")</f>
        <v/>
      </c>
      <c r="P51" s="52">
        <f>IFERROR(IF(INDEX('ESG'!$P$10:$P$17,MATCH($F51,'ESG'!$B$10:$B$17,0))="","Cell will autofill based on response",INDEX('ESG'!$P$10:$P$17,MATCH($F51,'ESG'!$B$10:$B$17,0))),"N/A")</f>
        <v/>
      </c>
      <c r="Q51" s="52">
        <f>IFERROR(IF(INDEX('CIOG'!$P$10:$P$14,MATCH($F51,'CIOG'!$B$10:$B$14,0))="","Cell will autofill based on response",INDEX('CIOG'!$P$10:$P$14,MATCH($F51,'CIOG'!$B$10:$B$14,0))),"N/A")</f>
        <v/>
      </c>
      <c r="R51" s="52">
        <f>IFERROR(IF(INDEX('MRE'!$P$10:$P$18,MATCH($F51,'MRE'!$B$10:$B$18,0))="","Cell will autofill based on response",INDEX('MRE'!$P$10:$P$18,MATCH($F51,'MRE'!$B$10:$B$18,0))),"N/A")</f>
        <v/>
      </c>
      <c r="S51" s="52">
        <f>IFERROR(IF(INDEX('AC&amp;M'!$P$10:$P$14,MATCH($F51,'AC&amp;M'!$B$10:$B$14,0))="","Cell will autofill based on response",INDEX('AC&amp;M'!$P$10:$P$14,MATCH($F51,'AC&amp;M'!$B$10:$B$14,0))),"N/A")</f>
        <v/>
      </c>
      <c r="T51" s="52">
        <f>IFERROR(IF(INDEX('GCE'!$P$10:$P$12,MATCH($F51,'GCE'!$B$10:$B$12,0))="","Cell will autofill based on response",INDEX('GCE'!$P$10:$P$12,MATCH($F51,'GCE'!$B$10:$B$12,0))),"N/A")</f>
        <v/>
      </c>
      <c r="U51" s="52">
        <f>IFERROR(IF(INDEX('Education'!$P$10:$P$13,MATCH($F51,'Education'!$B$10:$B$13,0))="","Cell will autofill based on response",INDEX('Education'!$P$10:$P$13,MATCH($F51,'Education'!$B$10:$B$13,0))),"N/A")</f>
        <v/>
      </c>
      <c r="V51" s="52">
        <f>IFERROR(IF(INDEX('SaSS'!$P$10:$P$12,MATCH($F51,'SaSS'!$B$10:$B$12,0))="","Cell will autofill based on response",INDEX('SaSS'!$P$10:$P$12,MATCH($F51,'SaSS'!$B$10:$B$12,0))),"N/A")</f>
        <v/>
      </c>
      <c r="W51" s="52">
        <f>IFERROR(IF(INDEX('Indigenous'!$P$10:$P$11,MATCH($F51,'Indigenous'!$B$10:$B$11,0))="","Cell will autofill based on response",INDEX('Indigenous'!$P$10:$P$11,MATCH($F51,'Indigenous'!$B$10:$B$11,0))),"N/A")</f>
        <v/>
      </c>
      <c r="X51" s="52">
        <f>IFERROR(IF(INDEX('L&amp;R'!$P$10:$P$11,MATCH($F51,'L&amp;R'!$B$10:$B$11,0))="","Cell will autofill based on response",INDEX('L&amp;R'!$P$10:$P$11,MATCH($F51,'L&amp;R'!$B$10:$B$11,0))),"N/A")</f>
        <v/>
      </c>
    </row>
    <row r="52">
      <c r="A52">
        <f>F52&amp;"|"&amp;G52</f>
        <v/>
      </c>
      <c r="B52" s="13" t="inlineStr"/>
      <c r="C52" s="8" t="inlineStr"/>
      <c r="D52" s="8" t="inlineStr"/>
      <c r="E52" s="8" t="inlineStr"/>
      <c r="F52" s="8" t="inlineStr">
        <is>
          <t>TR1(c)</t>
        </is>
      </c>
      <c r="G52" s="8" t="inlineStr">
        <is>
          <t>Data owner confirms</t>
        </is>
      </c>
      <c r="H52" s="52">
        <f>IFERROR(IF(INDEX('Faculties'!$Q$10:$Q$19,MATCH($F52,'Faculties'!$B$10:$B$19,0))="","Cell will autofill based on response",INDEX('Faculties'!$Q$10:$Q$19,MATCH($F52,'Faculties'!$B$10:$B$19,0))),"N/A")</f>
        <v/>
      </c>
      <c r="I52" s="52">
        <f>IFERROR(IF(INDEX('Faculties'!$Q$26:$Q$35,MATCH($F52,'Faculties'!$B$26:$B$35,0))="","Cell will autofill based on response",INDEX('Faculties'!$Q$26:$Q$35,MATCH($F52,'Faculties'!$B$26:$B$35,0))),"N/A")</f>
        <v/>
      </c>
      <c r="J52" s="52">
        <f>IFERROR(IF(INDEX('Faculties'!$Q$42:$Q$51,MATCH($F52,'Faculties'!$B$42:$B$51,0))="","Cell will autofill based on response",INDEX('Faculties'!$Q$42:$Q$51,MATCH($F52,'Faculties'!$B$42:$B$51,0))),"N/A")</f>
        <v/>
      </c>
      <c r="K52" s="52">
        <f>IFERROR(IF(INDEX('Faculties'!$Q$58:$Q$67,MATCH($F52,'Faculties'!$B$58:$B$67,0))="","Cell will autofill based on response",INDEX('Faculties'!$Q$58:$Q$67,MATCH($F52,'Faculties'!$B$58:$B$67,0))),"N/A")</f>
        <v/>
      </c>
      <c r="L52" s="52">
        <f>IFERROR(IF(INDEX('CI&amp;S'!$Q$10:$Q$15,MATCH($F52,'CI&amp;S'!$B$10:$B$15,0))="","Cell will autofill based on response",INDEX('CI&amp;S'!$Q$10:$Q$15,MATCH($F52,'CI&amp;S'!$B$10:$B$15,0))),"N/A")</f>
        <v/>
      </c>
      <c r="M52" s="52">
        <f>IFERROR(IF(INDEX('CI&amp;S'!$Q$22:$Q$36,MATCH($F52,'CI&amp;S'!$B$22:$B$36,0))="","Cell will autofill based on response",INDEX('CI&amp;S'!$Q$22:$Q$36,MATCH($F52,'CI&amp;S'!$B$22:$B$36,0))),"N/A")</f>
        <v/>
      </c>
      <c r="N52" s="52">
        <f>IFERROR(IF(INDEX('CFOG'!$Q$10:$Q$16,MATCH($F52,'CFOG'!$B$10:$B$16,0))="","Cell will autofill based on response",INDEX('CFOG'!$Q$10:$Q$16,MATCH($F52,'CFOG'!$B$10:$B$16,0))),"N/A")</f>
        <v/>
      </c>
      <c r="O52" s="52">
        <f>IFERROR(IF(INDEX('CFOG'!$Q$23:$Q$24,MATCH($F52,'CFOG'!$B$23:$B$24,0))="","Cell will autofill based on response",INDEX('CFOG'!$Q$23:$Q$24,MATCH($F52,'CFOG'!$B$23:$B$24,0))),"N/A")</f>
        <v/>
      </c>
      <c r="P52" s="52">
        <f>IFERROR(IF(INDEX('ESG'!$Q$10:$Q$17,MATCH($F52,'ESG'!$B$10:$B$17,0))="","Cell will autofill based on response",INDEX('ESG'!$Q$10:$Q$17,MATCH($F52,'ESG'!$B$10:$B$17,0))),"N/A")</f>
        <v/>
      </c>
      <c r="Q52" s="52">
        <f>IFERROR(IF(INDEX('CIOG'!$Q$10:$Q$14,MATCH($F52,'CIOG'!$B$10:$B$14,0))="","Cell will autofill based on response",INDEX('CIOG'!$Q$10:$Q$14,MATCH($F52,'CIOG'!$B$10:$B$14,0))),"N/A")</f>
        <v/>
      </c>
      <c r="R52" s="52">
        <f>IFERROR(IF(INDEX('MRE'!$Q$10:$Q$18,MATCH($F52,'MRE'!$B$10:$B$18,0))="","Cell will autofill based on response",INDEX('MRE'!$Q$10:$Q$18,MATCH($F52,'MRE'!$B$10:$B$18,0))),"N/A")</f>
        <v/>
      </c>
      <c r="S52" s="52">
        <f>IFERROR(IF(INDEX('AC&amp;M'!$Q$10:$Q$14,MATCH($F52,'AC&amp;M'!$B$10:$B$14,0))="","Cell will autofill based on response",INDEX('AC&amp;M'!$Q$10:$Q$14,MATCH($F52,'AC&amp;M'!$B$10:$B$14,0))),"N/A")</f>
        <v/>
      </c>
      <c r="T52" s="52">
        <f>IFERROR(IF(INDEX('GCE'!$Q$10:$Q$12,MATCH($F52,'GCE'!$B$10:$B$12,0))="","Cell will autofill based on response",INDEX('GCE'!$Q$10:$Q$12,MATCH($F52,'GCE'!$B$10:$B$12,0))),"N/A")</f>
        <v/>
      </c>
      <c r="U52" s="52">
        <f>IFERROR(IF(INDEX('Education'!$Q$10:$Q$13,MATCH($F52,'Education'!$B$10:$B$13,0))="","Cell will autofill based on response",INDEX('Education'!$Q$10:$Q$13,MATCH($F52,'Education'!$B$10:$B$13,0))),"N/A")</f>
        <v/>
      </c>
      <c r="V52" s="52">
        <f>IFERROR(IF(INDEX('SaSS'!$Q$10:$Q$12,MATCH($F52,'SaSS'!$B$10:$B$12,0))="","Cell will autofill based on response",INDEX('SaSS'!$Q$10:$Q$12,MATCH($F52,'SaSS'!$B$10:$B$12,0))),"N/A")</f>
        <v/>
      </c>
      <c r="W52" s="52">
        <f>IFERROR(IF(INDEX('Indigenous'!$Q$10:$Q$11,MATCH($F52,'Indigenous'!$B$10:$B$11,0))="","Cell will autofill based on response",INDEX('Indigenous'!$Q$10:$Q$11,MATCH($F52,'Indigenous'!$B$10:$B$11,0))),"N/A")</f>
        <v/>
      </c>
      <c r="X52" s="52">
        <f>IFERROR(IF(INDEX('L&amp;R'!$Q$10:$Q$11,MATCH($F52,'L&amp;R'!$B$10:$B$11,0))="","Cell will autofill based on response",INDEX('L&amp;R'!$Q$10:$Q$11,MATCH($F52,'L&amp;R'!$B$10:$B$11,0))),"N/A")</f>
        <v/>
      </c>
    </row>
    <row r="53">
      <c r="A53">
        <f>F53&amp;"|"&amp;G53</f>
        <v/>
      </c>
      <c r="B53" s="7" t="inlineStr">
        <is>
          <t>TR1(d)</t>
        </is>
      </c>
      <c r="C53" s="50" t="inlineStr">
        <is>
          <t>Transformational research</t>
        </is>
      </c>
      <c r="D53" s="50" t="inlineStr">
        <is>
          <t>Periodic feedback from participants on the effectiveness and mutual benefit of collaboration mechanisms.</t>
        </is>
      </c>
      <c r="E53" s="50"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53" s="50" t="inlineStr">
        <is>
          <t>TR1(d)</t>
        </is>
      </c>
      <c r="G53" s="50" t="inlineStr">
        <is>
          <t>Confirm end-2026 target status</t>
        </is>
      </c>
      <c r="H53" s="52">
        <f>IFERROR(IF(INDEX('Faculties'!$L$10:$L$19,MATCH($F53,'Faculties'!$B$10:$B$19,0))="","Cell will autofill based on response",INDEX('Faculties'!$L$10:$L$19,MATCH($F53,'Faculties'!$B$10:$B$19,0))),"N/A")</f>
        <v/>
      </c>
      <c r="I53" s="52">
        <f>IFERROR(IF(INDEX('Faculties'!$L$26:$L$35,MATCH($F53,'Faculties'!$B$26:$B$35,0))="","Cell will autofill based on response",INDEX('Faculties'!$L$26:$L$35,MATCH($F53,'Faculties'!$B$26:$B$35,0))),"N/A")</f>
        <v/>
      </c>
      <c r="J53" s="52">
        <f>IFERROR(IF(INDEX('Faculties'!$L$42:$L$51,MATCH($F53,'Faculties'!$B$42:$B$51,0))="","Cell will autofill based on response",INDEX('Faculties'!$L$42:$L$51,MATCH($F53,'Faculties'!$B$42:$B$51,0))),"N/A")</f>
        <v/>
      </c>
      <c r="K53" s="52">
        <f>IFERROR(IF(INDEX('Faculties'!$L$58:$L$67,MATCH($F53,'Faculties'!$B$58:$B$67,0))="","Cell will autofill based on response",INDEX('Faculties'!$L$58:$L$67,MATCH($F53,'Faculties'!$B$58:$B$67,0))),"N/A")</f>
        <v/>
      </c>
      <c r="L53" s="52">
        <f>IFERROR(IF(INDEX('CI&amp;S'!$L$10:$L$15,MATCH($F53,'CI&amp;S'!$B$10:$B$15,0))="","Cell will autofill based on response",INDEX('CI&amp;S'!$L$10:$L$15,MATCH($F53,'CI&amp;S'!$B$10:$B$15,0))),"N/A")</f>
        <v/>
      </c>
      <c r="M53" s="52">
        <f>IFERROR(IF(INDEX('CI&amp;S'!$L$22:$L$36,MATCH($F53,'CI&amp;S'!$B$22:$B$36,0))="","Cell will autofill based on response",INDEX('CI&amp;S'!$L$22:$L$36,MATCH($F53,'CI&amp;S'!$B$22:$B$36,0))),"N/A")</f>
        <v/>
      </c>
      <c r="N53" s="52">
        <f>IFERROR(IF(INDEX('CFOG'!$L$10:$L$16,MATCH($F53,'CFOG'!$B$10:$B$16,0))="","Cell will autofill based on response",INDEX('CFOG'!$L$10:$L$16,MATCH($F53,'CFOG'!$B$10:$B$16,0))),"N/A")</f>
        <v/>
      </c>
      <c r="O53" s="52">
        <f>IFERROR(IF(INDEX('CFOG'!$L$23:$L$24,MATCH($F53,'CFOG'!$B$23:$B$24,0))="","Cell will autofill based on response",INDEX('CFOG'!$L$23:$L$24,MATCH($F53,'CFOG'!$B$23:$B$24,0))),"N/A")</f>
        <v/>
      </c>
      <c r="P53" s="52">
        <f>IFERROR(IF(INDEX('ESG'!$L$10:$L$17,MATCH($F53,'ESG'!$B$10:$B$17,0))="","Cell will autofill based on response",INDEX('ESG'!$L$10:$L$17,MATCH($F53,'ESG'!$B$10:$B$17,0))),"N/A")</f>
        <v/>
      </c>
      <c r="Q53" s="52">
        <f>IFERROR(IF(INDEX('CIOG'!$L$10:$L$14,MATCH($F53,'CIOG'!$B$10:$B$14,0))="","Cell will autofill based on response",INDEX('CIOG'!$L$10:$L$14,MATCH($F53,'CIOG'!$B$10:$B$14,0))),"N/A")</f>
        <v/>
      </c>
      <c r="R53" s="52">
        <f>IFERROR(IF(INDEX('MRE'!$L$10:$L$18,MATCH($F53,'MRE'!$B$10:$B$18,0))="","Cell will autofill based on response",INDEX('MRE'!$L$10:$L$18,MATCH($F53,'MRE'!$B$10:$B$18,0))),"N/A")</f>
        <v/>
      </c>
      <c r="S53" s="52">
        <f>IFERROR(IF(INDEX('AC&amp;M'!$L$10:$L$14,MATCH($F53,'AC&amp;M'!$B$10:$B$14,0))="","Cell will autofill based on response",INDEX('AC&amp;M'!$L$10:$L$14,MATCH($F53,'AC&amp;M'!$B$10:$B$14,0))),"N/A")</f>
        <v/>
      </c>
      <c r="T53" s="52">
        <f>IFERROR(IF(INDEX('GCE'!$L$10:$L$12,MATCH($F53,'GCE'!$B$10:$B$12,0))="","Cell will autofill based on response",INDEX('GCE'!$L$10:$L$12,MATCH($F53,'GCE'!$B$10:$B$12,0))),"N/A")</f>
        <v/>
      </c>
      <c r="U53" s="52">
        <f>IFERROR(IF(INDEX('Education'!$L$10:$L$13,MATCH($F53,'Education'!$B$10:$B$13,0))="","Cell will autofill based on response",INDEX('Education'!$L$10:$L$13,MATCH($F53,'Education'!$B$10:$B$13,0))),"N/A")</f>
        <v/>
      </c>
      <c r="V53" s="52">
        <f>IFERROR(IF(INDEX('SaSS'!$L$10:$L$12,MATCH($F53,'SaSS'!$B$10:$B$12,0))="","Cell will autofill based on response",INDEX('SaSS'!$L$10:$L$12,MATCH($F53,'SaSS'!$B$10:$B$12,0))),"N/A")</f>
        <v/>
      </c>
      <c r="W53" s="52">
        <f>IFERROR(IF(INDEX('Indigenous'!$L$10:$L$11,MATCH($F53,'Indigenous'!$B$10:$B$11,0))="","Cell will autofill based on response",INDEX('Indigenous'!$L$10:$L$11,MATCH($F53,'Indigenous'!$B$10:$B$11,0))),"N/A")</f>
        <v/>
      </c>
      <c r="X53" s="52">
        <f>IFERROR(IF(INDEX('L&amp;R'!$L$10:$L$11,MATCH($F53,'L&amp;R'!$B$10:$B$11,0))="","Cell will autofill based on response",INDEX('L&amp;R'!$L$10:$L$11,MATCH($F53,'L&amp;R'!$B$10:$B$11,0))),"N/A")</f>
        <v/>
      </c>
      <c r="Z53" s="10">
        <f>COUNTIF($H53:$X53,"Cell will autofill based on response")</f>
        <v/>
      </c>
      <c r="AA53" s="10">
        <f>COUNTIF($H53:$X53,"Not yet started")</f>
        <v/>
      </c>
      <c r="AB53" s="10">
        <f>COUNTIF($H53:$X53,"Not met")</f>
        <v/>
      </c>
      <c r="AC53" s="10">
        <f>COUNTIF($H53:$X53,"Partially met")</f>
        <v/>
      </c>
      <c r="AD53" s="10">
        <f>COUNTIF($H53:$X53,"Met or exceeded")</f>
        <v/>
      </c>
      <c r="AE53" s="10">
        <f>3*AD53+2*AC53+AB53</f>
        <v/>
      </c>
      <c r="AF53" s="10">
        <f>AD53+AC53+AB53+AA53</f>
        <v/>
      </c>
      <c r="AG53" s="53">
        <f>IF(AF53&gt;0,AE53/AF53,"No valid responses to date")</f>
        <v/>
      </c>
      <c r="AH53" s="10">
        <f>IF(ISNUMBER(AG53),INDEX(Lists!$G$2:$G$5,MATCH(ROUND(AG53,0),Lists!$H$2:$H$5,0)),"")</f>
        <v/>
      </c>
      <c r="AI53" s="54">
        <f>IF(AF53&gt;0,AD53/AF53,"")</f>
        <v/>
      </c>
      <c r="AJ53" s="54">
        <f>IF(AF53&gt;0,(AD53+AC53)/AF53,"")</f>
        <v/>
      </c>
      <c r="AK53" s="10">
        <f>IF(AF53=0,"",IF(AI53&gt;0.75,"Met or exceeded",IF(AJ53&gt;=0.5,"Partially met","Not met")))</f>
        <v/>
      </c>
    </row>
    <row r="54">
      <c r="A54">
        <f>F54&amp;"|"&amp;G54</f>
        <v/>
      </c>
      <c r="B54" s="13" t="inlineStr"/>
      <c r="C54" s="8" t="inlineStr"/>
      <c r="D54" s="8" t="inlineStr"/>
      <c r="E54" s="8" t="inlineStr"/>
      <c r="F54" s="8" t="inlineStr">
        <is>
          <t>TR1(d)</t>
        </is>
      </c>
      <c r="G54" s="8" t="inlineStr">
        <is>
          <t>OPTION 1:  Target-level reporting</t>
        </is>
      </c>
      <c r="H54" s="52">
        <f>IFERROR(IF(INDEX('Faculties'!$M$10:$M$19,MATCH($F54,'Faculties'!$B$10:$B$19,0))="","Cell will autofill based on response",INDEX('Faculties'!$M$10:$M$19,MATCH($F54,'Faculties'!$B$10:$B$19,0))),"N/A")</f>
        <v/>
      </c>
      <c r="I54" s="52">
        <f>IFERROR(IF(INDEX('Faculties'!$M$26:$M$35,MATCH($F54,'Faculties'!$B$26:$B$35,0))="","Cell will autofill based on response",INDEX('Faculties'!$M$26:$M$35,MATCH($F54,'Faculties'!$B$26:$B$35,0))),"N/A")</f>
        <v/>
      </c>
      <c r="J54" s="52">
        <f>IFERROR(IF(INDEX('Faculties'!$M$42:$M$51,MATCH($F54,'Faculties'!$B$42:$B$51,0))="","Cell will autofill based on response",INDEX('Faculties'!$M$42:$M$51,MATCH($F54,'Faculties'!$B$42:$B$51,0))),"N/A")</f>
        <v/>
      </c>
      <c r="K54" s="52">
        <f>IFERROR(IF(INDEX('Faculties'!$M$58:$M$67,MATCH($F54,'Faculties'!$B$58:$B$67,0))="","Cell will autofill based on response",INDEX('Faculties'!$M$58:$M$67,MATCH($F54,'Faculties'!$B$58:$B$67,0))),"N/A")</f>
        <v/>
      </c>
      <c r="L54" s="52">
        <f>IFERROR(IF(INDEX('CI&amp;S'!$M$10:$M$15,MATCH($F54,'CI&amp;S'!$B$10:$B$15,0))="","Cell will autofill based on response",INDEX('CI&amp;S'!$M$10:$M$15,MATCH($F54,'CI&amp;S'!$B$10:$B$15,0))),"N/A")</f>
        <v/>
      </c>
      <c r="M54" s="52">
        <f>IFERROR(IF(INDEX('CI&amp;S'!$M$22:$M$36,MATCH($F54,'CI&amp;S'!$B$22:$B$36,0))="","Cell will autofill based on response",INDEX('CI&amp;S'!$M$22:$M$36,MATCH($F54,'CI&amp;S'!$B$22:$B$36,0))),"N/A")</f>
        <v/>
      </c>
      <c r="N54" s="52">
        <f>IFERROR(IF(INDEX('CFOG'!$M$10:$M$16,MATCH($F54,'CFOG'!$B$10:$B$16,0))="","Cell will autofill based on response",INDEX('CFOG'!$M$10:$M$16,MATCH($F54,'CFOG'!$B$10:$B$16,0))),"N/A")</f>
        <v/>
      </c>
      <c r="O54" s="52">
        <f>IFERROR(IF(INDEX('CFOG'!$M$23:$M$24,MATCH($F54,'CFOG'!$B$23:$B$24,0))="","Cell will autofill based on response",INDEX('CFOG'!$M$23:$M$24,MATCH($F54,'CFOG'!$B$23:$B$24,0))),"N/A")</f>
        <v/>
      </c>
      <c r="P54" s="52">
        <f>IFERROR(IF(INDEX('ESG'!$M$10:$M$17,MATCH($F54,'ESG'!$B$10:$B$17,0))="","Cell will autofill based on response",INDEX('ESG'!$M$10:$M$17,MATCH($F54,'ESG'!$B$10:$B$17,0))),"N/A")</f>
        <v/>
      </c>
      <c r="Q54" s="52">
        <f>IFERROR(IF(INDEX('CIOG'!$M$10:$M$14,MATCH($F54,'CIOG'!$B$10:$B$14,0))="","Cell will autofill based on response",INDEX('CIOG'!$M$10:$M$14,MATCH($F54,'CIOG'!$B$10:$B$14,0))),"N/A")</f>
        <v/>
      </c>
      <c r="R54" s="52">
        <f>IFERROR(IF(INDEX('MRE'!$M$10:$M$18,MATCH($F54,'MRE'!$B$10:$B$18,0))="","Cell will autofill based on response",INDEX('MRE'!$M$10:$M$18,MATCH($F54,'MRE'!$B$10:$B$18,0))),"N/A")</f>
        <v/>
      </c>
      <c r="S54" s="52">
        <f>IFERROR(IF(INDEX('AC&amp;M'!$M$10:$M$14,MATCH($F54,'AC&amp;M'!$B$10:$B$14,0))="","Cell will autofill based on response",INDEX('AC&amp;M'!$M$10:$M$14,MATCH($F54,'AC&amp;M'!$B$10:$B$14,0))),"N/A")</f>
        <v/>
      </c>
      <c r="T54" s="52">
        <f>IFERROR(IF(INDEX('GCE'!$M$10:$M$12,MATCH($F54,'GCE'!$B$10:$B$12,0))="","Cell will autofill based on response",INDEX('GCE'!$M$10:$M$12,MATCH($F54,'GCE'!$B$10:$B$12,0))),"N/A")</f>
        <v/>
      </c>
      <c r="U54" s="52">
        <f>IFERROR(IF(INDEX('Education'!$M$10:$M$13,MATCH($F54,'Education'!$B$10:$B$13,0))="","Cell will autofill based on response",INDEX('Education'!$M$10:$M$13,MATCH($F54,'Education'!$B$10:$B$13,0))),"N/A")</f>
        <v/>
      </c>
      <c r="V54" s="52">
        <f>IFERROR(IF(INDEX('SaSS'!$M$10:$M$12,MATCH($F54,'SaSS'!$B$10:$B$12,0))="","Cell will autofill based on response",INDEX('SaSS'!$M$10:$M$12,MATCH($F54,'SaSS'!$B$10:$B$12,0))),"N/A")</f>
        <v/>
      </c>
      <c r="W54" s="52">
        <f>IFERROR(IF(INDEX('Indigenous'!$M$10:$M$11,MATCH($F54,'Indigenous'!$B$10:$B$11,0))="","Cell will autofill based on response",INDEX('Indigenous'!$M$10:$M$11,MATCH($F54,'Indigenous'!$B$10:$B$11,0))),"N/A")</f>
        <v/>
      </c>
      <c r="X54" s="52">
        <f>IFERROR(IF(INDEX('L&amp;R'!$M$10:$M$11,MATCH($F54,'L&amp;R'!$B$10:$B$11,0))="","Cell will autofill based on response",INDEX('L&amp;R'!$M$10:$M$11,MATCH($F54,'L&amp;R'!$B$10:$B$11,0))),"N/A")</f>
        <v/>
      </c>
    </row>
    <row r="55">
      <c r="A55">
        <f>F55&amp;"|"&amp;G55</f>
        <v/>
      </c>
      <c r="B55" s="13" t="inlineStr"/>
      <c r="C55" s="8" t="inlineStr"/>
      <c r="D55" s="8" t="inlineStr"/>
      <c r="E55" s="8" t="inlineStr"/>
      <c r="F55" s="8" t="inlineStr">
        <is>
          <t>TR1(d)</t>
        </is>
      </c>
      <c r="G55" s="8" t="inlineStr">
        <is>
          <t>OPTION 2:  Indicator level reporting</t>
        </is>
      </c>
      <c r="H55" s="52">
        <f>IFERROR(IF(INDEX('Faculties'!$N$10:$N$19,MATCH($F55,'Faculties'!$B$10:$B$19,0))="","Cell will autofill based on response",INDEX('Faculties'!$N$10:$N$19,MATCH($F55,'Faculties'!$B$10:$B$19,0))),"N/A")</f>
        <v/>
      </c>
      <c r="I55" s="52">
        <f>IFERROR(IF(INDEX('Faculties'!$N$26:$N$35,MATCH($F55,'Faculties'!$B$26:$B$35,0))="","Cell will autofill based on response",INDEX('Faculties'!$N$26:$N$35,MATCH($F55,'Faculties'!$B$26:$B$35,0))),"N/A")</f>
        <v/>
      </c>
      <c r="J55" s="52">
        <f>IFERROR(IF(INDEX('Faculties'!$N$42:$N$51,MATCH($F55,'Faculties'!$B$42:$B$51,0))="","Cell will autofill based on response",INDEX('Faculties'!$N$42:$N$51,MATCH($F55,'Faculties'!$B$42:$B$51,0))),"N/A")</f>
        <v/>
      </c>
      <c r="K55" s="52">
        <f>IFERROR(IF(INDEX('Faculties'!$N$58:$N$67,MATCH($F55,'Faculties'!$B$58:$B$67,0))="","Cell will autofill based on response",INDEX('Faculties'!$N$58:$N$67,MATCH($F55,'Faculties'!$B$58:$B$67,0))),"N/A")</f>
        <v/>
      </c>
      <c r="L55" s="52">
        <f>IFERROR(IF(INDEX('CI&amp;S'!$N$10:$N$15,MATCH($F55,'CI&amp;S'!$B$10:$B$15,0))="","Cell will autofill based on response",INDEX('CI&amp;S'!$N$10:$N$15,MATCH($F55,'CI&amp;S'!$B$10:$B$15,0))),"N/A")</f>
        <v/>
      </c>
      <c r="M55" s="52">
        <f>IFERROR(IF(INDEX('CI&amp;S'!$N$22:$N$36,MATCH($F55,'CI&amp;S'!$B$22:$B$36,0))="","Cell will autofill based on response",INDEX('CI&amp;S'!$N$22:$N$36,MATCH($F55,'CI&amp;S'!$B$22:$B$36,0))),"N/A")</f>
        <v/>
      </c>
      <c r="N55" s="52">
        <f>IFERROR(IF(INDEX('CFOG'!$N$10:$N$16,MATCH($F55,'CFOG'!$B$10:$B$16,0))="","Cell will autofill based on response",INDEX('CFOG'!$N$10:$N$16,MATCH($F55,'CFOG'!$B$10:$B$16,0))),"N/A")</f>
        <v/>
      </c>
      <c r="O55" s="52">
        <f>IFERROR(IF(INDEX('CFOG'!$N$23:$N$24,MATCH($F55,'CFOG'!$B$23:$B$24,0))="","Cell will autofill based on response",INDEX('CFOG'!$N$23:$N$24,MATCH($F55,'CFOG'!$B$23:$B$24,0))),"N/A")</f>
        <v/>
      </c>
      <c r="P55" s="52">
        <f>IFERROR(IF(INDEX('ESG'!$N$10:$N$17,MATCH($F55,'ESG'!$B$10:$B$17,0))="","Cell will autofill based on response",INDEX('ESG'!$N$10:$N$17,MATCH($F55,'ESG'!$B$10:$B$17,0))),"N/A")</f>
        <v/>
      </c>
      <c r="Q55" s="52">
        <f>IFERROR(IF(INDEX('CIOG'!$N$10:$N$14,MATCH($F55,'CIOG'!$B$10:$B$14,0))="","Cell will autofill based on response",INDEX('CIOG'!$N$10:$N$14,MATCH($F55,'CIOG'!$B$10:$B$14,0))),"N/A")</f>
        <v/>
      </c>
      <c r="R55" s="52">
        <f>IFERROR(IF(INDEX('MRE'!$N$10:$N$18,MATCH($F55,'MRE'!$B$10:$B$18,0))="","Cell will autofill based on response",INDEX('MRE'!$N$10:$N$18,MATCH($F55,'MRE'!$B$10:$B$18,0))),"N/A")</f>
        <v/>
      </c>
      <c r="S55" s="52">
        <f>IFERROR(IF(INDEX('AC&amp;M'!$N$10:$N$14,MATCH($F55,'AC&amp;M'!$B$10:$B$14,0))="","Cell will autofill based on response",INDEX('AC&amp;M'!$N$10:$N$14,MATCH($F55,'AC&amp;M'!$B$10:$B$14,0))),"N/A")</f>
        <v/>
      </c>
      <c r="T55" s="52">
        <f>IFERROR(IF(INDEX('GCE'!$N$10:$N$12,MATCH($F55,'GCE'!$B$10:$B$12,0))="","Cell will autofill based on response",INDEX('GCE'!$N$10:$N$12,MATCH($F55,'GCE'!$B$10:$B$12,0))),"N/A")</f>
        <v/>
      </c>
      <c r="U55" s="52">
        <f>IFERROR(IF(INDEX('Education'!$N$10:$N$13,MATCH($F55,'Education'!$B$10:$B$13,0))="","Cell will autofill based on response",INDEX('Education'!$N$10:$N$13,MATCH($F55,'Education'!$B$10:$B$13,0))),"N/A")</f>
        <v/>
      </c>
      <c r="V55" s="52">
        <f>IFERROR(IF(INDEX('SaSS'!$N$10:$N$12,MATCH($F55,'SaSS'!$B$10:$B$12,0))="","Cell will autofill based on response",INDEX('SaSS'!$N$10:$N$12,MATCH($F55,'SaSS'!$B$10:$B$12,0))),"N/A")</f>
        <v/>
      </c>
      <c r="W55" s="52">
        <f>IFERROR(IF(INDEX('Indigenous'!$N$10:$N$11,MATCH($F55,'Indigenous'!$B$10:$B$11,0))="","Cell will autofill based on response",INDEX('Indigenous'!$N$10:$N$11,MATCH($F55,'Indigenous'!$B$10:$B$11,0))),"N/A")</f>
        <v/>
      </c>
      <c r="X55" s="52">
        <f>IFERROR(IF(INDEX('L&amp;R'!$N$10:$N$11,MATCH($F55,'L&amp;R'!$B$10:$B$11,0))="","Cell will autofill based on response",INDEX('L&amp;R'!$N$10:$N$11,MATCH($F55,'L&amp;R'!$B$10:$B$11,0))),"N/A")</f>
        <v/>
      </c>
    </row>
    <row r="56">
      <c r="A56">
        <f>F56&amp;"|"&amp;G56</f>
        <v/>
      </c>
      <c r="B56" s="13" t="inlineStr"/>
      <c r="C56" s="8" t="inlineStr"/>
      <c r="D56" s="8" t="inlineStr"/>
      <c r="E56" s="8" t="inlineStr"/>
      <c r="F56" s="8" t="inlineStr">
        <is>
          <t>TR1(d)</t>
        </is>
      </c>
      <c r="G56" s="8" t="inlineStr">
        <is>
          <t>Supporting information/comments</t>
        </is>
      </c>
      <c r="H56" s="52">
        <f>IFERROR(IF(INDEX('Faculties'!$O$10:$O$19,MATCH($F56,'Faculties'!$B$10:$B$19,0))="","Cell will autofill based on response",INDEX('Faculties'!$O$10:$O$19,MATCH($F56,'Faculties'!$B$10:$B$19,0))),"N/A")</f>
        <v/>
      </c>
      <c r="I56" s="52">
        <f>IFERROR(IF(INDEX('Faculties'!$O$26:$O$35,MATCH($F56,'Faculties'!$B$26:$B$35,0))="","Cell will autofill based on response",INDEX('Faculties'!$O$26:$O$35,MATCH($F56,'Faculties'!$B$26:$B$35,0))),"N/A")</f>
        <v/>
      </c>
      <c r="J56" s="52">
        <f>IFERROR(IF(INDEX('Faculties'!$O$42:$O$51,MATCH($F56,'Faculties'!$B$42:$B$51,0))="","Cell will autofill based on response",INDEX('Faculties'!$O$42:$O$51,MATCH($F56,'Faculties'!$B$42:$B$51,0))),"N/A")</f>
        <v/>
      </c>
      <c r="K56" s="52">
        <f>IFERROR(IF(INDEX('Faculties'!$O$58:$O$67,MATCH($F56,'Faculties'!$B$58:$B$67,0))="","Cell will autofill based on response",INDEX('Faculties'!$O$58:$O$67,MATCH($F56,'Faculties'!$B$58:$B$67,0))),"N/A")</f>
        <v/>
      </c>
      <c r="L56" s="52">
        <f>IFERROR(IF(INDEX('CI&amp;S'!$O$10:$O$15,MATCH($F56,'CI&amp;S'!$B$10:$B$15,0))="","Cell will autofill based on response",INDEX('CI&amp;S'!$O$10:$O$15,MATCH($F56,'CI&amp;S'!$B$10:$B$15,0))),"N/A")</f>
        <v/>
      </c>
      <c r="M56" s="52">
        <f>IFERROR(IF(INDEX('CI&amp;S'!$O$22:$O$36,MATCH($F56,'CI&amp;S'!$B$22:$B$36,0))="","Cell will autofill based on response",INDEX('CI&amp;S'!$O$22:$O$36,MATCH($F56,'CI&amp;S'!$B$22:$B$36,0))),"N/A")</f>
        <v/>
      </c>
      <c r="N56" s="52">
        <f>IFERROR(IF(INDEX('CFOG'!$O$10:$O$16,MATCH($F56,'CFOG'!$B$10:$B$16,0))="","Cell will autofill based on response",INDEX('CFOG'!$O$10:$O$16,MATCH($F56,'CFOG'!$B$10:$B$16,0))),"N/A")</f>
        <v/>
      </c>
      <c r="O56" s="52">
        <f>IFERROR(IF(INDEX('CFOG'!$O$23:$O$24,MATCH($F56,'CFOG'!$B$23:$B$24,0))="","Cell will autofill based on response",INDEX('CFOG'!$O$23:$O$24,MATCH($F56,'CFOG'!$B$23:$B$24,0))),"N/A")</f>
        <v/>
      </c>
      <c r="P56" s="52">
        <f>IFERROR(IF(INDEX('ESG'!$O$10:$O$17,MATCH($F56,'ESG'!$B$10:$B$17,0))="","Cell will autofill based on response",INDEX('ESG'!$O$10:$O$17,MATCH($F56,'ESG'!$B$10:$B$17,0))),"N/A")</f>
        <v/>
      </c>
      <c r="Q56" s="52">
        <f>IFERROR(IF(INDEX('CIOG'!$O$10:$O$14,MATCH($F56,'CIOG'!$B$10:$B$14,0))="","Cell will autofill based on response",INDEX('CIOG'!$O$10:$O$14,MATCH($F56,'CIOG'!$B$10:$B$14,0))),"N/A")</f>
        <v/>
      </c>
      <c r="R56" s="52">
        <f>IFERROR(IF(INDEX('MRE'!$O$10:$O$18,MATCH($F56,'MRE'!$B$10:$B$18,0))="","Cell will autofill based on response",INDEX('MRE'!$O$10:$O$18,MATCH($F56,'MRE'!$B$10:$B$18,0))),"N/A")</f>
        <v/>
      </c>
      <c r="S56" s="52">
        <f>IFERROR(IF(INDEX('AC&amp;M'!$O$10:$O$14,MATCH($F56,'AC&amp;M'!$B$10:$B$14,0))="","Cell will autofill based on response",INDEX('AC&amp;M'!$O$10:$O$14,MATCH($F56,'AC&amp;M'!$B$10:$B$14,0))),"N/A")</f>
        <v/>
      </c>
      <c r="T56" s="52">
        <f>IFERROR(IF(INDEX('GCE'!$O$10:$O$12,MATCH($F56,'GCE'!$B$10:$B$12,0))="","Cell will autofill based on response",INDEX('GCE'!$O$10:$O$12,MATCH($F56,'GCE'!$B$10:$B$12,0))),"N/A")</f>
        <v/>
      </c>
      <c r="U56" s="52">
        <f>IFERROR(IF(INDEX('Education'!$O$10:$O$13,MATCH($F56,'Education'!$B$10:$B$13,0))="","Cell will autofill based on response",INDEX('Education'!$O$10:$O$13,MATCH($F56,'Education'!$B$10:$B$13,0))),"N/A")</f>
        <v/>
      </c>
      <c r="V56" s="52">
        <f>IFERROR(IF(INDEX('SaSS'!$O$10:$O$12,MATCH($F56,'SaSS'!$B$10:$B$12,0))="","Cell will autofill based on response",INDEX('SaSS'!$O$10:$O$12,MATCH($F56,'SaSS'!$B$10:$B$12,0))),"N/A")</f>
        <v/>
      </c>
      <c r="W56" s="52">
        <f>IFERROR(IF(INDEX('Indigenous'!$O$10:$O$11,MATCH($F56,'Indigenous'!$B$10:$B$11,0))="","Cell will autofill based on response",INDEX('Indigenous'!$O$10:$O$11,MATCH($F56,'Indigenous'!$B$10:$B$11,0))),"N/A")</f>
        <v/>
      </c>
      <c r="X56" s="52">
        <f>IFERROR(IF(INDEX('L&amp;R'!$O$10:$O$11,MATCH($F56,'L&amp;R'!$B$10:$B$11,0))="","Cell will autofill based on response",INDEX('L&amp;R'!$O$10:$O$11,MATCH($F56,'L&amp;R'!$B$10:$B$11,0))),"N/A")</f>
        <v/>
      </c>
    </row>
    <row r="57">
      <c r="A57">
        <f>F57&amp;"|"&amp;G57</f>
        <v/>
      </c>
      <c r="B57" s="13" t="inlineStr"/>
      <c r="C57" s="8" t="inlineStr"/>
      <c r="D57" s="8" t="inlineStr"/>
      <c r="E57" s="8" t="inlineStr"/>
      <c r="F57" s="8" t="inlineStr">
        <is>
          <t>TR1(d)</t>
        </is>
      </c>
      <c r="G57" s="8" t="inlineStr">
        <is>
          <t>Data source and limitations</t>
        </is>
      </c>
      <c r="H57" s="52">
        <f>IFERROR(IF(INDEX('Faculties'!$P$10:$P$19,MATCH($F57,'Faculties'!$B$10:$B$19,0))="","Cell will autofill based on response",INDEX('Faculties'!$P$10:$P$19,MATCH($F57,'Faculties'!$B$10:$B$19,0))),"N/A")</f>
        <v/>
      </c>
      <c r="I57" s="52">
        <f>IFERROR(IF(INDEX('Faculties'!$P$26:$P$35,MATCH($F57,'Faculties'!$B$26:$B$35,0))="","Cell will autofill based on response",INDEX('Faculties'!$P$26:$P$35,MATCH($F57,'Faculties'!$B$26:$B$35,0))),"N/A")</f>
        <v/>
      </c>
      <c r="J57" s="52">
        <f>IFERROR(IF(INDEX('Faculties'!$P$42:$P$51,MATCH($F57,'Faculties'!$B$42:$B$51,0))="","Cell will autofill based on response",INDEX('Faculties'!$P$42:$P$51,MATCH($F57,'Faculties'!$B$42:$B$51,0))),"N/A")</f>
        <v/>
      </c>
      <c r="K57" s="52">
        <f>IFERROR(IF(INDEX('Faculties'!$P$58:$P$67,MATCH($F57,'Faculties'!$B$58:$B$67,0))="","Cell will autofill based on response",INDEX('Faculties'!$P$58:$P$67,MATCH($F57,'Faculties'!$B$58:$B$67,0))),"N/A")</f>
        <v/>
      </c>
      <c r="L57" s="52">
        <f>IFERROR(IF(INDEX('CI&amp;S'!$P$10:$P$15,MATCH($F57,'CI&amp;S'!$B$10:$B$15,0))="","Cell will autofill based on response",INDEX('CI&amp;S'!$P$10:$P$15,MATCH($F57,'CI&amp;S'!$B$10:$B$15,0))),"N/A")</f>
        <v/>
      </c>
      <c r="M57" s="52">
        <f>IFERROR(IF(INDEX('CI&amp;S'!$P$22:$P$36,MATCH($F57,'CI&amp;S'!$B$22:$B$36,0))="","Cell will autofill based on response",INDEX('CI&amp;S'!$P$22:$P$36,MATCH($F57,'CI&amp;S'!$B$22:$B$36,0))),"N/A")</f>
        <v/>
      </c>
      <c r="N57" s="52">
        <f>IFERROR(IF(INDEX('CFOG'!$P$10:$P$16,MATCH($F57,'CFOG'!$B$10:$B$16,0))="","Cell will autofill based on response",INDEX('CFOG'!$P$10:$P$16,MATCH($F57,'CFOG'!$B$10:$B$16,0))),"N/A")</f>
        <v/>
      </c>
      <c r="O57" s="52">
        <f>IFERROR(IF(INDEX('CFOG'!$P$23:$P$24,MATCH($F57,'CFOG'!$B$23:$B$24,0))="","Cell will autofill based on response",INDEX('CFOG'!$P$23:$P$24,MATCH($F57,'CFOG'!$B$23:$B$24,0))),"N/A")</f>
        <v/>
      </c>
      <c r="P57" s="52">
        <f>IFERROR(IF(INDEX('ESG'!$P$10:$P$17,MATCH($F57,'ESG'!$B$10:$B$17,0))="","Cell will autofill based on response",INDEX('ESG'!$P$10:$P$17,MATCH($F57,'ESG'!$B$10:$B$17,0))),"N/A")</f>
        <v/>
      </c>
      <c r="Q57" s="52">
        <f>IFERROR(IF(INDEX('CIOG'!$P$10:$P$14,MATCH($F57,'CIOG'!$B$10:$B$14,0))="","Cell will autofill based on response",INDEX('CIOG'!$P$10:$P$14,MATCH($F57,'CIOG'!$B$10:$B$14,0))),"N/A")</f>
        <v/>
      </c>
      <c r="R57" s="52">
        <f>IFERROR(IF(INDEX('MRE'!$P$10:$P$18,MATCH($F57,'MRE'!$B$10:$B$18,0))="","Cell will autofill based on response",INDEX('MRE'!$P$10:$P$18,MATCH($F57,'MRE'!$B$10:$B$18,0))),"N/A")</f>
        <v/>
      </c>
      <c r="S57" s="52">
        <f>IFERROR(IF(INDEX('AC&amp;M'!$P$10:$P$14,MATCH($F57,'AC&amp;M'!$B$10:$B$14,0))="","Cell will autofill based on response",INDEX('AC&amp;M'!$P$10:$P$14,MATCH($F57,'AC&amp;M'!$B$10:$B$14,0))),"N/A")</f>
        <v/>
      </c>
      <c r="T57" s="52">
        <f>IFERROR(IF(INDEX('GCE'!$P$10:$P$12,MATCH($F57,'GCE'!$B$10:$B$12,0))="","Cell will autofill based on response",INDEX('GCE'!$P$10:$P$12,MATCH($F57,'GCE'!$B$10:$B$12,0))),"N/A")</f>
        <v/>
      </c>
      <c r="U57" s="52">
        <f>IFERROR(IF(INDEX('Education'!$P$10:$P$13,MATCH($F57,'Education'!$B$10:$B$13,0))="","Cell will autofill based on response",INDEX('Education'!$P$10:$P$13,MATCH($F57,'Education'!$B$10:$B$13,0))),"N/A")</f>
        <v/>
      </c>
      <c r="V57" s="52">
        <f>IFERROR(IF(INDEX('SaSS'!$P$10:$P$12,MATCH($F57,'SaSS'!$B$10:$B$12,0))="","Cell will autofill based on response",INDEX('SaSS'!$P$10:$P$12,MATCH($F57,'SaSS'!$B$10:$B$12,0))),"N/A")</f>
        <v/>
      </c>
      <c r="W57" s="52">
        <f>IFERROR(IF(INDEX('Indigenous'!$P$10:$P$11,MATCH($F57,'Indigenous'!$B$10:$B$11,0))="","Cell will autofill based on response",INDEX('Indigenous'!$P$10:$P$11,MATCH($F57,'Indigenous'!$B$10:$B$11,0))),"N/A")</f>
        <v/>
      </c>
      <c r="X57" s="52">
        <f>IFERROR(IF(INDEX('L&amp;R'!$P$10:$P$11,MATCH($F57,'L&amp;R'!$B$10:$B$11,0))="","Cell will autofill based on response",INDEX('L&amp;R'!$P$10:$P$11,MATCH($F57,'L&amp;R'!$B$10:$B$11,0))),"N/A")</f>
        <v/>
      </c>
    </row>
    <row r="58">
      <c r="A58">
        <f>F58&amp;"|"&amp;G58</f>
        <v/>
      </c>
      <c r="B58" s="13" t="inlineStr"/>
      <c r="C58" s="8" t="inlineStr"/>
      <c r="D58" s="8" t="inlineStr"/>
      <c r="E58" s="8" t="inlineStr"/>
      <c r="F58" s="8" t="inlineStr">
        <is>
          <t>TR1(d)</t>
        </is>
      </c>
      <c r="G58" s="8" t="inlineStr">
        <is>
          <t>Data owner confirms</t>
        </is>
      </c>
      <c r="H58" s="52">
        <f>IFERROR(IF(INDEX('Faculties'!$Q$10:$Q$19,MATCH($F58,'Faculties'!$B$10:$B$19,0))="","Cell will autofill based on response",INDEX('Faculties'!$Q$10:$Q$19,MATCH($F58,'Faculties'!$B$10:$B$19,0))),"N/A")</f>
        <v/>
      </c>
      <c r="I58" s="52">
        <f>IFERROR(IF(INDEX('Faculties'!$Q$26:$Q$35,MATCH($F58,'Faculties'!$B$26:$B$35,0))="","Cell will autofill based on response",INDEX('Faculties'!$Q$26:$Q$35,MATCH($F58,'Faculties'!$B$26:$B$35,0))),"N/A")</f>
        <v/>
      </c>
      <c r="J58" s="52">
        <f>IFERROR(IF(INDEX('Faculties'!$Q$42:$Q$51,MATCH($F58,'Faculties'!$B$42:$B$51,0))="","Cell will autofill based on response",INDEX('Faculties'!$Q$42:$Q$51,MATCH($F58,'Faculties'!$B$42:$B$51,0))),"N/A")</f>
        <v/>
      </c>
      <c r="K58" s="52">
        <f>IFERROR(IF(INDEX('Faculties'!$Q$58:$Q$67,MATCH($F58,'Faculties'!$B$58:$B$67,0))="","Cell will autofill based on response",INDEX('Faculties'!$Q$58:$Q$67,MATCH($F58,'Faculties'!$B$58:$B$67,0))),"N/A")</f>
        <v/>
      </c>
      <c r="L58" s="52">
        <f>IFERROR(IF(INDEX('CI&amp;S'!$Q$10:$Q$15,MATCH($F58,'CI&amp;S'!$B$10:$B$15,0))="","Cell will autofill based on response",INDEX('CI&amp;S'!$Q$10:$Q$15,MATCH($F58,'CI&amp;S'!$B$10:$B$15,0))),"N/A")</f>
        <v/>
      </c>
      <c r="M58" s="52">
        <f>IFERROR(IF(INDEX('CI&amp;S'!$Q$22:$Q$36,MATCH($F58,'CI&amp;S'!$B$22:$B$36,0))="","Cell will autofill based on response",INDEX('CI&amp;S'!$Q$22:$Q$36,MATCH($F58,'CI&amp;S'!$B$22:$B$36,0))),"N/A")</f>
        <v/>
      </c>
      <c r="N58" s="52">
        <f>IFERROR(IF(INDEX('CFOG'!$Q$10:$Q$16,MATCH($F58,'CFOG'!$B$10:$B$16,0))="","Cell will autofill based on response",INDEX('CFOG'!$Q$10:$Q$16,MATCH($F58,'CFOG'!$B$10:$B$16,0))),"N/A")</f>
        <v/>
      </c>
      <c r="O58" s="52">
        <f>IFERROR(IF(INDEX('CFOG'!$Q$23:$Q$24,MATCH($F58,'CFOG'!$B$23:$B$24,0))="","Cell will autofill based on response",INDEX('CFOG'!$Q$23:$Q$24,MATCH($F58,'CFOG'!$B$23:$B$24,0))),"N/A")</f>
        <v/>
      </c>
      <c r="P58" s="52">
        <f>IFERROR(IF(INDEX('ESG'!$Q$10:$Q$17,MATCH($F58,'ESG'!$B$10:$B$17,0))="","Cell will autofill based on response",INDEX('ESG'!$Q$10:$Q$17,MATCH($F58,'ESG'!$B$10:$B$17,0))),"N/A")</f>
        <v/>
      </c>
      <c r="Q58" s="52">
        <f>IFERROR(IF(INDEX('CIOG'!$Q$10:$Q$14,MATCH($F58,'CIOG'!$B$10:$B$14,0))="","Cell will autofill based on response",INDEX('CIOG'!$Q$10:$Q$14,MATCH($F58,'CIOG'!$B$10:$B$14,0))),"N/A")</f>
        <v/>
      </c>
      <c r="R58" s="52">
        <f>IFERROR(IF(INDEX('MRE'!$Q$10:$Q$18,MATCH($F58,'MRE'!$B$10:$B$18,0))="","Cell will autofill based on response",INDEX('MRE'!$Q$10:$Q$18,MATCH($F58,'MRE'!$B$10:$B$18,0))),"N/A")</f>
        <v/>
      </c>
      <c r="S58" s="52">
        <f>IFERROR(IF(INDEX('AC&amp;M'!$Q$10:$Q$14,MATCH($F58,'AC&amp;M'!$B$10:$B$14,0))="","Cell will autofill based on response",INDEX('AC&amp;M'!$Q$10:$Q$14,MATCH($F58,'AC&amp;M'!$B$10:$B$14,0))),"N/A")</f>
        <v/>
      </c>
      <c r="T58" s="52">
        <f>IFERROR(IF(INDEX('GCE'!$Q$10:$Q$12,MATCH($F58,'GCE'!$B$10:$B$12,0))="","Cell will autofill based on response",INDEX('GCE'!$Q$10:$Q$12,MATCH($F58,'GCE'!$B$10:$B$12,0))),"N/A")</f>
        <v/>
      </c>
      <c r="U58" s="52">
        <f>IFERROR(IF(INDEX('Education'!$Q$10:$Q$13,MATCH($F58,'Education'!$B$10:$B$13,0))="","Cell will autofill based on response",INDEX('Education'!$Q$10:$Q$13,MATCH($F58,'Education'!$B$10:$B$13,0))),"N/A")</f>
        <v/>
      </c>
      <c r="V58" s="52">
        <f>IFERROR(IF(INDEX('SaSS'!$Q$10:$Q$12,MATCH($F58,'SaSS'!$B$10:$B$12,0))="","Cell will autofill based on response",INDEX('SaSS'!$Q$10:$Q$12,MATCH($F58,'SaSS'!$B$10:$B$12,0))),"N/A")</f>
        <v/>
      </c>
      <c r="W58" s="52">
        <f>IFERROR(IF(INDEX('Indigenous'!$Q$10:$Q$11,MATCH($F58,'Indigenous'!$B$10:$B$11,0))="","Cell will autofill based on response",INDEX('Indigenous'!$Q$10:$Q$11,MATCH($F58,'Indigenous'!$B$10:$B$11,0))),"N/A")</f>
        <v/>
      </c>
      <c r="X58" s="52">
        <f>IFERROR(IF(INDEX('L&amp;R'!$Q$10:$Q$11,MATCH($F58,'L&amp;R'!$B$10:$B$11,0))="","Cell will autofill based on response",INDEX('L&amp;R'!$Q$10:$Q$11,MATCH($F58,'L&amp;R'!$B$10:$B$11,0))),"N/A")</f>
        <v/>
      </c>
    </row>
    <row r="59">
      <c r="A59">
        <f>F59&amp;"|"&amp;G59</f>
        <v/>
      </c>
      <c r="B59" s="7" t="inlineStr">
        <is>
          <t>TR2(a)</t>
        </is>
      </c>
      <c r="C59" s="50" t="inlineStr">
        <is>
          <t>Transformational research</t>
        </is>
      </c>
      <c r="D59" s="50" t="inlineStr">
        <is>
          <t>Evidence of sustainability-related research impact across diverse pathways, could include policy, industry, community, practice, cultural and institutional outcomes</t>
        </is>
      </c>
      <c r="E59" s="50"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9" s="50" t="inlineStr">
        <is>
          <t>TR2(a)</t>
        </is>
      </c>
      <c r="G59" s="50" t="inlineStr">
        <is>
          <t>Confirm end-2026 target status</t>
        </is>
      </c>
      <c r="H59" s="52">
        <f>IFERROR(IF(INDEX('Faculties'!$L$10:$L$19,MATCH($F59,'Faculties'!$B$10:$B$19,0))="","Cell will autofill based on response",INDEX('Faculties'!$L$10:$L$19,MATCH($F59,'Faculties'!$B$10:$B$19,0))),"N/A")</f>
        <v/>
      </c>
      <c r="I59" s="52">
        <f>IFERROR(IF(INDEX('Faculties'!$L$26:$L$35,MATCH($F59,'Faculties'!$B$26:$B$35,0))="","Cell will autofill based on response",INDEX('Faculties'!$L$26:$L$35,MATCH($F59,'Faculties'!$B$26:$B$35,0))),"N/A")</f>
        <v/>
      </c>
      <c r="J59" s="52">
        <f>IFERROR(IF(INDEX('Faculties'!$L$42:$L$51,MATCH($F59,'Faculties'!$B$42:$B$51,0))="","Cell will autofill based on response",INDEX('Faculties'!$L$42:$L$51,MATCH($F59,'Faculties'!$B$42:$B$51,0))),"N/A")</f>
        <v/>
      </c>
      <c r="K59" s="52">
        <f>IFERROR(IF(INDEX('Faculties'!$L$58:$L$67,MATCH($F59,'Faculties'!$B$58:$B$67,0))="","Cell will autofill based on response",INDEX('Faculties'!$L$58:$L$67,MATCH($F59,'Faculties'!$B$58:$B$67,0))),"N/A")</f>
        <v/>
      </c>
      <c r="L59" s="52">
        <f>IFERROR(IF(INDEX('CI&amp;S'!$L$10:$L$15,MATCH($F59,'CI&amp;S'!$B$10:$B$15,0))="","Cell will autofill based on response",INDEX('CI&amp;S'!$L$10:$L$15,MATCH($F59,'CI&amp;S'!$B$10:$B$15,0))),"N/A")</f>
        <v/>
      </c>
      <c r="M59" s="52">
        <f>IFERROR(IF(INDEX('CI&amp;S'!$L$22:$L$36,MATCH($F59,'CI&amp;S'!$B$22:$B$36,0))="","Cell will autofill based on response",INDEX('CI&amp;S'!$L$22:$L$36,MATCH($F59,'CI&amp;S'!$B$22:$B$36,0))),"N/A")</f>
        <v/>
      </c>
      <c r="N59" s="52">
        <f>IFERROR(IF(INDEX('CFOG'!$L$10:$L$16,MATCH($F59,'CFOG'!$B$10:$B$16,0))="","Cell will autofill based on response",INDEX('CFOG'!$L$10:$L$16,MATCH($F59,'CFOG'!$B$10:$B$16,0))),"N/A")</f>
        <v/>
      </c>
      <c r="O59" s="52">
        <f>IFERROR(IF(INDEX('CFOG'!$L$23:$L$24,MATCH($F59,'CFOG'!$B$23:$B$24,0))="","Cell will autofill based on response",INDEX('CFOG'!$L$23:$L$24,MATCH($F59,'CFOG'!$B$23:$B$24,0))),"N/A")</f>
        <v/>
      </c>
      <c r="P59" s="52">
        <f>IFERROR(IF(INDEX('ESG'!$L$10:$L$17,MATCH($F59,'ESG'!$B$10:$B$17,0))="","Cell will autofill based on response",INDEX('ESG'!$L$10:$L$17,MATCH($F59,'ESG'!$B$10:$B$17,0))),"N/A")</f>
        <v/>
      </c>
      <c r="Q59" s="52">
        <f>IFERROR(IF(INDEX('CIOG'!$L$10:$L$14,MATCH($F59,'CIOG'!$B$10:$B$14,0))="","Cell will autofill based on response",INDEX('CIOG'!$L$10:$L$14,MATCH($F59,'CIOG'!$B$10:$B$14,0))),"N/A")</f>
        <v/>
      </c>
      <c r="R59" s="52">
        <f>IFERROR(IF(INDEX('MRE'!$L$10:$L$18,MATCH($F59,'MRE'!$B$10:$B$18,0))="","Cell will autofill based on response",INDEX('MRE'!$L$10:$L$18,MATCH($F59,'MRE'!$B$10:$B$18,0))),"N/A")</f>
        <v/>
      </c>
      <c r="S59" s="52">
        <f>IFERROR(IF(INDEX('AC&amp;M'!$L$10:$L$14,MATCH($F59,'AC&amp;M'!$B$10:$B$14,0))="","Cell will autofill based on response",INDEX('AC&amp;M'!$L$10:$L$14,MATCH($F59,'AC&amp;M'!$B$10:$B$14,0))),"N/A")</f>
        <v/>
      </c>
      <c r="T59" s="52">
        <f>IFERROR(IF(INDEX('GCE'!$L$10:$L$12,MATCH($F59,'GCE'!$B$10:$B$12,0))="","Cell will autofill based on response",INDEX('GCE'!$L$10:$L$12,MATCH($F59,'GCE'!$B$10:$B$12,0))),"N/A")</f>
        <v/>
      </c>
      <c r="U59" s="52">
        <f>IFERROR(IF(INDEX('Education'!$L$10:$L$13,MATCH($F59,'Education'!$B$10:$B$13,0))="","Cell will autofill based on response",INDEX('Education'!$L$10:$L$13,MATCH($F59,'Education'!$B$10:$B$13,0))),"N/A")</f>
        <v/>
      </c>
      <c r="V59" s="52">
        <f>IFERROR(IF(INDEX('SaSS'!$L$10:$L$12,MATCH($F59,'SaSS'!$B$10:$B$12,0))="","Cell will autofill based on response",INDEX('SaSS'!$L$10:$L$12,MATCH($F59,'SaSS'!$B$10:$B$12,0))),"N/A")</f>
        <v/>
      </c>
      <c r="W59" s="52">
        <f>IFERROR(IF(INDEX('Indigenous'!$L$10:$L$11,MATCH($F59,'Indigenous'!$B$10:$B$11,0))="","Cell will autofill based on response",INDEX('Indigenous'!$L$10:$L$11,MATCH($F59,'Indigenous'!$B$10:$B$11,0))),"N/A")</f>
        <v/>
      </c>
      <c r="X59" s="52">
        <f>IFERROR(IF(INDEX('L&amp;R'!$L$10:$L$11,MATCH($F59,'L&amp;R'!$B$10:$B$11,0))="","Cell will autofill based on response",INDEX('L&amp;R'!$L$10:$L$11,MATCH($F59,'L&amp;R'!$B$10:$B$11,0))),"N/A")</f>
        <v/>
      </c>
      <c r="Z59" s="10">
        <f>COUNTIF($H59:$X59,"Cell will autofill based on response")</f>
        <v/>
      </c>
      <c r="AA59" s="10">
        <f>COUNTIF($H59:$X59,"Not yet started")</f>
        <v/>
      </c>
      <c r="AB59" s="10">
        <f>COUNTIF($H59:$X59,"Not met")</f>
        <v/>
      </c>
      <c r="AC59" s="10">
        <f>COUNTIF($H59:$X59,"Partially met")</f>
        <v/>
      </c>
      <c r="AD59" s="10">
        <f>COUNTIF($H59:$X59,"Met or exceeded")</f>
        <v/>
      </c>
      <c r="AE59" s="10">
        <f>3*AD59+2*AC59+AB59</f>
        <v/>
      </c>
      <c r="AF59" s="10">
        <f>AD59+AC59+AB59+AA59</f>
        <v/>
      </c>
      <c r="AG59" s="53">
        <f>IF(AF59&gt;0,AE59/AF59,"No valid responses to date")</f>
        <v/>
      </c>
      <c r="AH59" s="10">
        <f>IF(ISNUMBER(AG59),INDEX(Lists!$G$2:$G$5,MATCH(ROUND(AG59,0),Lists!$H$2:$H$5,0)),"")</f>
        <v/>
      </c>
      <c r="AI59" s="54">
        <f>IF(AF59&gt;0,AD59/AF59,"")</f>
        <v/>
      </c>
      <c r="AJ59" s="54">
        <f>IF(AF59&gt;0,(AD59+AC59)/AF59,"")</f>
        <v/>
      </c>
      <c r="AK59" s="10">
        <f>IF(AF59=0,"",IF(AI59&gt;0.75,"Met or exceeded",IF(AJ59&gt;=0.5,"Partially met","Not met")))</f>
        <v/>
      </c>
    </row>
    <row r="60">
      <c r="A60">
        <f>F60&amp;"|"&amp;G60</f>
        <v/>
      </c>
      <c r="B60" s="13" t="inlineStr"/>
      <c r="C60" s="8" t="inlineStr"/>
      <c r="D60" s="8" t="inlineStr"/>
      <c r="E60" s="8" t="inlineStr"/>
      <c r="F60" s="8" t="inlineStr">
        <is>
          <t>TR2(a)</t>
        </is>
      </c>
      <c r="G60" s="8" t="inlineStr">
        <is>
          <t>OPTION 1:  Target-level reporting</t>
        </is>
      </c>
      <c r="H60" s="52">
        <f>IFERROR(IF(INDEX('Faculties'!$M$10:$M$19,MATCH($F60,'Faculties'!$B$10:$B$19,0))="","Cell will autofill based on response",INDEX('Faculties'!$M$10:$M$19,MATCH($F60,'Faculties'!$B$10:$B$19,0))),"N/A")</f>
        <v/>
      </c>
      <c r="I60" s="52">
        <f>IFERROR(IF(INDEX('Faculties'!$M$26:$M$35,MATCH($F60,'Faculties'!$B$26:$B$35,0))="","Cell will autofill based on response",INDEX('Faculties'!$M$26:$M$35,MATCH($F60,'Faculties'!$B$26:$B$35,0))),"N/A")</f>
        <v/>
      </c>
      <c r="J60" s="52">
        <f>IFERROR(IF(INDEX('Faculties'!$M$42:$M$51,MATCH($F60,'Faculties'!$B$42:$B$51,0))="","Cell will autofill based on response",INDEX('Faculties'!$M$42:$M$51,MATCH($F60,'Faculties'!$B$42:$B$51,0))),"N/A")</f>
        <v/>
      </c>
      <c r="K60" s="52">
        <f>IFERROR(IF(INDEX('Faculties'!$M$58:$M$67,MATCH($F60,'Faculties'!$B$58:$B$67,0))="","Cell will autofill based on response",INDEX('Faculties'!$M$58:$M$67,MATCH($F60,'Faculties'!$B$58:$B$67,0))),"N/A")</f>
        <v/>
      </c>
      <c r="L60" s="52">
        <f>IFERROR(IF(INDEX('CI&amp;S'!$M$10:$M$15,MATCH($F60,'CI&amp;S'!$B$10:$B$15,0))="","Cell will autofill based on response",INDEX('CI&amp;S'!$M$10:$M$15,MATCH($F60,'CI&amp;S'!$B$10:$B$15,0))),"N/A")</f>
        <v/>
      </c>
      <c r="M60" s="52">
        <f>IFERROR(IF(INDEX('CI&amp;S'!$M$22:$M$36,MATCH($F60,'CI&amp;S'!$B$22:$B$36,0))="","Cell will autofill based on response",INDEX('CI&amp;S'!$M$22:$M$36,MATCH($F60,'CI&amp;S'!$B$22:$B$36,0))),"N/A")</f>
        <v/>
      </c>
      <c r="N60" s="52">
        <f>IFERROR(IF(INDEX('CFOG'!$M$10:$M$16,MATCH($F60,'CFOG'!$B$10:$B$16,0))="","Cell will autofill based on response",INDEX('CFOG'!$M$10:$M$16,MATCH($F60,'CFOG'!$B$10:$B$16,0))),"N/A")</f>
        <v/>
      </c>
      <c r="O60" s="52">
        <f>IFERROR(IF(INDEX('CFOG'!$M$23:$M$24,MATCH($F60,'CFOG'!$B$23:$B$24,0))="","Cell will autofill based on response",INDEX('CFOG'!$M$23:$M$24,MATCH($F60,'CFOG'!$B$23:$B$24,0))),"N/A")</f>
        <v/>
      </c>
      <c r="P60" s="52">
        <f>IFERROR(IF(INDEX('ESG'!$M$10:$M$17,MATCH($F60,'ESG'!$B$10:$B$17,0))="","Cell will autofill based on response",INDEX('ESG'!$M$10:$M$17,MATCH($F60,'ESG'!$B$10:$B$17,0))),"N/A")</f>
        <v/>
      </c>
      <c r="Q60" s="52">
        <f>IFERROR(IF(INDEX('CIOG'!$M$10:$M$14,MATCH($F60,'CIOG'!$B$10:$B$14,0))="","Cell will autofill based on response",INDEX('CIOG'!$M$10:$M$14,MATCH($F60,'CIOG'!$B$10:$B$14,0))),"N/A")</f>
        <v/>
      </c>
      <c r="R60" s="52">
        <f>IFERROR(IF(INDEX('MRE'!$M$10:$M$18,MATCH($F60,'MRE'!$B$10:$B$18,0))="","Cell will autofill based on response",INDEX('MRE'!$M$10:$M$18,MATCH($F60,'MRE'!$B$10:$B$18,0))),"N/A")</f>
        <v/>
      </c>
      <c r="S60" s="52">
        <f>IFERROR(IF(INDEX('AC&amp;M'!$M$10:$M$14,MATCH($F60,'AC&amp;M'!$B$10:$B$14,0))="","Cell will autofill based on response",INDEX('AC&amp;M'!$M$10:$M$14,MATCH($F60,'AC&amp;M'!$B$10:$B$14,0))),"N/A")</f>
        <v/>
      </c>
      <c r="T60" s="52">
        <f>IFERROR(IF(INDEX('GCE'!$M$10:$M$12,MATCH($F60,'GCE'!$B$10:$B$12,0))="","Cell will autofill based on response",INDEX('GCE'!$M$10:$M$12,MATCH($F60,'GCE'!$B$10:$B$12,0))),"N/A")</f>
        <v/>
      </c>
      <c r="U60" s="52">
        <f>IFERROR(IF(INDEX('Education'!$M$10:$M$13,MATCH($F60,'Education'!$B$10:$B$13,0))="","Cell will autofill based on response",INDEX('Education'!$M$10:$M$13,MATCH($F60,'Education'!$B$10:$B$13,0))),"N/A")</f>
        <v/>
      </c>
      <c r="V60" s="52">
        <f>IFERROR(IF(INDEX('SaSS'!$M$10:$M$12,MATCH($F60,'SaSS'!$B$10:$B$12,0))="","Cell will autofill based on response",INDEX('SaSS'!$M$10:$M$12,MATCH($F60,'SaSS'!$B$10:$B$12,0))),"N/A")</f>
        <v/>
      </c>
      <c r="W60" s="52">
        <f>IFERROR(IF(INDEX('Indigenous'!$M$10:$M$11,MATCH($F60,'Indigenous'!$B$10:$B$11,0))="","Cell will autofill based on response",INDEX('Indigenous'!$M$10:$M$11,MATCH($F60,'Indigenous'!$B$10:$B$11,0))),"N/A")</f>
        <v/>
      </c>
      <c r="X60" s="52">
        <f>IFERROR(IF(INDEX('L&amp;R'!$M$10:$M$11,MATCH($F60,'L&amp;R'!$B$10:$B$11,0))="","Cell will autofill based on response",INDEX('L&amp;R'!$M$10:$M$11,MATCH($F60,'L&amp;R'!$B$10:$B$11,0))),"N/A")</f>
        <v/>
      </c>
    </row>
    <row r="61">
      <c r="A61">
        <f>F61&amp;"|"&amp;G61</f>
        <v/>
      </c>
      <c r="B61" s="13" t="inlineStr"/>
      <c r="C61" s="8" t="inlineStr"/>
      <c r="D61" s="8" t="inlineStr"/>
      <c r="E61" s="8" t="inlineStr"/>
      <c r="F61" s="8" t="inlineStr">
        <is>
          <t>TR2(a)</t>
        </is>
      </c>
      <c r="G61" s="8" t="inlineStr">
        <is>
          <t>OPTION 2:  Indicator level reporting</t>
        </is>
      </c>
      <c r="H61" s="52">
        <f>IFERROR(IF(INDEX('Faculties'!$N$10:$N$19,MATCH($F61,'Faculties'!$B$10:$B$19,0))="","Cell will autofill based on response",INDEX('Faculties'!$N$10:$N$19,MATCH($F61,'Faculties'!$B$10:$B$19,0))),"N/A")</f>
        <v/>
      </c>
      <c r="I61" s="52">
        <f>IFERROR(IF(INDEX('Faculties'!$N$26:$N$35,MATCH($F61,'Faculties'!$B$26:$B$35,0))="","Cell will autofill based on response",INDEX('Faculties'!$N$26:$N$35,MATCH($F61,'Faculties'!$B$26:$B$35,0))),"N/A")</f>
        <v/>
      </c>
      <c r="J61" s="52">
        <f>IFERROR(IF(INDEX('Faculties'!$N$42:$N$51,MATCH($F61,'Faculties'!$B$42:$B$51,0))="","Cell will autofill based on response",INDEX('Faculties'!$N$42:$N$51,MATCH($F61,'Faculties'!$B$42:$B$51,0))),"N/A")</f>
        <v/>
      </c>
      <c r="K61" s="52">
        <f>IFERROR(IF(INDEX('Faculties'!$N$58:$N$67,MATCH($F61,'Faculties'!$B$58:$B$67,0))="","Cell will autofill based on response",INDEX('Faculties'!$N$58:$N$67,MATCH($F61,'Faculties'!$B$58:$B$67,0))),"N/A")</f>
        <v/>
      </c>
      <c r="L61" s="52">
        <f>IFERROR(IF(INDEX('CI&amp;S'!$N$10:$N$15,MATCH($F61,'CI&amp;S'!$B$10:$B$15,0))="","Cell will autofill based on response",INDEX('CI&amp;S'!$N$10:$N$15,MATCH($F61,'CI&amp;S'!$B$10:$B$15,0))),"N/A")</f>
        <v/>
      </c>
      <c r="M61" s="52">
        <f>IFERROR(IF(INDEX('CI&amp;S'!$N$22:$N$36,MATCH($F61,'CI&amp;S'!$B$22:$B$36,0))="","Cell will autofill based on response",INDEX('CI&amp;S'!$N$22:$N$36,MATCH($F61,'CI&amp;S'!$B$22:$B$36,0))),"N/A")</f>
        <v/>
      </c>
      <c r="N61" s="52">
        <f>IFERROR(IF(INDEX('CFOG'!$N$10:$N$16,MATCH($F61,'CFOG'!$B$10:$B$16,0))="","Cell will autofill based on response",INDEX('CFOG'!$N$10:$N$16,MATCH($F61,'CFOG'!$B$10:$B$16,0))),"N/A")</f>
        <v/>
      </c>
      <c r="O61" s="52">
        <f>IFERROR(IF(INDEX('CFOG'!$N$23:$N$24,MATCH($F61,'CFOG'!$B$23:$B$24,0))="","Cell will autofill based on response",INDEX('CFOG'!$N$23:$N$24,MATCH($F61,'CFOG'!$B$23:$B$24,0))),"N/A")</f>
        <v/>
      </c>
      <c r="P61" s="52">
        <f>IFERROR(IF(INDEX('ESG'!$N$10:$N$17,MATCH($F61,'ESG'!$B$10:$B$17,0))="","Cell will autofill based on response",INDEX('ESG'!$N$10:$N$17,MATCH($F61,'ESG'!$B$10:$B$17,0))),"N/A")</f>
        <v/>
      </c>
      <c r="Q61" s="52">
        <f>IFERROR(IF(INDEX('CIOG'!$N$10:$N$14,MATCH($F61,'CIOG'!$B$10:$B$14,0))="","Cell will autofill based on response",INDEX('CIOG'!$N$10:$N$14,MATCH($F61,'CIOG'!$B$10:$B$14,0))),"N/A")</f>
        <v/>
      </c>
      <c r="R61" s="52">
        <f>IFERROR(IF(INDEX('MRE'!$N$10:$N$18,MATCH($F61,'MRE'!$B$10:$B$18,0))="","Cell will autofill based on response",INDEX('MRE'!$N$10:$N$18,MATCH($F61,'MRE'!$B$10:$B$18,0))),"N/A")</f>
        <v/>
      </c>
      <c r="S61" s="52">
        <f>IFERROR(IF(INDEX('AC&amp;M'!$N$10:$N$14,MATCH($F61,'AC&amp;M'!$B$10:$B$14,0))="","Cell will autofill based on response",INDEX('AC&amp;M'!$N$10:$N$14,MATCH($F61,'AC&amp;M'!$B$10:$B$14,0))),"N/A")</f>
        <v/>
      </c>
      <c r="T61" s="52">
        <f>IFERROR(IF(INDEX('GCE'!$N$10:$N$12,MATCH($F61,'GCE'!$B$10:$B$12,0))="","Cell will autofill based on response",INDEX('GCE'!$N$10:$N$12,MATCH($F61,'GCE'!$B$10:$B$12,0))),"N/A")</f>
        <v/>
      </c>
      <c r="U61" s="52">
        <f>IFERROR(IF(INDEX('Education'!$N$10:$N$13,MATCH($F61,'Education'!$B$10:$B$13,0))="","Cell will autofill based on response",INDEX('Education'!$N$10:$N$13,MATCH($F61,'Education'!$B$10:$B$13,0))),"N/A")</f>
        <v/>
      </c>
      <c r="V61" s="52">
        <f>IFERROR(IF(INDEX('SaSS'!$N$10:$N$12,MATCH($F61,'SaSS'!$B$10:$B$12,0))="","Cell will autofill based on response",INDEX('SaSS'!$N$10:$N$12,MATCH($F61,'SaSS'!$B$10:$B$12,0))),"N/A")</f>
        <v/>
      </c>
      <c r="W61" s="52">
        <f>IFERROR(IF(INDEX('Indigenous'!$N$10:$N$11,MATCH($F61,'Indigenous'!$B$10:$B$11,0))="","Cell will autofill based on response",INDEX('Indigenous'!$N$10:$N$11,MATCH($F61,'Indigenous'!$B$10:$B$11,0))),"N/A")</f>
        <v/>
      </c>
      <c r="X61" s="52">
        <f>IFERROR(IF(INDEX('L&amp;R'!$N$10:$N$11,MATCH($F61,'L&amp;R'!$B$10:$B$11,0))="","Cell will autofill based on response",INDEX('L&amp;R'!$N$10:$N$11,MATCH($F61,'L&amp;R'!$B$10:$B$11,0))),"N/A")</f>
        <v/>
      </c>
    </row>
    <row r="62">
      <c r="A62">
        <f>F62&amp;"|"&amp;G62</f>
        <v/>
      </c>
      <c r="B62" s="13" t="inlineStr"/>
      <c r="C62" s="8" t="inlineStr"/>
      <c r="D62" s="8" t="inlineStr"/>
      <c r="E62" s="8" t="inlineStr"/>
      <c r="F62" s="8" t="inlineStr">
        <is>
          <t>TR2(a)</t>
        </is>
      </c>
      <c r="G62" s="8" t="inlineStr">
        <is>
          <t>Supporting information/comments</t>
        </is>
      </c>
      <c r="H62" s="52">
        <f>IFERROR(IF(INDEX('Faculties'!$O$10:$O$19,MATCH($F62,'Faculties'!$B$10:$B$19,0))="","Cell will autofill based on response",INDEX('Faculties'!$O$10:$O$19,MATCH($F62,'Faculties'!$B$10:$B$19,0))),"N/A")</f>
        <v/>
      </c>
      <c r="I62" s="52">
        <f>IFERROR(IF(INDEX('Faculties'!$O$26:$O$35,MATCH($F62,'Faculties'!$B$26:$B$35,0))="","Cell will autofill based on response",INDEX('Faculties'!$O$26:$O$35,MATCH($F62,'Faculties'!$B$26:$B$35,0))),"N/A")</f>
        <v/>
      </c>
      <c r="J62" s="52">
        <f>IFERROR(IF(INDEX('Faculties'!$O$42:$O$51,MATCH($F62,'Faculties'!$B$42:$B$51,0))="","Cell will autofill based on response",INDEX('Faculties'!$O$42:$O$51,MATCH($F62,'Faculties'!$B$42:$B$51,0))),"N/A")</f>
        <v/>
      </c>
      <c r="K62" s="52">
        <f>IFERROR(IF(INDEX('Faculties'!$O$58:$O$67,MATCH($F62,'Faculties'!$B$58:$B$67,0))="","Cell will autofill based on response",INDEX('Faculties'!$O$58:$O$67,MATCH($F62,'Faculties'!$B$58:$B$67,0))),"N/A")</f>
        <v/>
      </c>
      <c r="L62" s="52">
        <f>IFERROR(IF(INDEX('CI&amp;S'!$O$10:$O$15,MATCH($F62,'CI&amp;S'!$B$10:$B$15,0))="","Cell will autofill based on response",INDEX('CI&amp;S'!$O$10:$O$15,MATCH($F62,'CI&amp;S'!$B$10:$B$15,0))),"N/A")</f>
        <v/>
      </c>
      <c r="M62" s="52">
        <f>IFERROR(IF(INDEX('CI&amp;S'!$O$22:$O$36,MATCH($F62,'CI&amp;S'!$B$22:$B$36,0))="","Cell will autofill based on response",INDEX('CI&amp;S'!$O$22:$O$36,MATCH($F62,'CI&amp;S'!$B$22:$B$36,0))),"N/A")</f>
        <v/>
      </c>
      <c r="N62" s="52">
        <f>IFERROR(IF(INDEX('CFOG'!$O$10:$O$16,MATCH($F62,'CFOG'!$B$10:$B$16,0))="","Cell will autofill based on response",INDEX('CFOG'!$O$10:$O$16,MATCH($F62,'CFOG'!$B$10:$B$16,0))),"N/A")</f>
        <v/>
      </c>
      <c r="O62" s="52">
        <f>IFERROR(IF(INDEX('CFOG'!$O$23:$O$24,MATCH($F62,'CFOG'!$B$23:$B$24,0))="","Cell will autofill based on response",INDEX('CFOG'!$O$23:$O$24,MATCH($F62,'CFOG'!$B$23:$B$24,0))),"N/A")</f>
        <v/>
      </c>
      <c r="P62" s="52">
        <f>IFERROR(IF(INDEX('ESG'!$O$10:$O$17,MATCH($F62,'ESG'!$B$10:$B$17,0))="","Cell will autofill based on response",INDEX('ESG'!$O$10:$O$17,MATCH($F62,'ESG'!$B$10:$B$17,0))),"N/A")</f>
        <v/>
      </c>
      <c r="Q62" s="52">
        <f>IFERROR(IF(INDEX('CIOG'!$O$10:$O$14,MATCH($F62,'CIOG'!$B$10:$B$14,0))="","Cell will autofill based on response",INDEX('CIOG'!$O$10:$O$14,MATCH($F62,'CIOG'!$B$10:$B$14,0))),"N/A")</f>
        <v/>
      </c>
      <c r="R62" s="52">
        <f>IFERROR(IF(INDEX('MRE'!$O$10:$O$18,MATCH($F62,'MRE'!$B$10:$B$18,0))="","Cell will autofill based on response",INDEX('MRE'!$O$10:$O$18,MATCH($F62,'MRE'!$B$10:$B$18,0))),"N/A")</f>
        <v/>
      </c>
      <c r="S62" s="52">
        <f>IFERROR(IF(INDEX('AC&amp;M'!$O$10:$O$14,MATCH($F62,'AC&amp;M'!$B$10:$B$14,0))="","Cell will autofill based on response",INDEX('AC&amp;M'!$O$10:$O$14,MATCH($F62,'AC&amp;M'!$B$10:$B$14,0))),"N/A")</f>
        <v/>
      </c>
      <c r="T62" s="52">
        <f>IFERROR(IF(INDEX('GCE'!$O$10:$O$12,MATCH($F62,'GCE'!$B$10:$B$12,0))="","Cell will autofill based on response",INDEX('GCE'!$O$10:$O$12,MATCH($F62,'GCE'!$B$10:$B$12,0))),"N/A")</f>
        <v/>
      </c>
      <c r="U62" s="52">
        <f>IFERROR(IF(INDEX('Education'!$O$10:$O$13,MATCH($F62,'Education'!$B$10:$B$13,0))="","Cell will autofill based on response",INDEX('Education'!$O$10:$O$13,MATCH($F62,'Education'!$B$10:$B$13,0))),"N/A")</f>
        <v/>
      </c>
      <c r="V62" s="52">
        <f>IFERROR(IF(INDEX('SaSS'!$O$10:$O$12,MATCH($F62,'SaSS'!$B$10:$B$12,0))="","Cell will autofill based on response",INDEX('SaSS'!$O$10:$O$12,MATCH($F62,'SaSS'!$B$10:$B$12,0))),"N/A")</f>
        <v/>
      </c>
      <c r="W62" s="52">
        <f>IFERROR(IF(INDEX('Indigenous'!$O$10:$O$11,MATCH($F62,'Indigenous'!$B$10:$B$11,0))="","Cell will autofill based on response",INDEX('Indigenous'!$O$10:$O$11,MATCH($F62,'Indigenous'!$B$10:$B$11,0))),"N/A")</f>
        <v/>
      </c>
      <c r="X62" s="52">
        <f>IFERROR(IF(INDEX('L&amp;R'!$O$10:$O$11,MATCH($F62,'L&amp;R'!$B$10:$B$11,0))="","Cell will autofill based on response",INDEX('L&amp;R'!$O$10:$O$11,MATCH($F62,'L&amp;R'!$B$10:$B$11,0))),"N/A")</f>
        <v/>
      </c>
    </row>
    <row r="63">
      <c r="A63">
        <f>F63&amp;"|"&amp;G63</f>
        <v/>
      </c>
      <c r="B63" s="13" t="inlineStr"/>
      <c r="C63" s="8" t="inlineStr"/>
      <c r="D63" s="8" t="inlineStr"/>
      <c r="E63" s="8" t="inlineStr"/>
      <c r="F63" s="8" t="inlineStr">
        <is>
          <t>TR2(a)</t>
        </is>
      </c>
      <c r="G63" s="8" t="inlineStr">
        <is>
          <t>Data source and limitations</t>
        </is>
      </c>
      <c r="H63" s="52">
        <f>IFERROR(IF(INDEX('Faculties'!$P$10:$P$19,MATCH($F63,'Faculties'!$B$10:$B$19,0))="","Cell will autofill based on response",INDEX('Faculties'!$P$10:$P$19,MATCH($F63,'Faculties'!$B$10:$B$19,0))),"N/A")</f>
        <v/>
      </c>
      <c r="I63" s="52">
        <f>IFERROR(IF(INDEX('Faculties'!$P$26:$P$35,MATCH($F63,'Faculties'!$B$26:$B$35,0))="","Cell will autofill based on response",INDEX('Faculties'!$P$26:$P$35,MATCH($F63,'Faculties'!$B$26:$B$35,0))),"N/A")</f>
        <v/>
      </c>
      <c r="J63" s="52">
        <f>IFERROR(IF(INDEX('Faculties'!$P$42:$P$51,MATCH($F63,'Faculties'!$B$42:$B$51,0))="","Cell will autofill based on response",INDEX('Faculties'!$P$42:$P$51,MATCH($F63,'Faculties'!$B$42:$B$51,0))),"N/A")</f>
        <v/>
      </c>
      <c r="K63" s="52">
        <f>IFERROR(IF(INDEX('Faculties'!$P$58:$P$67,MATCH($F63,'Faculties'!$B$58:$B$67,0))="","Cell will autofill based on response",INDEX('Faculties'!$P$58:$P$67,MATCH($F63,'Faculties'!$B$58:$B$67,0))),"N/A")</f>
        <v/>
      </c>
      <c r="L63" s="52">
        <f>IFERROR(IF(INDEX('CI&amp;S'!$P$10:$P$15,MATCH($F63,'CI&amp;S'!$B$10:$B$15,0))="","Cell will autofill based on response",INDEX('CI&amp;S'!$P$10:$P$15,MATCH($F63,'CI&amp;S'!$B$10:$B$15,0))),"N/A")</f>
        <v/>
      </c>
      <c r="M63" s="52">
        <f>IFERROR(IF(INDEX('CI&amp;S'!$P$22:$P$36,MATCH($F63,'CI&amp;S'!$B$22:$B$36,0))="","Cell will autofill based on response",INDEX('CI&amp;S'!$P$22:$P$36,MATCH($F63,'CI&amp;S'!$B$22:$B$36,0))),"N/A")</f>
        <v/>
      </c>
      <c r="N63" s="52">
        <f>IFERROR(IF(INDEX('CFOG'!$P$10:$P$16,MATCH($F63,'CFOG'!$B$10:$B$16,0))="","Cell will autofill based on response",INDEX('CFOG'!$P$10:$P$16,MATCH($F63,'CFOG'!$B$10:$B$16,0))),"N/A")</f>
        <v/>
      </c>
      <c r="O63" s="52">
        <f>IFERROR(IF(INDEX('CFOG'!$P$23:$P$24,MATCH($F63,'CFOG'!$B$23:$B$24,0))="","Cell will autofill based on response",INDEX('CFOG'!$P$23:$P$24,MATCH($F63,'CFOG'!$B$23:$B$24,0))),"N/A")</f>
        <v/>
      </c>
      <c r="P63" s="52">
        <f>IFERROR(IF(INDEX('ESG'!$P$10:$P$17,MATCH($F63,'ESG'!$B$10:$B$17,0))="","Cell will autofill based on response",INDEX('ESG'!$P$10:$P$17,MATCH($F63,'ESG'!$B$10:$B$17,0))),"N/A")</f>
        <v/>
      </c>
      <c r="Q63" s="52">
        <f>IFERROR(IF(INDEX('CIOG'!$P$10:$P$14,MATCH($F63,'CIOG'!$B$10:$B$14,0))="","Cell will autofill based on response",INDEX('CIOG'!$P$10:$P$14,MATCH($F63,'CIOG'!$B$10:$B$14,0))),"N/A")</f>
        <v/>
      </c>
      <c r="R63" s="52">
        <f>IFERROR(IF(INDEX('MRE'!$P$10:$P$18,MATCH($F63,'MRE'!$B$10:$B$18,0))="","Cell will autofill based on response",INDEX('MRE'!$P$10:$P$18,MATCH($F63,'MRE'!$B$10:$B$18,0))),"N/A")</f>
        <v/>
      </c>
      <c r="S63" s="52">
        <f>IFERROR(IF(INDEX('AC&amp;M'!$P$10:$P$14,MATCH($F63,'AC&amp;M'!$B$10:$B$14,0))="","Cell will autofill based on response",INDEX('AC&amp;M'!$P$10:$P$14,MATCH($F63,'AC&amp;M'!$B$10:$B$14,0))),"N/A")</f>
        <v/>
      </c>
      <c r="T63" s="52">
        <f>IFERROR(IF(INDEX('GCE'!$P$10:$P$12,MATCH($F63,'GCE'!$B$10:$B$12,0))="","Cell will autofill based on response",INDEX('GCE'!$P$10:$P$12,MATCH($F63,'GCE'!$B$10:$B$12,0))),"N/A")</f>
        <v/>
      </c>
      <c r="U63" s="52">
        <f>IFERROR(IF(INDEX('Education'!$P$10:$P$13,MATCH($F63,'Education'!$B$10:$B$13,0))="","Cell will autofill based on response",INDEX('Education'!$P$10:$P$13,MATCH($F63,'Education'!$B$10:$B$13,0))),"N/A")</f>
        <v/>
      </c>
      <c r="V63" s="52">
        <f>IFERROR(IF(INDEX('SaSS'!$P$10:$P$12,MATCH($F63,'SaSS'!$B$10:$B$12,0))="","Cell will autofill based on response",INDEX('SaSS'!$P$10:$P$12,MATCH($F63,'SaSS'!$B$10:$B$12,0))),"N/A")</f>
        <v/>
      </c>
      <c r="W63" s="52">
        <f>IFERROR(IF(INDEX('Indigenous'!$P$10:$P$11,MATCH($F63,'Indigenous'!$B$10:$B$11,0))="","Cell will autofill based on response",INDEX('Indigenous'!$P$10:$P$11,MATCH($F63,'Indigenous'!$B$10:$B$11,0))),"N/A")</f>
        <v/>
      </c>
      <c r="X63" s="52">
        <f>IFERROR(IF(INDEX('L&amp;R'!$P$10:$P$11,MATCH($F63,'L&amp;R'!$B$10:$B$11,0))="","Cell will autofill based on response",INDEX('L&amp;R'!$P$10:$P$11,MATCH($F63,'L&amp;R'!$B$10:$B$11,0))),"N/A")</f>
        <v/>
      </c>
    </row>
    <row r="64">
      <c r="A64">
        <f>F64&amp;"|"&amp;G64</f>
        <v/>
      </c>
      <c r="B64" s="13" t="inlineStr"/>
      <c r="C64" s="8" t="inlineStr"/>
      <c r="D64" s="8" t="inlineStr"/>
      <c r="E64" s="8" t="inlineStr"/>
      <c r="F64" s="8" t="inlineStr">
        <is>
          <t>TR2(a)</t>
        </is>
      </c>
      <c r="G64" s="8" t="inlineStr">
        <is>
          <t>Data owner confirms</t>
        </is>
      </c>
      <c r="H64" s="52">
        <f>IFERROR(IF(INDEX('Faculties'!$Q$10:$Q$19,MATCH($F64,'Faculties'!$B$10:$B$19,0))="","Cell will autofill based on response",INDEX('Faculties'!$Q$10:$Q$19,MATCH($F64,'Faculties'!$B$10:$B$19,0))),"N/A")</f>
        <v/>
      </c>
      <c r="I64" s="52">
        <f>IFERROR(IF(INDEX('Faculties'!$Q$26:$Q$35,MATCH($F64,'Faculties'!$B$26:$B$35,0))="","Cell will autofill based on response",INDEX('Faculties'!$Q$26:$Q$35,MATCH($F64,'Faculties'!$B$26:$B$35,0))),"N/A")</f>
        <v/>
      </c>
      <c r="J64" s="52">
        <f>IFERROR(IF(INDEX('Faculties'!$Q$42:$Q$51,MATCH($F64,'Faculties'!$B$42:$B$51,0))="","Cell will autofill based on response",INDEX('Faculties'!$Q$42:$Q$51,MATCH($F64,'Faculties'!$B$42:$B$51,0))),"N/A")</f>
        <v/>
      </c>
      <c r="K64" s="52">
        <f>IFERROR(IF(INDEX('Faculties'!$Q$58:$Q$67,MATCH($F64,'Faculties'!$B$58:$B$67,0))="","Cell will autofill based on response",INDEX('Faculties'!$Q$58:$Q$67,MATCH($F64,'Faculties'!$B$58:$B$67,0))),"N/A")</f>
        <v/>
      </c>
      <c r="L64" s="52">
        <f>IFERROR(IF(INDEX('CI&amp;S'!$Q$10:$Q$15,MATCH($F64,'CI&amp;S'!$B$10:$B$15,0))="","Cell will autofill based on response",INDEX('CI&amp;S'!$Q$10:$Q$15,MATCH($F64,'CI&amp;S'!$B$10:$B$15,0))),"N/A")</f>
        <v/>
      </c>
      <c r="M64" s="52">
        <f>IFERROR(IF(INDEX('CI&amp;S'!$Q$22:$Q$36,MATCH($F64,'CI&amp;S'!$B$22:$B$36,0))="","Cell will autofill based on response",INDEX('CI&amp;S'!$Q$22:$Q$36,MATCH($F64,'CI&amp;S'!$B$22:$B$36,0))),"N/A")</f>
        <v/>
      </c>
      <c r="N64" s="52">
        <f>IFERROR(IF(INDEX('CFOG'!$Q$10:$Q$16,MATCH($F64,'CFOG'!$B$10:$B$16,0))="","Cell will autofill based on response",INDEX('CFOG'!$Q$10:$Q$16,MATCH($F64,'CFOG'!$B$10:$B$16,0))),"N/A")</f>
        <v/>
      </c>
      <c r="O64" s="52">
        <f>IFERROR(IF(INDEX('CFOG'!$Q$23:$Q$24,MATCH($F64,'CFOG'!$B$23:$B$24,0))="","Cell will autofill based on response",INDEX('CFOG'!$Q$23:$Q$24,MATCH($F64,'CFOG'!$B$23:$B$24,0))),"N/A")</f>
        <v/>
      </c>
      <c r="P64" s="52">
        <f>IFERROR(IF(INDEX('ESG'!$Q$10:$Q$17,MATCH($F64,'ESG'!$B$10:$B$17,0))="","Cell will autofill based on response",INDEX('ESG'!$Q$10:$Q$17,MATCH($F64,'ESG'!$B$10:$B$17,0))),"N/A")</f>
        <v/>
      </c>
      <c r="Q64" s="52">
        <f>IFERROR(IF(INDEX('CIOG'!$Q$10:$Q$14,MATCH($F64,'CIOG'!$B$10:$B$14,0))="","Cell will autofill based on response",INDEX('CIOG'!$Q$10:$Q$14,MATCH($F64,'CIOG'!$B$10:$B$14,0))),"N/A")</f>
        <v/>
      </c>
      <c r="R64" s="52">
        <f>IFERROR(IF(INDEX('MRE'!$Q$10:$Q$18,MATCH($F64,'MRE'!$B$10:$B$18,0))="","Cell will autofill based on response",INDEX('MRE'!$Q$10:$Q$18,MATCH($F64,'MRE'!$B$10:$B$18,0))),"N/A")</f>
        <v/>
      </c>
      <c r="S64" s="52">
        <f>IFERROR(IF(INDEX('AC&amp;M'!$Q$10:$Q$14,MATCH($F64,'AC&amp;M'!$B$10:$B$14,0))="","Cell will autofill based on response",INDEX('AC&amp;M'!$Q$10:$Q$14,MATCH($F64,'AC&amp;M'!$B$10:$B$14,0))),"N/A")</f>
        <v/>
      </c>
      <c r="T64" s="52">
        <f>IFERROR(IF(INDEX('GCE'!$Q$10:$Q$12,MATCH($F64,'GCE'!$B$10:$B$12,0))="","Cell will autofill based on response",INDEX('GCE'!$Q$10:$Q$12,MATCH($F64,'GCE'!$B$10:$B$12,0))),"N/A")</f>
        <v/>
      </c>
      <c r="U64" s="52">
        <f>IFERROR(IF(INDEX('Education'!$Q$10:$Q$13,MATCH($F64,'Education'!$B$10:$B$13,0))="","Cell will autofill based on response",INDEX('Education'!$Q$10:$Q$13,MATCH($F64,'Education'!$B$10:$B$13,0))),"N/A")</f>
        <v/>
      </c>
      <c r="V64" s="52">
        <f>IFERROR(IF(INDEX('SaSS'!$Q$10:$Q$12,MATCH($F64,'SaSS'!$B$10:$B$12,0))="","Cell will autofill based on response",INDEX('SaSS'!$Q$10:$Q$12,MATCH($F64,'SaSS'!$B$10:$B$12,0))),"N/A")</f>
        <v/>
      </c>
      <c r="W64" s="52">
        <f>IFERROR(IF(INDEX('Indigenous'!$Q$10:$Q$11,MATCH($F64,'Indigenous'!$B$10:$B$11,0))="","Cell will autofill based on response",INDEX('Indigenous'!$Q$10:$Q$11,MATCH($F64,'Indigenous'!$B$10:$B$11,0))),"N/A")</f>
        <v/>
      </c>
      <c r="X64" s="52">
        <f>IFERROR(IF(INDEX('L&amp;R'!$Q$10:$Q$11,MATCH($F64,'L&amp;R'!$B$10:$B$11,0))="","Cell will autofill based on response",INDEX('L&amp;R'!$Q$10:$Q$11,MATCH($F64,'L&amp;R'!$B$10:$B$11,0))),"N/A")</f>
        <v/>
      </c>
    </row>
    <row r="65">
      <c r="A65">
        <f>F65&amp;"|"&amp;G65</f>
        <v/>
      </c>
      <c r="B65" s="7" t="inlineStr">
        <is>
          <t>TR2(c)</t>
        </is>
      </c>
      <c r="C65" s="50" t="inlineStr">
        <is>
          <t>Transformational research</t>
        </is>
      </c>
      <c r="D65" s="50" t="inlineStr">
        <is>
          <t>Expert-reviewed summary of sustainability-related research outputs, outcomes and influence using available institutional evidence sources</t>
        </is>
      </c>
      <c r="E65" s="50" t="inlineStr">
        <is>
          <t>currently mapped to the SDGs using SciVal</t>
        </is>
      </c>
      <c r="F65" s="50" t="inlineStr">
        <is>
          <t>TR2(c)</t>
        </is>
      </c>
      <c r="G65" s="50" t="inlineStr">
        <is>
          <t>Confirm end-2026 target status</t>
        </is>
      </c>
      <c r="H65" s="52">
        <f>IFERROR(IF(INDEX('Faculties'!$L$10:$L$19,MATCH($F65,'Faculties'!$B$10:$B$19,0))="","Cell will autofill based on response",INDEX('Faculties'!$L$10:$L$19,MATCH($F65,'Faculties'!$B$10:$B$19,0))),"N/A")</f>
        <v/>
      </c>
      <c r="I65" s="52">
        <f>IFERROR(IF(INDEX('Faculties'!$L$26:$L$35,MATCH($F65,'Faculties'!$B$26:$B$35,0))="","Cell will autofill based on response",INDEX('Faculties'!$L$26:$L$35,MATCH($F65,'Faculties'!$B$26:$B$35,0))),"N/A")</f>
        <v/>
      </c>
      <c r="J65" s="52">
        <f>IFERROR(IF(INDEX('Faculties'!$L$42:$L$51,MATCH($F65,'Faculties'!$B$42:$B$51,0))="","Cell will autofill based on response",INDEX('Faculties'!$L$42:$L$51,MATCH($F65,'Faculties'!$B$42:$B$51,0))),"N/A")</f>
        <v/>
      </c>
      <c r="K65" s="52">
        <f>IFERROR(IF(INDEX('Faculties'!$L$58:$L$67,MATCH($F65,'Faculties'!$B$58:$B$67,0))="","Cell will autofill based on response",INDEX('Faculties'!$L$58:$L$67,MATCH($F65,'Faculties'!$B$58:$B$67,0))),"N/A")</f>
        <v/>
      </c>
      <c r="L65" s="52">
        <f>IFERROR(IF(INDEX('CI&amp;S'!$L$10:$L$15,MATCH($F65,'CI&amp;S'!$B$10:$B$15,0))="","Cell will autofill based on response",INDEX('CI&amp;S'!$L$10:$L$15,MATCH($F65,'CI&amp;S'!$B$10:$B$15,0))),"N/A")</f>
        <v/>
      </c>
      <c r="M65" s="52">
        <f>IFERROR(IF(INDEX('CI&amp;S'!$L$22:$L$36,MATCH($F65,'CI&amp;S'!$B$22:$B$36,0))="","Cell will autofill based on response",INDEX('CI&amp;S'!$L$22:$L$36,MATCH($F65,'CI&amp;S'!$B$22:$B$36,0))),"N/A")</f>
        <v/>
      </c>
      <c r="N65" s="52">
        <f>IFERROR(IF(INDEX('CFOG'!$L$10:$L$16,MATCH($F65,'CFOG'!$B$10:$B$16,0))="","Cell will autofill based on response",INDEX('CFOG'!$L$10:$L$16,MATCH($F65,'CFOG'!$B$10:$B$16,0))),"N/A")</f>
        <v/>
      </c>
      <c r="O65" s="52">
        <f>IFERROR(IF(INDEX('CFOG'!$L$23:$L$24,MATCH($F65,'CFOG'!$B$23:$B$24,0))="","Cell will autofill based on response",INDEX('CFOG'!$L$23:$L$24,MATCH($F65,'CFOG'!$B$23:$B$24,0))),"N/A")</f>
        <v/>
      </c>
      <c r="P65" s="52">
        <f>IFERROR(IF(INDEX('ESG'!$L$10:$L$17,MATCH($F65,'ESG'!$B$10:$B$17,0))="","Cell will autofill based on response",INDEX('ESG'!$L$10:$L$17,MATCH($F65,'ESG'!$B$10:$B$17,0))),"N/A")</f>
        <v/>
      </c>
      <c r="Q65" s="52">
        <f>IFERROR(IF(INDEX('CIOG'!$L$10:$L$14,MATCH($F65,'CIOG'!$B$10:$B$14,0))="","Cell will autofill based on response",INDEX('CIOG'!$L$10:$L$14,MATCH($F65,'CIOG'!$B$10:$B$14,0))),"N/A")</f>
        <v/>
      </c>
      <c r="R65" s="52">
        <f>IFERROR(IF(INDEX('MRE'!$L$10:$L$18,MATCH($F65,'MRE'!$B$10:$B$18,0))="","Cell will autofill based on response",INDEX('MRE'!$L$10:$L$18,MATCH($F65,'MRE'!$B$10:$B$18,0))),"N/A")</f>
        <v/>
      </c>
      <c r="S65" s="52">
        <f>IFERROR(IF(INDEX('AC&amp;M'!$L$10:$L$14,MATCH($F65,'AC&amp;M'!$B$10:$B$14,0))="","Cell will autofill based on response",INDEX('AC&amp;M'!$L$10:$L$14,MATCH($F65,'AC&amp;M'!$B$10:$B$14,0))),"N/A")</f>
        <v/>
      </c>
      <c r="T65" s="52">
        <f>IFERROR(IF(INDEX('GCE'!$L$10:$L$12,MATCH($F65,'GCE'!$B$10:$B$12,0))="","Cell will autofill based on response",INDEX('GCE'!$L$10:$L$12,MATCH($F65,'GCE'!$B$10:$B$12,0))),"N/A")</f>
        <v/>
      </c>
      <c r="U65" s="52">
        <f>IFERROR(IF(INDEX('Education'!$L$10:$L$13,MATCH($F65,'Education'!$B$10:$B$13,0))="","Cell will autofill based on response",INDEX('Education'!$L$10:$L$13,MATCH($F65,'Education'!$B$10:$B$13,0))),"N/A")</f>
        <v/>
      </c>
      <c r="V65" s="52">
        <f>IFERROR(IF(INDEX('SaSS'!$L$10:$L$12,MATCH($F65,'SaSS'!$B$10:$B$12,0))="","Cell will autofill based on response",INDEX('SaSS'!$L$10:$L$12,MATCH($F65,'SaSS'!$B$10:$B$12,0))),"N/A")</f>
        <v/>
      </c>
      <c r="W65" s="52">
        <f>IFERROR(IF(INDEX('Indigenous'!$L$10:$L$11,MATCH($F65,'Indigenous'!$B$10:$B$11,0))="","Cell will autofill based on response",INDEX('Indigenous'!$L$10:$L$11,MATCH($F65,'Indigenous'!$B$10:$B$11,0))),"N/A")</f>
        <v/>
      </c>
      <c r="X65" s="52">
        <f>IFERROR(IF(INDEX('L&amp;R'!$L$10:$L$11,MATCH($F65,'L&amp;R'!$B$10:$B$11,0))="","Cell will autofill based on response",INDEX('L&amp;R'!$L$10:$L$11,MATCH($F65,'L&amp;R'!$B$10:$B$11,0))),"N/A")</f>
        <v/>
      </c>
      <c r="Z65" s="10">
        <f>COUNTIF($H65:$X65,"Cell will autofill based on response")</f>
        <v/>
      </c>
      <c r="AA65" s="10">
        <f>COUNTIF($H65:$X65,"Not yet started")</f>
        <v/>
      </c>
      <c r="AB65" s="10">
        <f>COUNTIF($H65:$X65,"Not met")</f>
        <v/>
      </c>
      <c r="AC65" s="10">
        <f>COUNTIF($H65:$X65,"Partially met")</f>
        <v/>
      </c>
      <c r="AD65" s="10">
        <f>COUNTIF($H65:$X65,"Met or exceeded")</f>
        <v/>
      </c>
      <c r="AE65" s="10">
        <f>3*AD65+2*AC65+AB65</f>
        <v/>
      </c>
      <c r="AF65" s="10">
        <f>AD65+AC65+AB65+AA65</f>
        <v/>
      </c>
      <c r="AG65" s="53">
        <f>IF(AF65&gt;0,AE65/AF65,"No valid responses to date")</f>
        <v/>
      </c>
      <c r="AH65" s="10">
        <f>IF(ISNUMBER(AG65),INDEX(Lists!$G$2:$G$5,MATCH(ROUND(AG65,0),Lists!$H$2:$H$5,0)),"")</f>
        <v/>
      </c>
      <c r="AI65" s="54">
        <f>IF(AF65&gt;0,AD65/AF65,"")</f>
        <v/>
      </c>
      <c r="AJ65" s="54">
        <f>IF(AF65&gt;0,(AD65+AC65)/AF65,"")</f>
        <v/>
      </c>
      <c r="AK65" s="10">
        <f>IF(AF65=0,"",IF(AI65&gt;0.75,"Met or exceeded",IF(AJ65&gt;=0.5,"Partially met","Not met")))</f>
        <v/>
      </c>
    </row>
    <row r="66">
      <c r="A66">
        <f>F66&amp;"|"&amp;G66</f>
        <v/>
      </c>
      <c r="B66" s="13" t="inlineStr"/>
      <c r="C66" s="8" t="inlineStr"/>
      <c r="D66" s="8" t="inlineStr"/>
      <c r="E66" s="8" t="inlineStr"/>
      <c r="F66" s="8" t="inlineStr">
        <is>
          <t>TR2(c)</t>
        </is>
      </c>
      <c r="G66" s="8" t="inlineStr">
        <is>
          <t>OPTION 1:  Target-level reporting</t>
        </is>
      </c>
      <c r="H66" s="52">
        <f>IFERROR(IF(INDEX('Faculties'!$M$10:$M$19,MATCH($F66,'Faculties'!$B$10:$B$19,0))="","Cell will autofill based on response",INDEX('Faculties'!$M$10:$M$19,MATCH($F66,'Faculties'!$B$10:$B$19,0))),"N/A")</f>
        <v/>
      </c>
      <c r="I66" s="52">
        <f>IFERROR(IF(INDEX('Faculties'!$M$26:$M$35,MATCH($F66,'Faculties'!$B$26:$B$35,0))="","Cell will autofill based on response",INDEX('Faculties'!$M$26:$M$35,MATCH($F66,'Faculties'!$B$26:$B$35,0))),"N/A")</f>
        <v/>
      </c>
      <c r="J66" s="52">
        <f>IFERROR(IF(INDEX('Faculties'!$M$42:$M$51,MATCH($F66,'Faculties'!$B$42:$B$51,0))="","Cell will autofill based on response",INDEX('Faculties'!$M$42:$M$51,MATCH($F66,'Faculties'!$B$42:$B$51,0))),"N/A")</f>
        <v/>
      </c>
      <c r="K66" s="52">
        <f>IFERROR(IF(INDEX('Faculties'!$M$58:$M$67,MATCH($F66,'Faculties'!$B$58:$B$67,0))="","Cell will autofill based on response",INDEX('Faculties'!$M$58:$M$67,MATCH($F66,'Faculties'!$B$58:$B$67,0))),"N/A")</f>
        <v/>
      </c>
      <c r="L66" s="52">
        <f>IFERROR(IF(INDEX('CI&amp;S'!$M$10:$M$15,MATCH($F66,'CI&amp;S'!$B$10:$B$15,0))="","Cell will autofill based on response",INDEX('CI&amp;S'!$M$10:$M$15,MATCH($F66,'CI&amp;S'!$B$10:$B$15,0))),"N/A")</f>
        <v/>
      </c>
      <c r="M66" s="52">
        <f>IFERROR(IF(INDEX('CI&amp;S'!$M$22:$M$36,MATCH($F66,'CI&amp;S'!$B$22:$B$36,0))="","Cell will autofill based on response",INDEX('CI&amp;S'!$M$22:$M$36,MATCH($F66,'CI&amp;S'!$B$22:$B$36,0))),"N/A")</f>
        <v/>
      </c>
      <c r="N66" s="52">
        <f>IFERROR(IF(INDEX('CFOG'!$M$10:$M$16,MATCH($F66,'CFOG'!$B$10:$B$16,0))="","Cell will autofill based on response",INDEX('CFOG'!$M$10:$M$16,MATCH($F66,'CFOG'!$B$10:$B$16,0))),"N/A")</f>
        <v/>
      </c>
      <c r="O66" s="52">
        <f>IFERROR(IF(INDEX('CFOG'!$M$23:$M$24,MATCH($F66,'CFOG'!$B$23:$B$24,0))="","Cell will autofill based on response",INDEX('CFOG'!$M$23:$M$24,MATCH($F66,'CFOG'!$B$23:$B$24,0))),"N/A")</f>
        <v/>
      </c>
      <c r="P66" s="52">
        <f>IFERROR(IF(INDEX('ESG'!$M$10:$M$17,MATCH($F66,'ESG'!$B$10:$B$17,0))="","Cell will autofill based on response",INDEX('ESG'!$M$10:$M$17,MATCH($F66,'ESG'!$B$10:$B$17,0))),"N/A")</f>
        <v/>
      </c>
      <c r="Q66" s="52">
        <f>IFERROR(IF(INDEX('CIOG'!$M$10:$M$14,MATCH($F66,'CIOG'!$B$10:$B$14,0))="","Cell will autofill based on response",INDEX('CIOG'!$M$10:$M$14,MATCH($F66,'CIOG'!$B$10:$B$14,0))),"N/A")</f>
        <v/>
      </c>
      <c r="R66" s="52">
        <f>IFERROR(IF(INDEX('MRE'!$M$10:$M$18,MATCH($F66,'MRE'!$B$10:$B$18,0))="","Cell will autofill based on response",INDEX('MRE'!$M$10:$M$18,MATCH($F66,'MRE'!$B$10:$B$18,0))),"N/A")</f>
        <v/>
      </c>
      <c r="S66" s="52">
        <f>IFERROR(IF(INDEX('AC&amp;M'!$M$10:$M$14,MATCH($F66,'AC&amp;M'!$B$10:$B$14,0))="","Cell will autofill based on response",INDEX('AC&amp;M'!$M$10:$M$14,MATCH($F66,'AC&amp;M'!$B$10:$B$14,0))),"N/A")</f>
        <v/>
      </c>
      <c r="T66" s="52">
        <f>IFERROR(IF(INDEX('GCE'!$M$10:$M$12,MATCH($F66,'GCE'!$B$10:$B$12,0))="","Cell will autofill based on response",INDEX('GCE'!$M$10:$M$12,MATCH($F66,'GCE'!$B$10:$B$12,0))),"N/A")</f>
        <v/>
      </c>
      <c r="U66" s="52">
        <f>IFERROR(IF(INDEX('Education'!$M$10:$M$13,MATCH($F66,'Education'!$B$10:$B$13,0))="","Cell will autofill based on response",INDEX('Education'!$M$10:$M$13,MATCH($F66,'Education'!$B$10:$B$13,0))),"N/A")</f>
        <v/>
      </c>
      <c r="V66" s="52">
        <f>IFERROR(IF(INDEX('SaSS'!$M$10:$M$12,MATCH($F66,'SaSS'!$B$10:$B$12,0))="","Cell will autofill based on response",INDEX('SaSS'!$M$10:$M$12,MATCH($F66,'SaSS'!$B$10:$B$12,0))),"N/A")</f>
        <v/>
      </c>
      <c r="W66" s="52">
        <f>IFERROR(IF(INDEX('Indigenous'!$M$10:$M$11,MATCH($F66,'Indigenous'!$B$10:$B$11,0))="","Cell will autofill based on response",INDEX('Indigenous'!$M$10:$M$11,MATCH($F66,'Indigenous'!$B$10:$B$11,0))),"N/A")</f>
        <v/>
      </c>
      <c r="X66" s="52">
        <f>IFERROR(IF(INDEX('L&amp;R'!$M$10:$M$11,MATCH($F66,'L&amp;R'!$B$10:$B$11,0))="","Cell will autofill based on response",INDEX('L&amp;R'!$M$10:$M$11,MATCH($F66,'L&amp;R'!$B$10:$B$11,0))),"N/A")</f>
        <v/>
      </c>
    </row>
    <row r="67">
      <c r="A67">
        <f>F67&amp;"|"&amp;G67</f>
        <v/>
      </c>
      <c r="B67" s="13" t="inlineStr"/>
      <c r="C67" s="8" t="inlineStr"/>
      <c r="D67" s="8" t="inlineStr"/>
      <c r="E67" s="8" t="inlineStr"/>
      <c r="F67" s="8" t="inlineStr">
        <is>
          <t>TR2(c)</t>
        </is>
      </c>
      <c r="G67" s="8" t="inlineStr">
        <is>
          <t>OPTION 2:  Indicator level reporting</t>
        </is>
      </c>
      <c r="H67" s="52">
        <f>IFERROR(IF(INDEX('Faculties'!$N$10:$N$19,MATCH($F67,'Faculties'!$B$10:$B$19,0))="","Cell will autofill based on response",INDEX('Faculties'!$N$10:$N$19,MATCH($F67,'Faculties'!$B$10:$B$19,0))),"N/A")</f>
        <v/>
      </c>
      <c r="I67" s="52">
        <f>IFERROR(IF(INDEX('Faculties'!$N$26:$N$35,MATCH($F67,'Faculties'!$B$26:$B$35,0))="","Cell will autofill based on response",INDEX('Faculties'!$N$26:$N$35,MATCH($F67,'Faculties'!$B$26:$B$35,0))),"N/A")</f>
        <v/>
      </c>
      <c r="J67" s="52">
        <f>IFERROR(IF(INDEX('Faculties'!$N$42:$N$51,MATCH($F67,'Faculties'!$B$42:$B$51,0))="","Cell will autofill based on response",INDEX('Faculties'!$N$42:$N$51,MATCH($F67,'Faculties'!$B$42:$B$51,0))),"N/A")</f>
        <v/>
      </c>
      <c r="K67" s="52">
        <f>IFERROR(IF(INDEX('Faculties'!$N$58:$N$67,MATCH($F67,'Faculties'!$B$58:$B$67,0))="","Cell will autofill based on response",INDEX('Faculties'!$N$58:$N$67,MATCH($F67,'Faculties'!$B$58:$B$67,0))),"N/A")</f>
        <v/>
      </c>
      <c r="L67" s="52">
        <f>IFERROR(IF(INDEX('CI&amp;S'!$N$10:$N$15,MATCH($F67,'CI&amp;S'!$B$10:$B$15,0))="","Cell will autofill based on response",INDEX('CI&amp;S'!$N$10:$N$15,MATCH($F67,'CI&amp;S'!$B$10:$B$15,0))),"N/A")</f>
        <v/>
      </c>
      <c r="M67" s="52">
        <f>IFERROR(IF(INDEX('CI&amp;S'!$N$22:$N$36,MATCH($F67,'CI&amp;S'!$B$22:$B$36,0))="","Cell will autofill based on response",INDEX('CI&amp;S'!$N$22:$N$36,MATCH($F67,'CI&amp;S'!$B$22:$B$36,0))),"N/A")</f>
        <v/>
      </c>
      <c r="N67" s="52">
        <f>IFERROR(IF(INDEX('CFOG'!$N$10:$N$16,MATCH($F67,'CFOG'!$B$10:$B$16,0))="","Cell will autofill based on response",INDEX('CFOG'!$N$10:$N$16,MATCH($F67,'CFOG'!$B$10:$B$16,0))),"N/A")</f>
        <v/>
      </c>
      <c r="O67" s="52">
        <f>IFERROR(IF(INDEX('CFOG'!$N$23:$N$24,MATCH($F67,'CFOG'!$B$23:$B$24,0))="","Cell will autofill based on response",INDEX('CFOG'!$N$23:$N$24,MATCH($F67,'CFOG'!$B$23:$B$24,0))),"N/A")</f>
        <v/>
      </c>
      <c r="P67" s="52">
        <f>IFERROR(IF(INDEX('ESG'!$N$10:$N$17,MATCH($F67,'ESG'!$B$10:$B$17,0))="","Cell will autofill based on response",INDEX('ESG'!$N$10:$N$17,MATCH($F67,'ESG'!$B$10:$B$17,0))),"N/A")</f>
        <v/>
      </c>
      <c r="Q67" s="52">
        <f>IFERROR(IF(INDEX('CIOG'!$N$10:$N$14,MATCH($F67,'CIOG'!$B$10:$B$14,0))="","Cell will autofill based on response",INDEX('CIOG'!$N$10:$N$14,MATCH($F67,'CIOG'!$B$10:$B$14,0))),"N/A")</f>
        <v/>
      </c>
      <c r="R67" s="52">
        <f>IFERROR(IF(INDEX('MRE'!$N$10:$N$18,MATCH($F67,'MRE'!$B$10:$B$18,0))="","Cell will autofill based on response",INDEX('MRE'!$N$10:$N$18,MATCH($F67,'MRE'!$B$10:$B$18,0))),"N/A")</f>
        <v/>
      </c>
      <c r="S67" s="52">
        <f>IFERROR(IF(INDEX('AC&amp;M'!$N$10:$N$14,MATCH($F67,'AC&amp;M'!$B$10:$B$14,0))="","Cell will autofill based on response",INDEX('AC&amp;M'!$N$10:$N$14,MATCH($F67,'AC&amp;M'!$B$10:$B$14,0))),"N/A")</f>
        <v/>
      </c>
      <c r="T67" s="52">
        <f>IFERROR(IF(INDEX('GCE'!$N$10:$N$12,MATCH($F67,'GCE'!$B$10:$B$12,0))="","Cell will autofill based on response",INDEX('GCE'!$N$10:$N$12,MATCH($F67,'GCE'!$B$10:$B$12,0))),"N/A")</f>
        <v/>
      </c>
      <c r="U67" s="52">
        <f>IFERROR(IF(INDEX('Education'!$N$10:$N$13,MATCH($F67,'Education'!$B$10:$B$13,0))="","Cell will autofill based on response",INDEX('Education'!$N$10:$N$13,MATCH($F67,'Education'!$B$10:$B$13,0))),"N/A")</f>
        <v/>
      </c>
      <c r="V67" s="52">
        <f>IFERROR(IF(INDEX('SaSS'!$N$10:$N$12,MATCH($F67,'SaSS'!$B$10:$B$12,0))="","Cell will autofill based on response",INDEX('SaSS'!$N$10:$N$12,MATCH($F67,'SaSS'!$B$10:$B$12,0))),"N/A")</f>
        <v/>
      </c>
      <c r="W67" s="52">
        <f>IFERROR(IF(INDEX('Indigenous'!$N$10:$N$11,MATCH($F67,'Indigenous'!$B$10:$B$11,0))="","Cell will autofill based on response",INDEX('Indigenous'!$N$10:$N$11,MATCH($F67,'Indigenous'!$B$10:$B$11,0))),"N/A")</f>
        <v/>
      </c>
      <c r="X67" s="52">
        <f>IFERROR(IF(INDEX('L&amp;R'!$N$10:$N$11,MATCH($F67,'L&amp;R'!$B$10:$B$11,0))="","Cell will autofill based on response",INDEX('L&amp;R'!$N$10:$N$11,MATCH($F67,'L&amp;R'!$B$10:$B$11,0))),"N/A")</f>
        <v/>
      </c>
    </row>
    <row r="68">
      <c r="A68">
        <f>F68&amp;"|"&amp;G68</f>
        <v/>
      </c>
      <c r="B68" s="13" t="inlineStr"/>
      <c r="C68" s="8" t="inlineStr"/>
      <c r="D68" s="8" t="inlineStr"/>
      <c r="E68" s="8" t="inlineStr"/>
      <c r="F68" s="8" t="inlineStr">
        <is>
          <t>TR2(c)</t>
        </is>
      </c>
      <c r="G68" s="8" t="inlineStr">
        <is>
          <t>Supporting information/comments</t>
        </is>
      </c>
      <c r="H68" s="52">
        <f>IFERROR(IF(INDEX('Faculties'!$O$10:$O$19,MATCH($F68,'Faculties'!$B$10:$B$19,0))="","Cell will autofill based on response",INDEX('Faculties'!$O$10:$O$19,MATCH($F68,'Faculties'!$B$10:$B$19,0))),"N/A")</f>
        <v/>
      </c>
      <c r="I68" s="52">
        <f>IFERROR(IF(INDEX('Faculties'!$O$26:$O$35,MATCH($F68,'Faculties'!$B$26:$B$35,0))="","Cell will autofill based on response",INDEX('Faculties'!$O$26:$O$35,MATCH($F68,'Faculties'!$B$26:$B$35,0))),"N/A")</f>
        <v/>
      </c>
      <c r="J68" s="52">
        <f>IFERROR(IF(INDEX('Faculties'!$O$42:$O$51,MATCH($F68,'Faculties'!$B$42:$B$51,0))="","Cell will autofill based on response",INDEX('Faculties'!$O$42:$O$51,MATCH($F68,'Faculties'!$B$42:$B$51,0))),"N/A")</f>
        <v/>
      </c>
      <c r="K68" s="52">
        <f>IFERROR(IF(INDEX('Faculties'!$O$58:$O$67,MATCH($F68,'Faculties'!$B$58:$B$67,0))="","Cell will autofill based on response",INDEX('Faculties'!$O$58:$O$67,MATCH($F68,'Faculties'!$B$58:$B$67,0))),"N/A")</f>
        <v/>
      </c>
      <c r="L68" s="52">
        <f>IFERROR(IF(INDEX('CI&amp;S'!$O$10:$O$15,MATCH($F68,'CI&amp;S'!$B$10:$B$15,0))="","Cell will autofill based on response",INDEX('CI&amp;S'!$O$10:$O$15,MATCH($F68,'CI&amp;S'!$B$10:$B$15,0))),"N/A")</f>
        <v/>
      </c>
      <c r="M68" s="52">
        <f>IFERROR(IF(INDEX('CI&amp;S'!$O$22:$O$36,MATCH($F68,'CI&amp;S'!$B$22:$B$36,0))="","Cell will autofill based on response",INDEX('CI&amp;S'!$O$22:$O$36,MATCH($F68,'CI&amp;S'!$B$22:$B$36,0))),"N/A")</f>
        <v/>
      </c>
      <c r="N68" s="52">
        <f>IFERROR(IF(INDEX('CFOG'!$O$10:$O$16,MATCH($F68,'CFOG'!$B$10:$B$16,0))="","Cell will autofill based on response",INDEX('CFOG'!$O$10:$O$16,MATCH($F68,'CFOG'!$B$10:$B$16,0))),"N/A")</f>
        <v/>
      </c>
      <c r="O68" s="52">
        <f>IFERROR(IF(INDEX('CFOG'!$O$23:$O$24,MATCH($F68,'CFOG'!$B$23:$B$24,0))="","Cell will autofill based on response",INDEX('CFOG'!$O$23:$O$24,MATCH($F68,'CFOG'!$B$23:$B$24,0))),"N/A")</f>
        <v/>
      </c>
      <c r="P68" s="52">
        <f>IFERROR(IF(INDEX('ESG'!$O$10:$O$17,MATCH($F68,'ESG'!$B$10:$B$17,0))="","Cell will autofill based on response",INDEX('ESG'!$O$10:$O$17,MATCH($F68,'ESG'!$B$10:$B$17,0))),"N/A")</f>
        <v/>
      </c>
      <c r="Q68" s="52">
        <f>IFERROR(IF(INDEX('CIOG'!$O$10:$O$14,MATCH($F68,'CIOG'!$B$10:$B$14,0))="","Cell will autofill based on response",INDEX('CIOG'!$O$10:$O$14,MATCH($F68,'CIOG'!$B$10:$B$14,0))),"N/A")</f>
        <v/>
      </c>
      <c r="R68" s="52">
        <f>IFERROR(IF(INDEX('MRE'!$O$10:$O$18,MATCH($F68,'MRE'!$B$10:$B$18,0))="","Cell will autofill based on response",INDEX('MRE'!$O$10:$O$18,MATCH($F68,'MRE'!$B$10:$B$18,0))),"N/A")</f>
        <v/>
      </c>
      <c r="S68" s="52">
        <f>IFERROR(IF(INDEX('AC&amp;M'!$O$10:$O$14,MATCH($F68,'AC&amp;M'!$B$10:$B$14,0))="","Cell will autofill based on response",INDEX('AC&amp;M'!$O$10:$O$14,MATCH($F68,'AC&amp;M'!$B$10:$B$14,0))),"N/A")</f>
        <v/>
      </c>
      <c r="T68" s="52">
        <f>IFERROR(IF(INDEX('GCE'!$O$10:$O$12,MATCH($F68,'GCE'!$B$10:$B$12,0))="","Cell will autofill based on response",INDEX('GCE'!$O$10:$O$12,MATCH($F68,'GCE'!$B$10:$B$12,0))),"N/A")</f>
        <v/>
      </c>
      <c r="U68" s="52">
        <f>IFERROR(IF(INDEX('Education'!$O$10:$O$13,MATCH($F68,'Education'!$B$10:$B$13,0))="","Cell will autofill based on response",INDEX('Education'!$O$10:$O$13,MATCH($F68,'Education'!$B$10:$B$13,0))),"N/A")</f>
        <v/>
      </c>
      <c r="V68" s="52">
        <f>IFERROR(IF(INDEX('SaSS'!$O$10:$O$12,MATCH($F68,'SaSS'!$B$10:$B$12,0))="","Cell will autofill based on response",INDEX('SaSS'!$O$10:$O$12,MATCH($F68,'SaSS'!$B$10:$B$12,0))),"N/A")</f>
        <v/>
      </c>
      <c r="W68" s="52">
        <f>IFERROR(IF(INDEX('Indigenous'!$O$10:$O$11,MATCH($F68,'Indigenous'!$B$10:$B$11,0))="","Cell will autofill based on response",INDEX('Indigenous'!$O$10:$O$11,MATCH($F68,'Indigenous'!$B$10:$B$11,0))),"N/A")</f>
        <v/>
      </c>
      <c r="X68" s="52">
        <f>IFERROR(IF(INDEX('L&amp;R'!$O$10:$O$11,MATCH($F68,'L&amp;R'!$B$10:$B$11,0))="","Cell will autofill based on response",INDEX('L&amp;R'!$O$10:$O$11,MATCH($F68,'L&amp;R'!$B$10:$B$11,0))),"N/A")</f>
        <v/>
      </c>
    </row>
    <row r="69">
      <c r="A69">
        <f>F69&amp;"|"&amp;G69</f>
        <v/>
      </c>
      <c r="B69" s="13" t="inlineStr"/>
      <c r="C69" s="8" t="inlineStr"/>
      <c r="D69" s="8" t="inlineStr"/>
      <c r="E69" s="8" t="inlineStr"/>
      <c r="F69" s="8" t="inlineStr">
        <is>
          <t>TR2(c)</t>
        </is>
      </c>
      <c r="G69" s="8" t="inlineStr">
        <is>
          <t>Data source and limitations</t>
        </is>
      </c>
      <c r="H69" s="52">
        <f>IFERROR(IF(INDEX('Faculties'!$P$10:$P$19,MATCH($F69,'Faculties'!$B$10:$B$19,0))="","Cell will autofill based on response",INDEX('Faculties'!$P$10:$P$19,MATCH($F69,'Faculties'!$B$10:$B$19,0))),"N/A")</f>
        <v/>
      </c>
      <c r="I69" s="52">
        <f>IFERROR(IF(INDEX('Faculties'!$P$26:$P$35,MATCH($F69,'Faculties'!$B$26:$B$35,0))="","Cell will autofill based on response",INDEX('Faculties'!$P$26:$P$35,MATCH($F69,'Faculties'!$B$26:$B$35,0))),"N/A")</f>
        <v/>
      </c>
      <c r="J69" s="52">
        <f>IFERROR(IF(INDEX('Faculties'!$P$42:$P$51,MATCH($F69,'Faculties'!$B$42:$B$51,0))="","Cell will autofill based on response",INDEX('Faculties'!$P$42:$P$51,MATCH($F69,'Faculties'!$B$42:$B$51,0))),"N/A")</f>
        <v/>
      </c>
      <c r="K69" s="52">
        <f>IFERROR(IF(INDEX('Faculties'!$P$58:$P$67,MATCH($F69,'Faculties'!$B$58:$B$67,0))="","Cell will autofill based on response",INDEX('Faculties'!$P$58:$P$67,MATCH($F69,'Faculties'!$B$58:$B$67,0))),"N/A")</f>
        <v/>
      </c>
      <c r="L69" s="52">
        <f>IFERROR(IF(INDEX('CI&amp;S'!$P$10:$P$15,MATCH($F69,'CI&amp;S'!$B$10:$B$15,0))="","Cell will autofill based on response",INDEX('CI&amp;S'!$P$10:$P$15,MATCH($F69,'CI&amp;S'!$B$10:$B$15,0))),"N/A")</f>
        <v/>
      </c>
      <c r="M69" s="52">
        <f>IFERROR(IF(INDEX('CI&amp;S'!$P$22:$P$36,MATCH($F69,'CI&amp;S'!$B$22:$B$36,0))="","Cell will autofill based on response",INDEX('CI&amp;S'!$P$22:$P$36,MATCH($F69,'CI&amp;S'!$B$22:$B$36,0))),"N/A")</f>
        <v/>
      </c>
      <c r="N69" s="52">
        <f>IFERROR(IF(INDEX('CFOG'!$P$10:$P$16,MATCH($F69,'CFOG'!$B$10:$B$16,0))="","Cell will autofill based on response",INDEX('CFOG'!$P$10:$P$16,MATCH($F69,'CFOG'!$B$10:$B$16,0))),"N/A")</f>
        <v/>
      </c>
      <c r="O69" s="52">
        <f>IFERROR(IF(INDEX('CFOG'!$P$23:$P$24,MATCH($F69,'CFOG'!$B$23:$B$24,0))="","Cell will autofill based on response",INDEX('CFOG'!$P$23:$P$24,MATCH($F69,'CFOG'!$B$23:$B$24,0))),"N/A")</f>
        <v/>
      </c>
      <c r="P69" s="52">
        <f>IFERROR(IF(INDEX('ESG'!$P$10:$P$17,MATCH($F69,'ESG'!$B$10:$B$17,0))="","Cell will autofill based on response",INDEX('ESG'!$P$10:$P$17,MATCH($F69,'ESG'!$B$10:$B$17,0))),"N/A")</f>
        <v/>
      </c>
      <c r="Q69" s="52">
        <f>IFERROR(IF(INDEX('CIOG'!$P$10:$P$14,MATCH($F69,'CIOG'!$B$10:$B$14,0))="","Cell will autofill based on response",INDEX('CIOG'!$P$10:$P$14,MATCH($F69,'CIOG'!$B$10:$B$14,0))),"N/A")</f>
        <v/>
      </c>
      <c r="R69" s="52">
        <f>IFERROR(IF(INDEX('MRE'!$P$10:$P$18,MATCH($F69,'MRE'!$B$10:$B$18,0))="","Cell will autofill based on response",INDEX('MRE'!$P$10:$P$18,MATCH($F69,'MRE'!$B$10:$B$18,0))),"N/A")</f>
        <v/>
      </c>
      <c r="S69" s="52">
        <f>IFERROR(IF(INDEX('AC&amp;M'!$P$10:$P$14,MATCH($F69,'AC&amp;M'!$B$10:$B$14,0))="","Cell will autofill based on response",INDEX('AC&amp;M'!$P$10:$P$14,MATCH($F69,'AC&amp;M'!$B$10:$B$14,0))),"N/A")</f>
        <v/>
      </c>
      <c r="T69" s="52">
        <f>IFERROR(IF(INDEX('GCE'!$P$10:$P$12,MATCH($F69,'GCE'!$B$10:$B$12,0))="","Cell will autofill based on response",INDEX('GCE'!$P$10:$P$12,MATCH($F69,'GCE'!$B$10:$B$12,0))),"N/A")</f>
        <v/>
      </c>
      <c r="U69" s="52">
        <f>IFERROR(IF(INDEX('Education'!$P$10:$P$13,MATCH($F69,'Education'!$B$10:$B$13,0))="","Cell will autofill based on response",INDEX('Education'!$P$10:$P$13,MATCH($F69,'Education'!$B$10:$B$13,0))),"N/A")</f>
        <v/>
      </c>
      <c r="V69" s="52">
        <f>IFERROR(IF(INDEX('SaSS'!$P$10:$P$12,MATCH($F69,'SaSS'!$B$10:$B$12,0))="","Cell will autofill based on response",INDEX('SaSS'!$P$10:$P$12,MATCH($F69,'SaSS'!$B$10:$B$12,0))),"N/A")</f>
        <v/>
      </c>
      <c r="W69" s="52">
        <f>IFERROR(IF(INDEX('Indigenous'!$P$10:$P$11,MATCH($F69,'Indigenous'!$B$10:$B$11,0))="","Cell will autofill based on response",INDEX('Indigenous'!$P$10:$P$11,MATCH($F69,'Indigenous'!$B$10:$B$11,0))),"N/A")</f>
        <v/>
      </c>
      <c r="X69" s="52">
        <f>IFERROR(IF(INDEX('L&amp;R'!$P$10:$P$11,MATCH($F69,'L&amp;R'!$B$10:$B$11,0))="","Cell will autofill based on response",INDEX('L&amp;R'!$P$10:$P$11,MATCH($F69,'L&amp;R'!$B$10:$B$11,0))),"N/A")</f>
        <v/>
      </c>
    </row>
    <row r="70">
      <c r="A70">
        <f>F70&amp;"|"&amp;G70</f>
        <v/>
      </c>
      <c r="B70" s="13" t="inlineStr"/>
      <c r="C70" s="8" t="inlineStr"/>
      <c r="D70" s="8" t="inlineStr"/>
      <c r="E70" s="8" t="inlineStr"/>
      <c r="F70" s="8" t="inlineStr">
        <is>
          <t>TR2(c)</t>
        </is>
      </c>
      <c r="G70" s="8" t="inlineStr">
        <is>
          <t>Data owner confirms</t>
        </is>
      </c>
      <c r="H70" s="52">
        <f>IFERROR(IF(INDEX('Faculties'!$Q$10:$Q$19,MATCH($F70,'Faculties'!$B$10:$B$19,0))="","Cell will autofill based on response",INDEX('Faculties'!$Q$10:$Q$19,MATCH($F70,'Faculties'!$B$10:$B$19,0))),"N/A")</f>
        <v/>
      </c>
      <c r="I70" s="52">
        <f>IFERROR(IF(INDEX('Faculties'!$Q$26:$Q$35,MATCH($F70,'Faculties'!$B$26:$B$35,0))="","Cell will autofill based on response",INDEX('Faculties'!$Q$26:$Q$35,MATCH($F70,'Faculties'!$B$26:$B$35,0))),"N/A")</f>
        <v/>
      </c>
      <c r="J70" s="52">
        <f>IFERROR(IF(INDEX('Faculties'!$Q$42:$Q$51,MATCH($F70,'Faculties'!$B$42:$B$51,0))="","Cell will autofill based on response",INDEX('Faculties'!$Q$42:$Q$51,MATCH($F70,'Faculties'!$B$42:$B$51,0))),"N/A")</f>
        <v/>
      </c>
      <c r="K70" s="52">
        <f>IFERROR(IF(INDEX('Faculties'!$Q$58:$Q$67,MATCH($F70,'Faculties'!$B$58:$B$67,0))="","Cell will autofill based on response",INDEX('Faculties'!$Q$58:$Q$67,MATCH($F70,'Faculties'!$B$58:$B$67,0))),"N/A")</f>
        <v/>
      </c>
      <c r="L70" s="52">
        <f>IFERROR(IF(INDEX('CI&amp;S'!$Q$10:$Q$15,MATCH($F70,'CI&amp;S'!$B$10:$B$15,0))="","Cell will autofill based on response",INDEX('CI&amp;S'!$Q$10:$Q$15,MATCH($F70,'CI&amp;S'!$B$10:$B$15,0))),"N/A")</f>
        <v/>
      </c>
      <c r="M70" s="52">
        <f>IFERROR(IF(INDEX('CI&amp;S'!$Q$22:$Q$36,MATCH($F70,'CI&amp;S'!$B$22:$B$36,0))="","Cell will autofill based on response",INDEX('CI&amp;S'!$Q$22:$Q$36,MATCH($F70,'CI&amp;S'!$B$22:$B$36,0))),"N/A")</f>
        <v/>
      </c>
      <c r="N70" s="52">
        <f>IFERROR(IF(INDEX('CFOG'!$Q$10:$Q$16,MATCH($F70,'CFOG'!$B$10:$B$16,0))="","Cell will autofill based on response",INDEX('CFOG'!$Q$10:$Q$16,MATCH($F70,'CFOG'!$B$10:$B$16,0))),"N/A")</f>
        <v/>
      </c>
      <c r="O70" s="52">
        <f>IFERROR(IF(INDEX('CFOG'!$Q$23:$Q$24,MATCH($F70,'CFOG'!$B$23:$B$24,0))="","Cell will autofill based on response",INDEX('CFOG'!$Q$23:$Q$24,MATCH($F70,'CFOG'!$B$23:$B$24,0))),"N/A")</f>
        <v/>
      </c>
      <c r="P70" s="52">
        <f>IFERROR(IF(INDEX('ESG'!$Q$10:$Q$17,MATCH($F70,'ESG'!$B$10:$B$17,0))="","Cell will autofill based on response",INDEX('ESG'!$Q$10:$Q$17,MATCH($F70,'ESG'!$B$10:$B$17,0))),"N/A")</f>
        <v/>
      </c>
      <c r="Q70" s="52">
        <f>IFERROR(IF(INDEX('CIOG'!$Q$10:$Q$14,MATCH($F70,'CIOG'!$B$10:$B$14,0))="","Cell will autofill based on response",INDEX('CIOG'!$Q$10:$Q$14,MATCH($F70,'CIOG'!$B$10:$B$14,0))),"N/A")</f>
        <v/>
      </c>
      <c r="R70" s="52">
        <f>IFERROR(IF(INDEX('MRE'!$Q$10:$Q$18,MATCH($F70,'MRE'!$B$10:$B$18,0))="","Cell will autofill based on response",INDEX('MRE'!$Q$10:$Q$18,MATCH($F70,'MRE'!$B$10:$B$18,0))),"N/A")</f>
        <v/>
      </c>
      <c r="S70" s="52">
        <f>IFERROR(IF(INDEX('AC&amp;M'!$Q$10:$Q$14,MATCH($F70,'AC&amp;M'!$B$10:$B$14,0))="","Cell will autofill based on response",INDEX('AC&amp;M'!$Q$10:$Q$14,MATCH($F70,'AC&amp;M'!$B$10:$B$14,0))),"N/A")</f>
        <v/>
      </c>
      <c r="T70" s="52">
        <f>IFERROR(IF(INDEX('GCE'!$Q$10:$Q$12,MATCH($F70,'GCE'!$B$10:$B$12,0))="","Cell will autofill based on response",INDEX('GCE'!$Q$10:$Q$12,MATCH($F70,'GCE'!$B$10:$B$12,0))),"N/A")</f>
        <v/>
      </c>
      <c r="U70" s="52">
        <f>IFERROR(IF(INDEX('Education'!$Q$10:$Q$13,MATCH($F70,'Education'!$B$10:$B$13,0))="","Cell will autofill based on response",INDEX('Education'!$Q$10:$Q$13,MATCH($F70,'Education'!$B$10:$B$13,0))),"N/A")</f>
        <v/>
      </c>
      <c r="V70" s="52">
        <f>IFERROR(IF(INDEX('SaSS'!$Q$10:$Q$12,MATCH($F70,'SaSS'!$B$10:$B$12,0))="","Cell will autofill based on response",INDEX('SaSS'!$Q$10:$Q$12,MATCH($F70,'SaSS'!$B$10:$B$12,0))),"N/A")</f>
        <v/>
      </c>
      <c r="W70" s="52">
        <f>IFERROR(IF(INDEX('Indigenous'!$Q$10:$Q$11,MATCH($F70,'Indigenous'!$B$10:$B$11,0))="","Cell will autofill based on response",INDEX('Indigenous'!$Q$10:$Q$11,MATCH($F70,'Indigenous'!$B$10:$B$11,0))),"N/A")</f>
        <v/>
      </c>
      <c r="X70" s="52">
        <f>IFERROR(IF(INDEX('L&amp;R'!$Q$10:$Q$11,MATCH($F70,'L&amp;R'!$B$10:$B$11,0))="","Cell will autofill based on response",INDEX('L&amp;R'!$Q$10:$Q$11,MATCH($F70,'L&amp;R'!$B$10:$B$11,0))),"N/A")</f>
        <v/>
      </c>
    </row>
    <row r="71">
      <c r="A71">
        <f>F71&amp;"|"&amp;G71</f>
        <v/>
      </c>
      <c r="B71" s="7" t="inlineStr">
        <is>
          <t>TR2(d)</t>
        </is>
      </c>
      <c r="C71" s="50" t="inlineStr">
        <is>
          <t>Transformational research</t>
        </is>
      </c>
      <c r="D71" s="50" t="inlineStr">
        <is>
          <t>Case-based evidence demonstrating how research has contributed to meaningful sustainability outcomes.</t>
        </is>
      </c>
      <c r="E71" s="50"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71" s="50" t="inlineStr">
        <is>
          <t>TR2(d)</t>
        </is>
      </c>
      <c r="G71" s="50" t="inlineStr">
        <is>
          <t>Confirm end-2026 target status</t>
        </is>
      </c>
      <c r="H71" s="52">
        <f>IFERROR(IF(INDEX('Faculties'!$L$10:$L$19,MATCH($F71,'Faculties'!$B$10:$B$19,0))="","Cell will autofill based on response",INDEX('Faculties'!$L$10:$L$19,MATCH($F71,'Faculties'!$B$10:$B$19,0))),"N/A")</f>
        <v/>
      </c>
      <c r="I71" s="52">
        <f>IFERROR(IF(INDEX('Faculties'!$L$26:$L$35,MATCH($F71,'Faculties'!$B$26:$B$35,0))="","Cell will autofill based on response",INDEX('Faculties'!$L$26:$L$35,MATCH($F71,'Faculties'!$B$26:$B$35,0))),"N/A")</f>
        <v/>
      </c>
      <c r="J71" s="52">
        <f>IFERROR(IF(INDEX('Faculties'!$L$42:$L$51,MATCH($F71,'Faculties'!$B$42:$B$51,0))="","Cell will autofill based on response",INDEX('Faculties'!$L$42:$L$51,MATCH($F71,'Faculties'!$B$42:$B$51,0))),"N/A")</f>
        <v/>
      </c>
      <c r="K71" s="52">
        <f>IFERROR(IF(INDEX('Faculties'!$L$58:$L$67,MATCH($F71,'Faculties'!$B$58:$B$67,0))="","Cell will autofill based on response",INDEX('Faculties'!$L$58:$L$67,MATCH($F71,'Faculties'!$B$58:$B$67,0))),"N/A")</f>
        <v/>
      </c>
      <c r="L71" s="52">
        <f>IFERROR(IF(INDEX('CI&amp;S'!$L$10:$L$15,MATCH($F71,'CI&amp;S'!$B$10:$B$15,0))="","Cell will autofill based on response",INDEX('CI&amp;S'!$L$10:$L$15,MATCH($F71,'CI&amp;S'!$B$10:$B$15,0))),"N/A")</f>
        <v/>
      </c>
      <c r="M71" s="52">
        <f>IFERROR(IF(INDEX('CI&amp;S'!$L$22:$L$36,MATCH($F71,'CI&amp;S'!$B$22:$B$36,0))="","Cell will autofill based on response",INDEX('CI&amp;S'!$L$22:$L$36,MATCH($F71,'CI&amp;S'!$B$22:$B$36,0))),"N/A")</f>
        <v/>
      </c>
      <c r="N71" s="52">
        <f>IFERROR(IF(INDEX('CFOG'!$L$10:$L$16,MATCH($F71,'CFOG'!$B$10:$B$16,0))="","Cell will autofill based on response",INDEX('CFOG'!$L$10:$L$16,MATCH($F71,'CFOG'!$B$10:$B$16,0))),"N/A")</f>
        <v/>
      </c>
      <c r="O71" s="52">
        <f>IFERROR(IF(INDEX('CFOG'!$L$23:$L$24,MATCH($F71,'CFOG'!$B$23:$B$24,0))="","Cell will autofill based on response",INDEX('CFOG'!$L$23:$L$24,MATCH($F71,'CFOG'!$B$23:$B$24,0))),"N/A")</f>
        <v/>
      </c>
      <c r="P71" s="52">
        <f>IFERROR(IF(INDEX('ESG'!$L$10:$L$17,MATCH($F71,'ESG'!$B$10:$B$17,0))="","Cell will autofill based on response",INDEX('ESG'!$L$10:$L$17,MATCH($F71,'ESG'!$B$10:$B$17,0))),"N/A")</f>
        <v/>
      </c>
      <c r="Q71" s="52">
        <f>IFERROR(IF(INDEX('CIOG'!$L$10:$L$14,MATCH($F71,'CIOG'!$B$10:$B$14,0))="","Cell will autofill based on response",INDEX('CIOG'!$L$10:$L$14,MATCH($F71,'CIOG'!$B$10:$B$14,0))),"N/A")</f>
        <v/>
      </c>
      <c r="R71" s="52">
        <f>IFERROR(IF(INDEX('MRE'!$L$10:$L$18,MATCH($F71,'MRE'!$B$10:$B$18,0))="","Cell will autofill based on response",INDEX('MRE'!$L$10:$L$18,MATCH($F71,'MRE'!$B$10:$B$18,0))),"N/A")</f>
        <v/>
      </c>
      <c r="S71" s="52">
        <f>IFERROR(IF(INDEX('AC&amp;M'!$L$10:$L$14,MATCH($F71,'AC&amp;M'!$B$10:$B$14,0))="","Cell will autofill based on response",INDEX('AC&amp;M'!$L$10:$L$14,MATCH($F71,'AC&amp;M'!$B$10:$B$14,0))),"N/A")</f>
        <v/>
      </c>
      <c r="T71" s="52">
        <f>IFERROR(IF(INDEX('GCE'!$L$10:$L$12,MATCH($F71,'GCE'!$B$10:$B$12,0))="","Cell will autofill based on response",INDEX('GCE'!$L$10:$L$12,MATCH($F71,'GCE'!$B$10:$B$12,0))),"N/A")</f>
        <v/>
      </c>
      <c r="U71" s="52">
        <f>IFERROR(IF(INDEX('Education'!$L$10:$L$13,MATCH($F71,'Education'!$B$10:$B$13,0))="","Cell will autofill based on response",INDEX('Education'!$L$10:$L$13,MATCH($F71,'Education'!$B$10:$B$13,0))),"N/A")</f>
        <v/>
      </c>
      <c r="V71" s="52">
        <f>IFERROR(IF(INDEX('SaSS'!$L$10:$L$12,MATCH($F71,'SaSS'!$B$10:$B$12,0))="","Cell will autofill based on response",INDEX('SaSS'!$L$10:$L$12,MATCH($F71,'SaSS'!$B$10:$B$12,0))),"N/A")</f>
        <v/>
      </c>
      <c r="W71" s="52">
        <f>IFERROR(IF(INDEX('Indigenous'!$L$10:$L$11,MATCH($F71,'Indigenous'!$B$10:$B$11,0))="","Cell will autofill based on response",INDEX('Indigenous'!$L$10:$L$11,MATCH($F71,'Indigenous'!$B$10:$B$11,0))),"N/A")</f>
        <v/>
      </c>
      <c r="X71" s="52">
        <f>IFERROR(IF(INDEX('L&amp;R'!$L$10:$L$11,MATCH($F71,'L&amp;R'!$B$10:$B$11,0))="","Cell will autofill based on response",INDEX('L&amp;R'!$L$10:$L$11,MATCH($F71,'L&amp;R'!$B$10:$B$11,0))),"N/A")</f>
        <v/>
      </c>
      <c r="Z71" s="10">
        <f>COUNTIF($H71:$X71,"Cell will autofill based on response")</f>
        <v/>
      </c>
      <c r="AA71" s="10">
        <f>COUNTIF($H71:$X71,"Not yet started")</f>
        <v/>
      </c>
      <c r="AB71" s="10">
        <f>COUNTIF($H71:$X71,"Not met")</f>
        <v/>
      </c>
      <c r="AC71" s="10">
        <f>COUNTIF($H71:$X71,"Partially met")</f>
        <v/>
      </c>
      <c r="AD71" s="10">
        <f>COUNTIF($H71:$X71,"Met or exceeded")</f>
        <v/>
      </c>
      <c r="AE71" s="10">
        <f>3*AD71+2*AC71+AB71</f>
        <v/>
      </c>
      <c r="AF71" s="10">
        <f>AD71+AC71+AB71+AA71</f>
        <v/>
      </c>
      <c r="AG71" s="53">
        <f>IF(AF71&gt;0,AE71/AF71,"No valid responses to date")</f>
        <v/>
      </c>
      <c r="AH71" s="10">
        <f>IF(ISNUMBER(AG71),INDEX(Lists!$G$2:$G$5,MATCH(ROUND(AG71,0),Lists!$H$2:$H$5,0)),"")</f>
        <v/>
      </c>
      <c r="AI71" s="54">
        <f>IF(AF71&gt;0,AD71/AF71,"")</f>
        <v/>
      </c>
      <c r="AJ71" s="54">
        <f>IF(AF71&gt;0,(AD71+AC71)/AF71,"")</f>
        <v/>
      </c>
      <c r="AK71" s="10">
        <f>IF(AF71=0,"",IF(AI71&gt;0.75,"Met or exceeded",IF(AJ71&gt;=0.5,"Partially met","Not met")))</f>
        <v/>
      </c>
    </row>
    <row r="72">
      <c r="A72">
        <f>F72&amp;"|"&amp;G72</f>
        <v/>
      </c>
      <c r="B72" s="13" t="inlineStr"/>
      <c r="C72" s="8" t="inlineStr"/>
      <c r="D72" s="8" t="inlineStr"/>
      <c r="E72" s="8" t="inlineStr"/>
      <c r="F72" s="8" t="inlineStr">
        <is>
          <t>TR2(d)</t>
        </is>
      </c>
      <c r="G72" s="8" t="inlineStr">
        <is>
          <t>OPTION 1:  Target-level reporting</t>
        </is>
      </c>
      <c r="H72" s="52">
        <f>IFERROR(IF(INDEX('Faculties'!$M$10:$M$19,MATCH($F72,'Faculties'!$B$10:$B$19,0))="","Cell will autofill based on response",INDEX('Faculties'!$M$10:$M$19,MATCH($F72,'Faculties'!$B$10:$B$19,0))),"N/A")</f>
        <v/>
      </c>
      <c r="I72" s="52">
        <f>IFERROR(IF(INDEX('Faculties'!$M$26:$M$35,MATCH($F72,'Faculties'!$B$26:$B$35,0))="","Cell will autofill based on response",INDEX('Faculties'!$M$26:$M$35,MATCH($F72,'Faculties'!$B$26:$B$35,0))),"N/A")</f>
        <v/>
      </c>
      <c r="J72" s="52">
        <f>IFERROR(IF(INDEX('Faculties'!$M$42:$M$51,MATCH($F72,'Faculties'!$B$42:$B$51,0))="","Cell will autofill based on response",INDEX('Faculties'!$M$42:$M$51,MATCH($F72,'Faculties'!$B$42:$B$51,0))),"N/A")</f>
        <v/>
      </c>
      <c r="K72" s="52">
        <f>IFERROR(IF(INDEX('Faculties'!$M$58:$M$67,MATCH($F72,'Faculties'!$B$58:$B$67,0))="","Cell will autofill based on response",INDEX('Faculties'!$M$58:$M$67,MATCH($F72,'Faculties'!$B$58:$B$67,0))),"N/A")</f>
        <v/>
      </c>
      <c r="L72" s="52">
        <f>IFERROR(IF(INDEX('CI&amp;S'!$M$10:$M$15,MATCH($F72,'CI&amp;S'!$B$10:$B$15,0))="","Cell will autofill based on response",INDEX('CI&amp;S'!$M$10:$M$15,MATCH($F72,'CI&amp;S'!$B$10:$B$15,0))),"N/A")</f>
        <v/>
      </c>
      <c r="M72" s="52">
        <f>IFERROR(IF(INDEX('CI&amp;S'!$M$22:$M$36,MATCH($F72,'CI&amp;S'!$B$22:$B$36,0))="","Cell will autofill based on response",INDEX('CI&amp;S'!$M$22:$M$36,MATCH($F72,'CI&amp;S'!$B$22:$B$36,0))),"N/A")</f>
        <v/>
      </c>
      <c r="N72" s="52">
        <f>IFERROR(IF(INDEX('CFOG'!$M$10:$M$16,MATCH($F72,'CFOG'!$B$10:$B$16,0))="","Cell will autofill based on response",INDEX('CFOG'!$M$10:$M$16,MATCH($F72,'CFOG'!$B$10:$B$16,0))),"N/A")</f>
        <v/>
      </c>
      <c r="O72" s="52">
        <f>IFERROR(IF(INDEX('CFOG'!$M$23:$M$24,MATCH($F72,'CFOG'!$B$23:$B$24,0))="","Cell will autofill based on response",INDEX('CFOG'!$M$23:$M$24,MATCH($F72,'CFOG'!$B$23:$B$24,0))),"N/A")</f>
        <v/>
      </c>
      <c r="P72" s="52">
        <f>IFERROR(IF(INDEX('ESG'!$M$10:$M$17,MATCH($F72,'ESG'!$B$10:$B$17,0))="","Cell will autofill based on response",INDEX('ESG'!$M$10:$M$17,MATCH($F72,'ESG'!$B$10:$B$17,0))),"N/A")</f>
        <v/>
      </c>
      <c r="Q72" s="52">
        <f>IFERROR(IF(INDEX('CIOG'!$M$10:$M$14,MATCH($F72,'CIOG'!$B$10:$B$14,0))="","Cell will autofill based on response",INDEX('CIOG'!$M$10:$M$14,MATCH($F72,'CIOG'!$B$10:$B$14,0))),"N/A")</f>
        <v/>
      </c>
      <c r="R72" s="52">
        <f>IFERROR(IF(INDEX('MRE'!$M$10:$M$18,MATCH($F72,'MRE'!$B$10:$B$18,0))="","Cell will autofill based on response",INDEX('MRE'!$M$10:$M$18,MATCH($F72,'MRE'!$B$10:$B$18,0))),"N/A")</f>
        <v/>
      </c>
      <c r="S72" s="52">
        <f>IFERROR(IF(INDEX('AC&amp;M'!$M$10:$M$14,MATCH($F72,'AC&amp;M'!$B$10:$B$14,0))="","Cell will autofill based on response",INDEX('AC&amp;M'!$M$10:$M$14,MATCH($F72,'AC&amp;M'!$B$10:$B$14,0))),"N/A")</f>
        <v/>
      </c>
      <c r="T72" s="52">
        <f>IFERROR(IF(INDEX('GCE'!$M$10:$M$12,MATCH($F72,'GCE'!$B$10:$B$12,0))="","Cell will autofill based on response",INDEX('GCE'!$M$10:$M$12,MATCH($F72,'GCE'!$B$10:$B$12,0))),"N/A")</f>
        <v/>
      </c>
      <c r="U72" s="52">
        <f>IFERROR(IF(INDEX('Education'!$M$10:$M$13,MATCH($F72,'Education'!$B$10:$B$13,0))="","Cell will autofill based on response",INDEX('Education'!$M$10:$M$13,MATCH($F72,'Education'!$B$10:$B$13,0))),"N/A")</f>
        <v/>
      </c>
      <c r="V72" s="52">
        <f>IFERROR(IF(INDEX('SaSS'!$M$10:$M$12,MATCH($F72,'SaSS'!$B$10:$B$12,0))="","Cell will autofill based on response",INDEX('SaSS'!$M$10:$M$12,MATCH($F72,'SaSS'!$B$10:$B$12,0))),"N/A")</f>
        <v/>
      </c>
      <c r="W72" s="52">
        <f>IFERROR(IF(INDEX('Indigenous'!$M$10:$M$11,MATCH($F72,'Indigenous'!$B$10:$B$11,0))="","Cell will autofill based on response",INDEX('Indigenous'!$M$10:$M$11,MATCH($F72,'Indigenous'!$B$10:$B$11,0))),"N/A")</f>
        <v/>
      </c>
      <c r="X72" s="52">
        <f>IFERROR(IF(INDEX('L&amp;R'!$M$10:$M$11,MATCH($F72,'L&amp;R'!$B$10:$B$11,0))="","Cell will autofill based on response",INDEX('L&amp;R'!$M$10:$M$11,MATCH($F72,'L&amp;R'!$B$10:$B$11,0))),"N/A")</f>
        <v/>
      </c>
    </row>
    <row r="73">
      <c r="A73">
        <f>F73&amp;"|"&amp;G73</f>
        <v/>
      </c>
      <c r="B73" s="13" t="inlineStr"/>
      <c r="C73" s="8" t="inlineStr"/>
      <c r="D73" s="8" t="inlineStr"/>
      <c r="E73" s="8" t="inlineStr"/>
      <c r="F73" s="8" t="inlineStr">
        <is>
          <t>TR2(d)</t>
        </is>
      </c>
      <c r="G73" s="8" t="inlineStr">
        <is>
          <t>OPTION 2:  Indicator level reporting</t>
        </is>
      </c>
      <c r="H73" s="52">
        <f>IFERROR(IF(INDEX('Faculties'!$N$10:$N$19,MATCH($F73,'Faculties'!$B$10:$B$19,0))="","Cell will autofill based on response",INDEX('Faculties'!$N$10:$N$19,MATCH($F73,'Faculties'!$B$10:$B$19,0))),"N/A")</f>
        <v/>
      </c>
      <c r="I73" s="52">
        <f>IFERROR(IF(INDEX('Faculties'!$N$26:$N$35,MATCH($F73,'Faculties'!$B$26:$B$35,0))="","Cell will autofill based on response",INDEX('Faculties'!$N$26:$N$35,MATCH($F73,'Faculties'!$B$26:$B$35,0))),"N/A")</f>
        <v/>
      </c>
      <c r="J73" s="52">
        <f>IFERROR(IF(INDEX('Faculties'!$N$42:$N$51,MATCH($F73,'Faculties'!$B$42:$B$51,0))="","Cell will autofill based on response",INDEX('Faculties'!$N$42:$N$51,MATCH($F73,'Faculties'!$B$42:$B$51,0))),"N/A")</f>
        <v/>
      </c>
      <c r="K73" s="52">
        <f>IFERROR(IF(INDEX('Faculties'!$N$58:$N$67,MATCH($F73,'Faculties'!$B$58:$B$67,0))="","Cell will autofill based on response",INDEX('Faculties'!$N$58:$N$67,MATCH($F73,'Faculties'!$B$58:$B$67,0))),"N/A")</f>
        <v/>
      </c>
      <c r="L73" s="52">
        <f>IFERROR(IF(INDEX('CI&amp;S'!$N$10:$N$15,MATCH($F73,'CI&amp;S'!$B$10:$B$15,0))="","Cell will autofill based on response",INDEX('CI&amp;S'!$N$10:$N$15,MATCH($F73,'CI&amp;S'!$B$10:$B$15,0))),"N/A")</f>
        <v/>
      </c>
      <c r="M73" s="52">
        <f>IFERROR(IF(INDEX('CI&amp;S'!$N$22:$N$36,MATCH($F73,'CI&amp;S'!$B$22:$B$36,0))="","Cell will autofill based on response",INDEX('CI&amp;S'!$N$22:$N$36,MATCH($F73,'CI&amp;S'!$B$22:$B$36,0))),"N/A")</f>
        <v/>
      </c>
      <c r="N73" s="52">
        <f>IFERROR(IF(INDEX('CFOG'!$N$10:$N$16,MATCH($F73,'CFOG'!$B$10:$B$16,0))="","Cell will autofill based on response",INDEX('CFOG'!$N$10:$N$16,MATCH($F73,'CFOG'!$B$10:$B$16,0))),"N/A")</f>
        <v/>
      </c>
      <c r="O73" s="52">
        <f>IFERROR(IF(INDEX('CFOG'!$N$23:$N$24,MATCH($F73,'CFOG'!$B$23:$B$24,0))="","Cell will autofill based on response",INDEX('CFOG'!$N$23:$N$24,MATCH($F73,'CFOG'!$B$23:$B$24,0))),"N/A")</f>
        <v/>
      </c>
      <c r="P73" s="52">
        <f>IFERROR(IF(INDEX('ESG'!$N$10:$N$17,MATCH($F73,'ESG'!$B$10:$B$17,0))="","Cell will autofill based on response",INDEX('ESG'!$N$10:$N$17,MATCH($F73,'ESG'!$B$10:$B$17,0))),"N/A")</f>
        <v/>
      </c>
      <c r="Q73" s="52">
        <f>IFERROR(IF(INDEX('CIOG'!$N$10:$N$14,MATCH($F73,'CIOG'!$B$10:$B$14,0))="","Cell will autofill based on response",INDEX('CIOG'!$N$10:$N$14,MATCH($F73,'CIOG'!$B$10:$B$14,0))),"N/A")</f>
        <v/>
      </c>
      <c r="R73" s="52">
        <f>IFERROR(IF(INDEX('MRE'!$N$10:$N$18,MATCH($F73,'MRE'!$B$10:$B$18,0))="","Cell will autofill based on response",INDEX('MRE'!$N$10:$N$18,MATCH($F73,'MRE'!$B$10:$B$18,0))),"N/A")</f>
        <v/>
      </c>
      <c r="S73" s="52">
        <f>IFERROR(IF(INDEX('AC&amp;M'!$N$10:$N$14,MATCH($F73,'AC&amp;M'!$B$10:$B$14,0))="","Cell will autofill based on response",INDEX('AC&amp;M'!$N$10:$N$14,MATCH($F73,'AC&amp;M'!$B$10:$B$14,0))),"N/A")</f>
        <v/>
      </c>
      <c r="T73" s="52">
        <f>IFERROR(IF(INDEX('GCE'!$N$10:$N$12,MATCH($F73,'GCE'!$B$10:$B$12,0))="","Cell will autofill based on response",INDEX('GCE'!$N$10:$N$12,MATCH($F73,'GCE'!$B$10:$B$12,0))),"N/A")</f>
        <v/>
      </c>
      <c r="U73" s="52">
        <f>IFERROR(IF(INDEX('Education'!$N$10:$N$13,MATCH($F73,'Education'!$B$10:$B$13,0))="","Cell will autofill based on response",INDEX('Education'!$N$10:$N$13,MATCH($F73,'Education'!$B$10:$B$13,0))),"N/A")</f>
        <v/>
      </c>
      <c r="V73" s="52">
        <f>IFERROR(IF(INDEX('SaSS'!$N$10:$N$12,MATCH($F73,'SaSS'!$B$10:$B$12,0))="","Cell will autofill based on response",INDEX('SaSS'!$N$10:$N$12,MATCH($F73,'SaSS'!$B$10:$B$12,0))),"N/A")</f>
        <v/>
      </c>
      <c r="W73" s="52">
        <f>IFERROR(IF(INDEX('Indigenous'!$N$10:$N$11,MATCH($F73,'Indigenous'!$B$10:$B$11,0))="","Cell will autofill based on response",INDEX('Indigenous'!$N$10:$N$11,MATCH($F73,'Indigenous'!$B$10:$B$11,0))),"N/A")</f>
        <v/>
      </c>
      <c r="X73" s="52">
        <f>IFERROR(IF(INDEX('L&amp;R'!$N$10:$N$11,MATCH($F73,'L&amp;R'!$B$10:$B$11,0))="","Cell will autofill based on response",INDEX('L&amp;R'!$N$10:$N$11,MATCH($F73,'L&amp;R'!$B$10:$B$11,0))),"N/A")</f>
        <v/>
      </c>
    </row>
    <row r="74">
      <c r="A74">
        <f>F74&amp;"|"&amp;G74</f>
        <v/>
      </c>
      <c r="B74" s="13" t="inlineStr"/>
      <c r="C74" s="8" t="inlineStr"/>
      <c r="D74" s="8" t="inlineStr"/>
      <c r="E74" s="8" t="inlineStr"/>
      <c r="F74" s="8" t="inlineStr">
        <is>
          <t>TR2(d)</t>
        </is>
      </c>
      <c r="G74" s="8" t="inlineStr">
        <is>
          <t>Supporting information/comments</t>
        </is>
      </c>
      <c r="H74" s="52">
        <f>IFERROR(IF(INDEX('Faculties'!$O$10:$O$19,MATCH($F74,'Faculties'!$B$10:$B$19,0))="","Cell will autofill based on response",INDEX('Faculties'!$O$10:$O$19,MATCH($F74,'Faculties'!$B$10:$B$19,0))),"N/A")</f>
        <v/>
      </c>
      <c r="I74" s="52">
        <f>IFERROR(IF(INDEX('Faculties'!$O$26:$O$35,MATCH($F74,'Faculties'!$B$26:$B$35,0))="","Cell will autofill based on response",INDEX('Faculties'!$O$26:$O$35,MATCH($F74,'Faculties'!$B$26:$B$35,0))),"N/A")</f>
        <v/>
      </c>
      <c r="J74" s="52">
        <f>IFERROR(IF(INDEX('Faculties'!$O$42:$O$51,MATCH($F74,'Faculties'!$B$42:$B$51,0))="","Cell will autofill based on response",INDEX('Faculties'!$O$42:$O$51,MATCH($F74,'Faculties'!$B$42:$B$51,0))),"N/A")</f>
        <v/>
      </c>
      <c r="K74" s="52">
        <f>IFERROR(IF(INDEX('Faculties'!$O$58:$O$67,MATCH($F74,'Faculties'!$B$58:$B$67,0))="","Cell will autofill based on response",INDEX('Faculties'!$O$58:$O$67,MATCH($F74,'Faculties'!$B$58:$B$67,0))),"N/A")</f>
        <v/>
      </c>
      <c r="L74" s="52">
        <f>IFERROR(IF(INDEX('CI&amp;S'!$O$10:$O$15,MATCH($F74,'CI&amp;S'!$B$10:$B$15,0))="","Cell will autofill based on response",INDEX('CI&amp;S'!$O$10:$O$15,MATCH($F74,'CI&amp;S'!$B$10:$B$15,0))),"N/A")</f>
        <v/>
      </c>
      <c r="M74" s="52">
        <f>IFERROR(IF(INDEX('CI&amp;S'!$O$22:$O$36,MATCH($F74,'CI&amp;S'!$B$22:$B$36,0))="","Cell will autofill based on response",INDEX('CI&amp;S'!$O$22:$O$36,MATCH($F74,'CI&amp;S'!$B$22:$B$36,0))),"N/A")</f>
        <v/>
      </c>
      <c r="N74" s="52">
        <f>IFERROR(IF(INDEX('CFOG'!$O$10:$O$16,MATCH($F74,'CFOG'!$B$10:$B$16,0))="","Cell will autofill based on response",INDEX('CFOG'!$O$10:$O$16,MATCH($F74,'CFOG'!$B$10:$B$16,0))),"N/A")</f>
        <v/>
      </c>
      <c r="O74" s="52">
        <f>IFERROR(IF(INDEX('CFOG'!$O$23:$O$24,MATCH($F74,'CFOG'!$B$23:$B$24,0))="","Cell will autofill based on response",INDEX('CFOG'!$O$23:$O$24,MATCH($F74,'CFOG'!$B$23:$B$24,0))),"N/A")</f>
        <v/>
      </c>
      <c r="P74" s="52">
        <f>IFERROR(IF(INDEX('ESG'!$O$10:$O$17,MATCH($F74,'ESG'!$B$10:$B$17,0))="","Cell will autofill based on response",INDEX('ESG'!$O$10:$O$17,MATCH($F74,'ESG'!$B$10:$B$17,0))),"N/A")</f>
        <v/>
      </c>
      <c r="Q74" s="52">
        <f>IFERROR(IF(INDEX('CIOG'!$O$10:$O$14,MATCH($F74,'CIOG'!$B$10:$B$14,0))="","Cell will autofill based on response",INDEX('CIOG'!$O$10:$O$14,MATCH($F74,'CIOG'!$B$10:$B$14,0))),"N/A")</f>
        <v/>
      </c>
      <c r="R74" s="52">
        <f>IFERROR(IF(INDEX('MRE'!$O$10:$O$18,MATCH($F74,'MRE'!$B$10:$B$18,0))="","Cell will autofill based on response",INDEX('MRE'!$O$10:$O$18,MATCH($F74,'MRE'!$B$10:$B$18,0))),"N/A")</f>
        <v/>
      </c>
      <c r="S74" s="52">
        <f>IFERROR(IF(INDEX('AC&amp;M'!$O$10:$O$14,MATCH($F74,'AC&amp;M'!$B$10:$B$14,0))="","Cell will autofill based on response",INDEX('AC&amp;M'!$O$10:$O$14,MATCH($F74,'AC&amp;M'!$B$10:$B$14,0))),"N/A")</f>
        <v/>
      </c>
      <c r="T74" s="52">
        <f>IFERROR(IF(INDEX('GCE'!$O$10:$O$12,MATCH($F74,'GCE'!$B$10:$B$12,0))="","Cell will autofill based on response",INDEX('GCE'!$O$10:$O$12,MATCH($F74,'GCE'!$B$10:$B$12,0))),"N/A")</f>
        <v/>
      </c>
      <c r="U74" s="52">
        <f>IFERROR(IF(INDEX('Education'!$O$10:$O$13,MATCH($F74,'Education'!$B$10:$B$13,0))="","Cell will autofill based on response",INDEX('Education'!$O$10:$O$13,MATCH($F74,'Education'!$B$10:$B$13,0))),"N/A")</f>
        <v/>
      </c>
      <c r="V74" s="52">
        <f>IFERROR(IF(INDEX('SaSS'!$O$10:$O$12,MATCH($F74,'SaSS'!$B$10:$B$12,0))="","Cell will autofill based on response",INDEX('SaSS'!$O$10:$O$12,MATCH($F74,'SaSS'!$B$10:$B$12,0))),"N/A")</f>
        <v/>
      </c>
      <c r="W74" s="52">
        <f>IFERROR(IF(INDEX('Indigenous'!$O$10:$O$11,MATCH($F74,'Indigenous'!$B$10:$B$11,0))="","Cell will autofill based on response",INDEX('Indigenous'!$O$10:$O$11,MATCH($F74,'Indigenous'!$B$10:$B$11,0))),"N/A")</f>
        <v/>
      </c>
      <c r="X74" s="52">
        <f>IFERROR(IF(INDEX('L&amp;R'!$O$10:$O$11,MATCH($F74,'L&amp;R'!$B$10:$B$11,0))="","Cell will autofill based on response",INDEX('L&amp;R'!$O$10:$O$11,MATCH($F74,'L&amp;R'!$B$10:$B$11,0))),"N/A")</f>
        <v/>
      </c>
    </row>
    <row r="75">
      <c r="A75">
        <f>F75&amp;"|"&amp;G75</f>
        <v/>
      </c>
      <c r="B75" s="13" t="inlineStr"/>
      <c r="C75" s="8" t="inlineStr"/>
      <c r="D75" s="8" t="inlineStr"/>
      <c r="E75" s="8" t="inlineStr"/>
      <c r="F75" s="8" t="inlineStr">
        <is>
          <t>TR2(d)</t>
        </is>
      </c>
      <c r="G75" s="8" t="inlineStr">
        <is>
          <t>Data source and limitations</t>
        </is>
      </c>
      <c r="H75" s="52">
        <f>IFERROR(IF(INDEX('Faculties'!$P$10:$P$19,MATCH($F75,'Faculties'!$B$10:$B$19,0))="","Cell will autofill based on response",INDEX('Faculties'!$P$10:$P$19,MATCH($F75,'Faculties'!$B$10:$B$19,0))),"N/A")</f>
        <v/>
      </c>
      <c r="I75" s="52">
        <f>IFERROR(IF(INDEX('Faculties'!$P$26:$P$35,MATCH($F75,'Faculties'!$B$26:$B$35,0))="","Cell will autofill based on response",INDEX('Faculties'!$P$26:$P$35,MATCH($F75,'Faculties'!$B$26:$B$35,0))),"N/A")</f>
        <v/>
      </c>
      <c r="J75" s="52">
        <f>IFERROR(IF(INDEX('Faculties'!$P$42:$P$51,MATCH($F75,'Faculties'!$B$42:$B$51,0))="","Cell will autofill based on response",INDEX('Faculties'!$P$42:$P$51,MATCH($F75,'Faculties'!$B$42:$B$51,0))),"N/A")</f>
        <v/>
      </c>
      <c r="K75" s="52">
        <f>IFERROR(IF(INDEX('Faculties'!$P$58:$P$67,MATCH($F75,'Faculties'!$B$58:$B$67,0))="","Cell will autofill based on response",INDEX('Faculties'!$P$58:$P$67,MATCH($F75,'Faculties'!$B$58:$B$67,0))),"N/A")</f>
        <v/>
      </c>
      <c r="L75" s="52">
        <f>IFERROR(IF(INDEX('CI&amp;S'!$P$10:$P$15,MATCH($F75,'CI&amp;S'!$B$10:$B$15,0))="","Cell will autofill based on response",INDEX('CI&amp;S'!$P$10:$P$15,MATCH($F75,'CI&amp;S'!$B$10:$B$15,0))),"N/A")</f>
        <v/>
      </c>
      <c r="M75" s="52">
        <f>IFERROR(IF(INDEX('CI&amp;S'!$P$22:$P$36,MATCH($F75,'CI&amp;S'!$B$22:$B$36,0))="","Cell will autofill based on response",INDEX('CI&amp;S'!$P$22:$P$36,MATCH($F75,'CI&amp;S'!$B$22:$B$36,0))),"N/A")</f>
        <v/>
      </c>
      <c r="N75" s="52">
        <f>IFERROR(IF(INDEX('CFOG'!$P$10:$P$16,MATCH($F75,'CFOG'!$B$10:$B$16,0))="","Cell will autofill based on response",INDEX('CFOG'!$P$10:$P$16,MATCH($F75,'CFOG'!$B$10:$B$16,0))),"N/A")</f>
        <v/>
      </c>
      <c r="O75" s="52">
        <f>IFERROR(IF(INDEX('CFOG'!$P$23:$P$24,MATCH($F75,'CFOG'!$B$23:$B$24,0))="","Cell will autofill based on response",INDEX('CFOG'!$P$23:$P$24,MATCH($F75,'CFOG'!$B$23:$B$24,0))),"N/A")</f>
        <v/>
      </c>
      <c r="P75" s="52">
        <f>IFERROR(IF(INDEX('ESG'!$P$10:$P$17,MATCH($F75,'ESG'!$B$10:$B$17,0))="","Cell will autofill based on response",INDEX('ESG'!$P$10:$P$17,MATCH($F75,'ESG'!$B$10:$B$17,0))),"N/A")</f>
        <v/>
      </c>
      <c r="Q75" s="52">
        <f>IFERROR(IF(INDEX('CIOG'!$P$10:$P$14,MATCH($F75,'CIOG'!$B$10:$B$14,0))="","Cell will autofill based on response",INDEX('CIOG'!$P$10:$P$14,MATCH($F75,'CIOG'!$B$10:$B$14,0))),"N/A")</f>
        <v/>
      </c>
      <c r="R75" s="52">
        <f>IFERROR(IF(INDEX('MRE'!$P$10:$P$18,MATCH($F75,'MRE'!$B$10:$B$18,0))="","Cell will autofill based on response",INDEX('MRE'!$P$10:$P$18,MATCH($F75,'MRE'!$B$10:$B$18,0))),"N/A")</f>
        <v/>
      </c>
      <c r="S75" s="52">
        <f>IFERROR(IF(INDEX('AC&amp;M'!$P$10:$P$14,MATCH($F75,'AC&amp;M'!$B$10:$B$14,0))="","Cell will autofill based on response",INDEX('AC&amp;M'!$P$10:$P$14,MATCH($F75,'AC&amp;M'!$B$10:$B$14,0))),"N/A")</f>
        <v/>
      </c>
      <c r="T75" s="52">
        <f>IFERROR(IF(INDEX('GCE'!$P$10:$P$12,MATCH($F75,'GCE'!$B$10:$B$12,0))="","Cell will autofill based on response",INDEX('GCE'!$P$10:$P$12,MATCH($F75,'GCE'!$B$10:$B$12,0))),"N/A")</f>
        <v/>
      </c>
      <c r="U75" s="52">
        <f>IFERROR(IF(INDEX('Education'!$P$10:$P$13,MATCH($F75,'Education'!$B$10:$B$13,0))="","Cell will autofill based on response",INDEX('Education'!$P$10:$P$13,MATCH($F75,'Education'!$B$10:$B$13,0))),"N/A")</f>
        <v/>
      </c>
      <c r="V75" s="52">
        <f>IFERROR(IF(INDEX('SaSS'!$P$10:$P$12,MATCH($F75,'SaSS'!$B$10:$B$12,0))="","Cell will autofill based on response",INDEX('SaSS'!$P$10:$P$12,MATCH($F75,'SaSS'!$B$10:$B$12,0))),"N/A")</f>
        <v/>
      </c>
      <c r="W75" s="52">
        <f>IFERROR(IF(INDEX('Indigenous'!$P$10:$P$11,MATCH($F75,'Indigenous'!$B$10:$B$11,0))="","Cell will autofill based on response",INDEX('Indigenous'!$P$10:$P$11,MATCH($F75,'Indigenous'!$B$10:$B$11,0))),"N/A")</f>
        <v/>
      </c>
      <c r="X75" s="52">
        <f>IFERROR(IF(INDEX('L&amp;R'!$P$10:$P$11,MATCH($F75,'L&amp;R'!$B$10:$B$11,0))="","Cell will autofill based on response",INDEX('L&amp;R'!$P$10:$P$11,MATCH($F75,'L&amp;R'!$B$10:$B$11,0))),"N/A")</f>
        <v/>
      </c>
    </row>
    <row r="76">
      <c r="A76">
        <f>F76&amp;"|"&amp;G76</f>
        <v/>
      </c>
      <c r="B76" s="13" t="inlineStr"/>
      <c r="C76" s="8" t="inlineStr"/>
      <c r="D76" s="8" t="inlineStr"/>
      <c r="E76" s="8" t="inlineStr"/>
      <c r="F76" s="8" t="inlineStr">
        <is>
          <t>TR2(d)</t>
        </is>
      </c>
      <c r="G76" s="8" t="inlineStr">
        <is>
          <t>Data owner confirms</t>
        </is>
      </c>
      <c r="H76" s="52">
        <f>IFERROR(IF(INDEX('Faculties'!$Q$10:$Q$19,MATCH($F76,'Faculties'!$B$10:$B$19,0))="","Cell will autofill based on response",INDEX('Faculties'!$Q$10:$Q$19,MATCH($F76,'Faculties'!$B$10:$B$19,0))),"N/A")</f>
        <v/>
      </c>
      <c r="I76" s="52">
        <f>IFERROR(IF(INDEX('Faculties'!$Q$26:$Q$35,MATCH($F76,'Faculties'!$B$26:$B$35,0))="","Cell will autofill based on response",INDEX('Faculties'!$Q$26:$Q$35,MATCH($F76,'Faculties'!$B$26:$B$35,0))),"N/A")</f>
        <v/>
      </c>
      <c r="J76" s="52">
        <f>IFERROR(IF(INDEX('Faculties'!$Q$42:$Q$51,MATCH($F76,'Faculties'!$B$42:$B$51,0))="","Cell will autofill based on response",INDEX('Faculties'!$Q$42:$Q$51,MATCH($F76,'Faculties'!$B$42:$B$51,0))),"N/A")</f>
        <v/>
      </c>
      <c r="K76" s="52">
        <f>IFERROR(IF(INDEX('Faculties'!$Q$58:$Q$67,MATCH($F76,'Faculties'!$B$58:$B$67,0))="","Cell will autofill based on response",INDEX('Faculties'!$Q$58:$Q$67,MATCH($F76,'Faculties'!$B$58:$B$67,0))),"N/A")</f>
        <v/>
      </c>
      <c r="L76" s="52">
        <f>IFERROR(IF(INDEX('CI&amp;S'!$Q$10:$Q$15,MATCH($F76,'CI&amp;S'!$B$10:$B$15,0))="","Cell will autofill based on response",INDEX('CI&amp;S'!$Q$10:$Q$15,MATCH($F76,'CI&amp;S'!$B$10:$B$15,0))),"N/A")</f>
        <v/>
      </c>
      <c r="M76" s="52">
        <f>IFERROR(IF(INDEX('CI&amp;S'!$Q$22:$Q$36,MATCH($F76,'CI&amp;S'!$B$22:$B$36,0))="","Cell will autofill based on response",INDEX('CI&amp;S'!$Q$22:$Q$36,MATCH($F76,'CI&amp;S'!$B$22:$B$36,0))),"N/A")</f>
        <v/>
      </c>
      <c r="N76" s="52">
        <f>IFERROR(IF(INDEX('CFOG'!$Q$10:$Q$16,MATCH($F76,'CFOG'!$B$10:$B$16,0))="","Cell will autofill based on response",INDEX('CFOG'!$Q$10:$Q$16,MATCH($F76,'CFOG'!$B$10:$B$16,0))),"N/A")</f>
        <v/>
      </c>
      <c r="O76" s="52">
        <f>IFERROR(IF(INDEX('CFOG'!$Q$23:$Q$24,MATCH($F76,'CFOG'!$B$23:$B$24,0))="","Cell will autofill based on response",INDEX('CFOG'!$Q$23:$Q$24,MATCH($F76,'CFOG'!$B$23:$B$24,0))),"N/A")</f>
        <v/>
      </c>
      <c r="P76" s="52">
        <f>IFERROR(IF(INDEX('ESG'!$Q$10:$Q$17,MATCH($F76,'ESG'!$B$10:$B$17,0))="","Cell will autofill based on response",INDEX('ESG'!$Q$10:$Q$17,MATCH($F76,'ESG'!$B$10:$B$17,0))),"N/A")</f>
        <v/>
      </c>
      <c r="Q76" s="52">
        <f>IFERROR(IF(INDEX('CIOG'!$Q$10:$Q$14,MATCH($F76,'CIOG'!$B$10:$B$14,0))="","Cell will autofill based on response",INDEX('CIOG'!$Q$10:$Q$14,MATCH($F76,'CIOG'!$B$10:$B$14,0))),"N/A")</f>
        <v/>
      </c>
      <c r="R76" s="52">
        <f>IFERROR(IF(INDEX('MRE'!$Q$10:$Q$18,MATCH($F76,'MRE'!$B$10:$B$18,0))="","Cell will autofill based on response",INDEX('MRE'!$Q$10:$Q$18,MATCH($F76,'MRE'!$B$10:$B$18,0))),"N/A")</f>
        <v/>
      </c>
      <c r="S76" s="52">
        <f>IFERROR(IF(INDEX('AC&amp;M'!$Q$10:$Q$14,MATCH($F76,'AC&amp;M'!$B$10:$B$14,0))="","Cell will autofill based on response",INDEX('AC&amp;M'!$Q$10:$Q$14,MATCH($F76,'AC&amp;M'!$B$10:$B$14,0))),"N/A")</f>
        <v/>
      </c>
      <c r="T76" s="52">
        <f>IFERROR(IF(INDEX('GCE'!$Q$10:$Q$12,MATCH($F76,'GCE'!$B$10:$B$12,0))="","Cell will autofill based on response",INDEX('GCE'!$Q$10:$Q$12,MATCH($F76,'GCE'!$B$10:$B$12,0))),"N/A")</f>
        <v/>
      </c>
      <c r="U76" s="52">
        <f>IFERROR(IF(INDEX('Education'!$Q$10:$Q$13,MATCH($F76,'Education'!$B$10:$B$13,0))="","Cell will autofill based on response",INDEX('Education'!$Q$10:$Q$13,MATCH($F76,'Education'!$B$10:$B$13,0))),"N/A")</f>
        <v/>
      </c>
      <c r="V76" s="52">
        <f>IFERROR(IF(INDEX('SaSS'!$Q$10:$Q$12,MATCH($F76,'SaSS'!$B$10:$B$12,0))="","Cell will autofill based on response",INDEX('SaSS'!$Q$10:$Q$12,MATCH($F76,'SaSS'!$B$10:$B$12,0))),"N/A")</f>
        <v/>
      </c>
      <c r="W76" s="52">
        <f>IFERROR(IF(INDEX('Indigenous'!$Q$10:$Q$11,MATCH($F76,'Indigenous'!$B$10:$B$11,0))="","Cell will autofill based on response",INDEX('Indigenous'!$Q$10:$Q$11,MATCH($F76,'Indigenous'!$B$10:$B$11,0))),"N/A")</f>
        <v/>
      </c>
      <c r="X76" s="52">
        <f>IFERROR(IF(INDEX('L&amp;R'!$Q$10:$Q$11,MATCH($F76,'L&amp;R'!$B$10:$B$11,0))="","Cell will autofill based on response",INDEX('L&amp;R'!$Q$10:$Q$11,MATCH($F76,'L&amp;R'!$B$10:$B$11,0))),"N/A")</f>
        <v/>
      </c>
    </row>
    <row r="77">
      <c r="A77">
        <f>F77&amp;"|"&amp;G77</f>
        <v/>
      </c>
      <c r="B77" s="7" t="inlineStr">
        <is>
          <t>TR3(a)</t>
        </is>
      </c>
      <c r="C77" s="50" t="inlineStr">
        <is>
          <t>Transformational research</t>
        </is>
      </c>
      <c r="D77" s="50" t="inlineStr">
        <is>
          <t>Evidence that sustainability considerations are integrated into relevant research systems, planning processes, guidance, training, induction or support services</t>
        </is>
      </c>
      <c r="E77" s="50" t="inlineStr">
        <is>
          <t>Please describe how sustainability considerations are integrated into research systems, planning processes, guidance, training, induction or support services within your Faculty/Portfolio, could include examples of any new or improved processes.</t>
        </is>
      </c>
      <c r="F77" s="50" t="inlineStr">
        <is>
          <t>TR3(a)</t>
        </is>
      </c>
      <c r="G77" s="50" t="inlineStr">
        <is>
          <t>Confirm end-2026 target status</t>
        </is>
      </c>
      <c r="H77" s="52">
        <f>IFERROR(IF(INDEX('Faculties'!$L$10:$L$19,MATCH($F77,'Faculties'!$B$10:$B$19,0))="","Cell will autofill based on response",INDEX('Faculties'!$L$10:$L$19,MATCH($F77,'Faculties'!$B$10:$B$19,0))),"N/A")</f>
        <v/>
      </c>
      <c r="I77" s="52">
        <f>IFERROR(IF(INDEX('Faculties'!$L$26:$L$35,MATCH($F77,'Faculties'!$B$26:$B$35,0))="","Cell will autofill based on response",INDEX('Faculties'!$L$26:$L$35,MATCH($F77,'Faculties'!$B$26:$B$35,0))),"N/A")</f>
        <v/>
      </c>
      <c r="J77" s="52">
        <f>IFERROR(IF(INDEX('Faculties'!$L$42:$L$51,MATCH($F77,'Faculties'!$B$42:$B$51,0))="","Cell will autofill based on response",INDEX('Faculties'!$L$42:$L$51,MATCH($F77,'Faculties'!$B$42:$B$51,0))),"N/A")</f>
        <v/>
      </c>
      <c r="K77" s="52">
        <f>IFERROR(IF(INDEX('Faculties'!$L$58:$L$67,MATCH($F77,'Faculties'!$B$58:$B$67,0))="","Cell will autofill based on response",INDEX('Faculties'!$L$58:$L$67,MATCH($F77,'Faculties'!$B$58:$B$67,0))),"N/A")</f>
        <v/>
      </c>
      <c r="L77" s="52">
        <f>IFERROR(IF(INDEX('CI&amp;S'!$L$10:$L$15,MATCH($F77,'CI&amp;S'!$B$10:$B$15,0))="","Cell will autofill based on response",INDEX('CI&amp;S'!$L$10:$L$15,MATCH($F77,'CI&amp;S'!$B$10:$B$15,0))),"N/A")</f>
        <v/>
      </c>
      <c r="M77" s="52">
        <f>IFERROR(IF(INDEX('CI&amp;S'!$L$22:$L$36,MATCH($F77,'CI&amp;S'!$B$22:$B$36,0))="","Cell will autofill based on response",INDEX('CI&amp;S'!$L$22:$L$36,MATCH($F77,'CI&amp;S'!$B$22:$B$36,0))),"N/A")</f>
        <v/>
      </c>
      <c r="N77" s="52">
        <f>IFERROR(IF(INDEX('CFOG'!$L$10:$L$16,MATCH($F77,'CFOG'!$B$10:$B$16,0))="","Cell will autofill based on response",INDEX('CFOG'!$L$10:$L$16,MATCH($F77,'CFOG'!$B$10:$B$16,0))),"N/A")</f>
        <v/>
      </c>
      <c r="O77" s="52">
        <f>IFERROR(IF(INDEX('CFOG'!$L$23:$L$24,MATCH($F77,'CFOG'!$B$23:$B$24,0))="","Cell will autofill based on response",INDEX('CFOG'!$L$23:$L$24,MATCH($F77,'CFOG'!$B$23:$B$24,0))),"N/A")</f>
        <v/>
      </c>
      <c r="P77" s="52">
        <f>IFERROR(IF(INDEX('ESG'!$L$10:$L$17,MATCH($F77,'ESG'!$B$10:$B$17,0))="","Cell will autofill based on response",INDEX('ESG'!$L$10:$L$17,MATCH($F77,'ESG'!$B$10:$B$17,0))),"N/A")</f>
        <v/>
      </c>
      <c r="Q77" s="52">
        <f>IFERROR(IF(INDEX('CIOG'!$L$10:$L$14,MATCH($F77,'CIOG'!$B$10:$B$14,0))="","Cell will autofill based on response",INDEX('CIOG'!$L$10:$L$14,MATCH($F77,'CIOG'!$B$10:$B$14,0))),"N/A")</f>
        <v/>
      </c>
      <c r="R77" s="52">
        <f>IFERROR(IF(INDEX('MRE'!$L$10:$L$18,MATCH($F77,'MRE'!$B$10:$B$18,0))="","Cell will autofill based on response",INDEX('MRE'!$L$10:$L$18,MATCH($F77,'MRE'!$B$10:$B$18,0))),"N/A")</f>
        <v/>
      </c>
      <c r="S77" s="52">
        <f>IFERROR(IF(INDEX('AC&amp;M'!$L$10:$L$14,MATCH($F77,'AC&amp;M'!$B$10:$B$14,0))="","Cell will autofill based on response",INDEX('AC&amp;M'!$L$10:$L$14,MATCH($F77,'AC&amp;M'!$B$10:$B$14,0))),"N/A")</f>
        <v/>
      </c>
      <c r="T77" s="52">
        <f>IFERROR(IF(INDEX('GCE'!$L$10:$L$12,MATCH($F77,'GCE'!$B$10:$B$12,0))="","Cell will autofill based on response",INDEX('GCE'!$L$10:$L$12,MATCH($F77,'GCE'!$B$10:$B$12,0))),"N/A")</f>
        <v/>
      </c>
      <c r="U77" s="52">
        <f>IFERROR(IF(INDEX('Education'!$L$10:$L$13,MATCH($F77,'Education'!$B$10:$B$13,0))="","Cell will autofill based on response",INDEX('Education'!$L$10:$L$13,MATCH($F77,'Education'!$B$10:$B$13,0))),"N/A")</f>
        <v/>
      </c>
      <c r="V77" s="52">
        <f>IFERROR(IF(INDEX('SaSS'!$L$10:$L$12,MATCH($F77,'SaSS'!$B$10:$B$12,0))="","Cell will autofill based on response",INDEX('SaSS'!$L$10:$L$12,MATCH($F77,'SaSS'!$B$10:$B$12,0))),"N/A")</f>
        <v/>
      </c>
      <c r="W77" s="52">
        <f>IFERROR(IF(INDEX('Indigenous'!$L$10:$L$11,MATCH($F77,'Indigenous'!$B$10:$B$11,0))="","Cell will autofill based on response",INDEX('Indigenous'!$L$10:$L$11,MATCH($F77,'Indigenous'!$B$10:$B$11,0))),"N/A")</f>
        <v/>
      </c>
      <c r="X77" s="52">
        <f>IFERROR(IF(INDEX('L&amp;R'!$L$10:$L$11,MATCH($F77,'L&amp;R'!$B$10:$B$11,0))="","Cell will autofill based on response",INDEX('L&amp;R'!$L$10:$L$11,MATCH($F77,'L&amp;R'!$B$10:$B$11,0))),"N/A")</f>
        <v/>
      </c>
      <c r="Z77" s="10">
        <f>COUNTIF($H77:$X77,"Cell will autofill based on response")</f>
        <v/>
      </c>
      <c r="AA77" s="10">
        <f>COUNTIF($H77:$X77,"Not yet started")</f>
        <v/>
      </c>
      <c r="AB77" s="10">
        <f>COUNTIF($H77:$X77,"Not met")</f>
        <v/>
      </c>
      <c r="AC77" s="10">
        <f>COUNTIF($H77:$X77,"Partially met")</f>
        <v/>
      </c>
      <c r="AD77" s="10">
        <f>COUNTIF($H77:$X77,"Met or exceeded")</f>
        <v/>
      </c>
      <c r="AE77" s="10">
        <f>3*AD77+2*AC77+AB77</f>
        <v/>
      </c>
      <c r="AF77" s="10">
        <f>AD77+AC77+AB77+AA77</f>
        <v/>
      </c>
      <c r="AG77" s="53">
        <f>IF(AF77&gt;0,AE77/AF77,"No valid responses to date")</f>
        <v/>
      </c>
      <c r="AH77" s="10">
        <f>IF(ISNUMBER(AG77),INDEX(Lists!$G$2:$G$5,MATCH(ROUND(AG77,0),Lists!$H$2:$H$5,0)),"")</f>
        <v/>
      </c>
      <c r="AI77" s="54">
        <f>IF(AF77&gt;0,AD77/AF77,"")</f>
        <v/>
      </c>
      <c r="AJ77" s="54">
        <f>IF(AF77&gt;0,(AD77+AC77)/AF77,"")</f>
        <v/>
      </c>
      <c r="AK77" s="10">
        <f>IF(AF77=0,"",IF(AI77&gt;0.75,"Met or exceeded",IF(AJ77&gt;=0.5,"Partially met","Not met")))</f>
        <v/>
      </c>
    </row>
    <row r="78">
      <c r="A78">
        <f>F78&amp;"|"&amp;G78</f>
        <v/>
      </c>
      <c r="B78" s="13" t="inlineStr"/>
      <c r="C78" s="8" t="inlineStr"/>
      <c r="D78" s="8" t="inlineStr"/>
      <c r="E78" s="8" t="inlineStr"/>
      <c r="F78" s="8" t="inlineStr">
        <is>
          <t>TR3(a)</t>
        </is>
      </c>
      <c r="G78" s="8" t="inlineStr">
        <is>
          <t>OPTION 1:  Target-level reporting</t>
        </is>
      </c>
      <c r="H78" s="52">
        <f>IFERROR(IF(INDEX('Faculties'!$M$10:$M$19,MATCH($F78,'Faculties'!$B$10:$B$19,0))="","Cell will autofill based on response",INDEX('Faculties'!$M$10:$M$19,MATCH($F78,'Faculties'!$B$10:$B$19,0))),"N/A")</f>
        <v/>
      </c>
      <c r="I78" s="52">
        <f>IFERROR(IF(INDEX('Faculties'!$M$26:$M$35,MATCH($F78,'Faculties'!$B$26:$B$35,0))="","Cell will autofill based on response",INDEX('Faculties'!$M$26:$M$35,MATCH($F78,'Faculties'!$B$26:$B$35,0))),"N/A")</f>
        <v/>
      </c>
      <c r="J78" s="52">
        <f>IFERROR(IF(INDEX('Faculties'!$M$42:$M$51,MATCH($F78,'Faculties'!$B$42:$B$51,0))="","Cell will autofill based on response",INDEX('Faculties'!$M$42:$M$51,MATCH($F78,'Faculties'!$B$42:$B$51,0))),"N/A")</f>
        <v/>
      </c>
      <c r="K78" s="52">
        <f>IFERROR(IF(INDEX('Faculties'!$M$58:$M$67,MATCH($F78,'Faculties'!$B$58:$B$67,0))="","Cell will autofill based on response",INDEX('Faculties'!$M$58:$M$67,MATCH($F78,'Faculties'!$B$58:$B$67,0))),"N/A")</f>
        <v/>
      </c>
      <c r="L78" s="52">
        <f>IFERROR(IF(INDEX('CI&amp;S'!$M$10:$M$15,MATCH($F78,'CI&amp;S'!$B$10:$B$15,0))="","Cell will autofill based on response",INDEX('CI&amp;S'!$M$10:$M$15,MATCH($F78,'CI&amp;S'!$B$10:$B$15,0))),"N/A")</f>
        <v/>
      </c>
      <c r="M78" s="52">
        <f>IFERROR(IF(INDEX('CI&amp;S'!$M$22:$M$36,MATCH($F78,'CI&amp;S'!$B$22:$B$36,0))="","Cell will autofill based on response",INDEX('CI&amp;S'!$M$22:$M$36,MATCH($F78,'CI&amp;S'!$B$22:$B$36,0))),"N/A")</f>
        <v/>
      </c>
      <c r="N78" s="52">
        <f>IFERROR(IF(INDEX('CFOG'!$M$10:$M$16,MATCH($F78,'CFOG'!$B$10:$B$16,0))="","Cell will autofill based on response",INDEX('CFOG'!$M$10:$M$16,MATCH($F78,'CFOG'!$B$10:$B$16,0))),"N/A")</f>
        <v/>
      </c>
      <c r="O78" s="52">
        <f>IFERROR(IF(INDEX('CFOG'!$M$23:$M$24,MATCH($F78,'CFOG'!$B$23:$B$24,0))="","Cell will autofill based on response",INDEX('CFOG'!$M$23:$M$24,MATCH($F78,'CFOG'!$B$23:$B$24,0))),"N/A")</f>
        <v/>
      </c>
      <c r="P78" s="52">
        <f>IFERROR(IF(INDEX('ESG'!$M$10:$M$17,MATCH($F78,'ESG'!$B$10:$B$17,0))="","Cell will autofill based on response",INDEX('ESG'!$M$10:$M$17,MATCH($F78,'ESG'!$B$10:$B$17,0))),"N/A")</f>
        <v/>
      </c>
      <c r="Q78" s="52">
        <f>IFERROR(IF(INDEX('CIOG'!$M$10:$M$14,MATCH($F78,'CIOG'!$B$10:$B$14,0))="","Cell will autofill based on response",INDEX('CIOG'!$M$10:$M$14,MATCH($F78,'CIOG'!$B$10:$B$14,0))),"N/A")</f>
        <v/>
      </c>
      <c r="R78" s="52">
        <f>IFERROR(IF(INDEX('MRE'!$M$10:$M$18,MATCH($F78,'MRE'!$B$10:$B$18,0))="","Cell will autofill based on response",INDEX('MRE'!$M$10:$M$18,MATCH($F78,'MRE'!$B$10:$B$18,0))),"N/A")</f>
        <v/>
      </c>
      <c r="S78" s="52">
        <f>IFERROR(IF(INDEX('AC&amp;M'!$M$10:$M$14,MATCH($F78,'AC&amp;M'!$B$10:$B$14,0))="","Cell will autofill based on response",INDEX('AC&amp;M'!$M$10:$M$14,MATCH($F78,'AC&amp;M'!$B$10:$B$14,0))),"N/A")</f>
        <v/>
      </c>
      <c r="T78" s="52">
        <f>IFERROR(IF(INDEX('GCE'!$M$10:$M$12,MATCH($F78,'GCE'!$B$10:$B$12,0))="","Cell will autofill based on response",INDEX('GCE'!$M$10:$M$12,MATCH($F78,'GCE'!$B$10:$B$12,0))),"N/A")</f>
        <v/>
      </c>
      <c r="U78" s="52">
        <f>IFERROR(IF(INDEX('Education'!$M$10:$M$13,MATCH($F78,'Education'!$B$10:$B$13,0))="","Cell will autofill based on response",INDEX('Education'!$M$10:$M$13,MATCH($F78,'Education'!$B$10:$B$13,0))),"N/A")</f>
        <v/>
      </c>
      <c r="V78" s="52">
        <f>IFERROR(IF(INDEX('SaSS'!$M$10:$M$12,MATCH($F78,'SaSS'!$B$10:$B$12,0))="","Cell will autofill based on response",INDEX('SaSS'!$M$10:$M$12,MATCH($F78,'SaSS'!$B$10:$B$12,0))),"N/A")</f>
        <v/>
      </c>
      <c r="W78" s="52">
        <f>IFERROR(IF(INDEX('Indigenous'!$M$10:$M$11,MATCH($F78,'Indigenous'!$B$10:$B$11,0))="","Cell will autofill based on response",INDEX('Indigenous'!$M$10:$M$11,MATCH($F78,'Indigenous'!$B$10:$B$11,0))),"N/A")</f>
        <v/>
      </c>
      <c r="X78" s="52">
        <f>IFERROR(IF(INDEX('L&amp;R'!$M$10:$M$11,MATCH($F78,'L&amp;R'!$B$10:$B$11,0))="","Cell will autofill based on response",INDEX('L&amp;R'!$M$10:$M$11,MATCH($F78,'L&amp;R'!$B$10:$B$11,0))),"N/A")</f>
        <v/>
      </c>
    </row>
    <row r="79">
      <c r="A79">
        <f>F79&amp;"|"&amp;G79</f>
        <v/>
      </c>
      <c r="B79" s="13" t="inlineStr"/>
      <c r="C79" s="8" t="inlineStr"/>
      <c r="D79" s="8" t="inlineStr"/>
      <c r="E79" s="8" t="inlineStr"/>
      <c r="F79" s="8" t="inlineStr">
        <is>
          <t>TR3(a)</t>
        </is>
      </c>
      <c r="G79" s="8" t="inlineStr">
        <is>
          <t>OPTION 2:  Indicator level reporting</t>
        </is>
      </c>
      <c r="H79" s="52">
        <f>IFERROR(IF(INDEX('Faculties'!$N$10:$N$19,MATCH($F79,'Faculties'!$B$10:$B$19,0))="","Cell will autofill based on response",INDEX('Faculties'!$N$10:$N$19,MATCH($F79,'Faculties'!$B$10:$B$19,0))),"N/A")</f>
        <v/>
      </c>
      <c r="I79" s="52">
        <f>IFERROR(IF(INDEX('Faculties'!$N$26:$N$35,MATCH($F79,'Faculties'!$B$26:$B$35,0))="","Cell will autofill based on response",INDEX('Faculties'!$N$26:$N$35,MATCH($F79,'Faculties'!$B$26:$B$35,0))),"N/A")</f>
        <v/>
      </c>
      <c r="J79" s="52">
        <f>IFERROR(IF(INDEX('Faculties'!$N$42:$N$51,MATCH($F79,'Faculties'!$B$42:$B$51,0))="","Cell will autofill based on response",INDEX('Faculties'!$N$42:$N$51,MATCH($F79,'Faculties'!$B$42:$B$51,0))),"N/A")</f>
        <v/>
      </c>
      <c r="K79" s="52">
        <f>IFERROR(IF(INDEX('Faculties'!$N$58:$N$67,MATCH($F79,'Faculties'!$B$58:$B$67,0))="","Cell will autofill based on response",INDEX('Faculties'!$N$58:$N$67,MATCH($F79,'Faculties'!$B$58:$B$67,0))),"N/A")</f>
        <v/>
      </c>
      <c r="L79" s="52">
        <f>IFERROR(IF(INDEX('CI&amp;S'!$N$10:$N$15,MATCH($F79,'CI&amp;S'!$B$10:$B$15,0))="","Cell will autofill based on response",INDEX('CI&amp;S'!$N$10:$N$15,MATCH($F79,'CI&amp;S'!$B$10:$B$15,0))),"N/A")</f>
        <v/>
      </c>
      <c r="M79" s="52">
        <f>IFERROR(IF(INDEX('CI&amp;S'!$N$22:$N$36,MATCH($F79,'CI&amp;S'!$B$22:$B$36,0))="","Cell will autofill based on response",INDEX('CI&amp;S'!$N$22:$N$36,MATCH($F79,'CI&amp;S'!$B$22:$B$36,0))),"N/A")</f>
        <v/>
      </c>
      <c r="N79" s="52">
        <f>IFERROR(IF(INDEX('CFOG'!$N$10:$N$16,MATCH($F79,'CFOG'!$B$10:$B$16,0))="","Cell will autofill based on response",INDEX('CFOG'!$N$10:$N$16,MATCH($F79,'CFOG'!$B$10:$B$16,0))),"N/A")</f>
        <v/>
      </c>
      <c r="O79" s="52">
        <f>IFERROR(IF(INDEX('CFOG'!$N$23:$N$24,MATCH($F79,'CFOG'!$B$23:$B$24,0))="","Cell will autofill based on response",INDEX('CFOG'!$N$23:$N$24,MATCH($F79,'CFOG'!$B$23:$B$24,0))),"N/A")</f>
        <v/>
      </c>
      <c r="P79" s="52">
        <f>IFERROR(IF(INDEX('ESG'!$N$10:$N$17,MATCH($F79,'ESG'!$B$10:$B$17,0))="","Cell will autofill based on response",INDEX('ESG'!$N$10:$N$17,MATCH($F79,'ESG'!$B$10:$B$17,0))),"N/A")</f>
        <v/>
      </c>
      <c r="Q79" s="52">
        <f>IFERROR(IF(INDEX('CIOG'!$N$10:$N$14,MATCH($F79,'CIOG'!$B$10:$B$14,0))="","Cell will autofill based on response",INDEX('CIOG'!$N$10:$N$14,MATCH($F79,'CIOG'!$B$10:$B$14,0))),"N/A")</f>
        <v/>
      </c>
      <c r="R79" s="52">
        <f>IFERROR(IF(INDEX('MRE'!$N$10:$N$18,MATCH($F79,'MRE'!$B$10:$B$18,0))="","Cell will autofill based on response",INDEX('MRE'!$N$10:$N$18,MATCH($F79,'MRE'!$B$10:$B$18,0))),"N/A")</f>
        <v/>
      </c>
      <c r="S79" s="52">
        <f>IFERROR(IF(INDEX('AC&amp;M'!$N$10:$N$14,MATCH($F79,'AC&amp;M'!$B$10:$B$14,0))="","Cell will autofill based on response",INDEX('AC&amp;M'!$N$10:$N$14,MATCH($F79,'AC&amp;M'!$B$10:$B$14,0))),"N/A")</f>
        <v/>
      </c>
      <c r="T79" s="52">
        <f>IFERROR(IF(INDEX('GCE'!$N$10:$N$12,MATCH($F79,'GCE'!$B$10:$B$12,0))="","Cell will autofill based on response",INDEX('GCE'!$N$10:$N$12,MATCH($F79,'GCE'!$B$10:$B$12,0))),"N/A")</f>
        <v/>
      </c>
      <c r="U79" s="52">
        <f>IFERROR(IF(INDEX('Education'!$N$10:$N$13,MATCH($F79,'Education'!$B$10:$B$13,0))="","Cell will autofill based on response",INDEX('Education'!$N$10:$N$13,MATCH($F79,'Education'!$B$10:$B$13,0))),"N/A")</f>
        <v/>
      </c>
      <c r="V79" s="52">
        <f>IFERROR(IF(INDEX('SaSS'!$N$10:$N$12,MATCH($F79,'SaSS'!$B$10:$B$12,0))="","Cell will autofill based on response",INDEX('SaSS'!$N$10:$N$12,MATCH($F79,'SaSS'!$B$10:$B$12,0))),"N/A")</f>
        <v/>
      </c>
      <c r="W79" s="52">
        <f>IFERROR(IF(INDEX('Indigenous'!$N$10:$N$11,MATCH($F79,'Indigenous'!$B$10:$B$11,0))="","Cell will autofill based on response",INDEX('Indigenous'!$N$10:$N$11,MATCH($F79,'Indigenous'!$B$10:$B$11,0))),"N/A")</f>
        <v/>
      </c>
      <c r="X79" s="52">
        <f>IFERROR(IF(INDEX('L&amp;R'!$N$10:$N$11,MATCH($F79,'L&amp;R'!$B$10:$B$11,0))="","Cell will autofill based on response",INDEX('L&amp;R'!$N$10:$N$11,MATCH($F79,'L&amp;R'!$B$10:$B$11,0))),"N/A")</f>
        <v/>
      </c>
    </row>
    <row r="80">
      <c r="A80">
        <f>F80&amp;"|"&amp;G80</f>
        <v/>
      </c>
      <c r="B80" s="13" t="inlineStr"/>
      <c r="C80" s="8" t="inlineStr"/>
      <c r="D80" s="8" t="inlineStr"/>
      <c r="E80" s="8" t="inlineStr"/>
      <c r="F80" s="8" t="inlineStr">
        <is>
          <t>TR3(a)</t>
        </is>
      </c>
      <c r="G80" s="8" t="inlineStr">
        <is>
          <t>Supporting information/comments</t>
        </is>
      </c>
      <c r="H80" s="52">
        <f>IFERROR(IF(INDEX('Faculties'!$O$10:$O$19,MATCH($F80,'Faculties'!$B$10:$B$19,0))="","Cell will autofill based on response",INDEX('Faculties'!$O$10:$O$19,MATCH($F80,'Faculties'!$B$10:$B$19,0))),"N/A")</f>
        <v/>
      </c>
      <c r="I80" s="52">
        <f>IFERROR(IF(INDEX('Faculties'!$O$26:$O$35,MATCH($F80,'Faculties'!$B$26:$B$35,0))="","Cell will autofill based on response",INDEX('Faculties'!$O$26:$O$35,MATCH($F80,'Faculties'!$B$26:$B$35,0))),"N/A")</f>
        <v/>
      </c>
      <c r="J80" s="52">
        <f>IFERROR(IF(INDEX('Faculties'!$O$42:$O$51,MATCH($F80,'Faculties'!$B$42:$B$51,0))="","Cell will autofill based on response",INDEX('Faculties'!$O$42:$O$51,MATCH($F80,'Faculties'!$B$42:$B$51,0))),"N/A")</f>
        <v/>
      </c>
      <c r="K80" s="52">
        <f>IFERROR(IF(INDEX('Faculties'!$O$58:$O$67,MATCH($F80,'Faculties'!$B$58:$B$67,0))="","Cell will autofill based on response",INDEX('Faculties'!$O$58:$O$67,MATCH($F80,'Faculties'!$B$58:$B$67,0))),"N/A")</f>
        <v/>
      </c>
      <c r="L80" s="52">
        <f>IFERROR(IF(INDEX('CI&amp;S'!$O$10:$O$15,MATCH($F80,'CI&amp;S'!$B$10:$B$15,0))="","Cell will autofill based on response",INDEX('CI&amp;S'!$O$10:$O$15,MATCH($F80,'CI&amp;S'!$B$10:$B$15,0))),"N/A")</f>
        <v/>
      </c>
      <c r="M80" s="52">
        <f>IFERROR(IF(INDEX('CI&amp;S'!$O$22:$O$36,MATCH($F80,'CI&amp;S'!$B$22:$B$36,0))="","Cell will autofill based on response",INDEX('CI&amp;S'!$O$22:$O$36,MATCH($F80,'CI&amp;S'!$B$22:$B$36,0))),"N/A")</f>
        <v/>
      </c>
      <c r="N80" s="52">
        <f>IFERROR(IF(INDEX('CFOG'!$O$10:$O$16,MATCH($F80,'CFOG'!$B$10:$B$16,0))="","Cell will autofill based on response",INDEX('CFOG'!$O$10:$O$16,MATCH($F80,'CFOG'!$B$10:$B$16,0))),"N/A")</f>
        <v/>
      </c>
      <c r="O80" s="52">
        <f>IFERROR(IF(INDEX('CFOG'!$O$23:$O$24,MATCH($F80,'CFOG'!$B$23:$B$24,0))="","Cell will autofill based on response",INDEX('CFOG'!$O$23:$O$24,MATCH($F80,'CFOG'!$B$23:$B$24,0))),"N/A")</f>
        <v/>
      </c>
      <c r="P80" s="52">
        <f>IFERROR(IF(INDEX('ESG'!$O$10:$O$17,MATCH($F80,'ESG'!$B$10:$B$17,0))="","Cell will autofill based on response",INDEX('ESG'!$O$10:$O$17,MATCH($F80,'ESG'!$B$10:$B$17,0))),"N/A")</f>
        <v/>
      </c>
      <c r="Q80" s="52">
        <f>IFERROR(IF(INDEX('CIOG'!$O$10:$O$14,MATCH($F80,'CIOG'!$B$10:$B$14,0))="","Cell will autofill based on response",INDEX('CIOG'!$O$10:$O$14,MATCH($F80,'CIOG'!$B$10:$B$14,0))),"N/A")</f>
        <v/>
      </c>
      <c r="R80" s="52">
        <f>IFERROR(IF(INDEX('MRE'!$O$10:$O$18,MATCH($F80,'MRE'!$B$10:$B$18,0))="","Cell will autofill based on response",INDEX('MRE'!$O$10:$O$18,MATCH($F80,'MRE'!$B$10:$B$18,0))),"N/A")</f>
        <v/>
      </c>
      <c r="S80" s="52">
        <f>IFERROR(IF(INDEX('AC&amp;M'!$O$10:$O$14,MATCH($F80,'AC&amp;M'!$B$10:$B$14,0))="","Cell will autofill based on response",INDEX('AC&amp;M'!$O$10:$O$14,MATCH($F80,'AC&amp;M'!$B$10:$B$14,0))),"N/A")</f>
        <v/>
      </c>
      <c r="T80" s="52">
        <f>IFERROR(IF(INDEX('GCE'!$O$10:$O$12,MATCH($F80,'GCE'!$B$10:$B$12,0))="","Cell will autofill based on response",INDEX('GCE'!$O$10:$O$12,MATCH($F80,'GCE'!$B$10:$B$12,0))),"N/A")</f>
        <v/>
      </c>
      <c r="U80" s="52">
        <f>IFERROR(IF(INDEX('Education'!$O$10:$O$13,MATCH($F80,'Education'!$B$10:$B$13,0))="","Cell will autofill based on response",INDEX('Education'!$O$10:$O$13,MATCH($F80,'Education'!$B$10:$B$13,0))),"N/A")</f>
        <v/>
      </c>
      <c r="V80" s="52">
        <f>IFERROR(IF(INDEX('SaSS'!$O$10:$O$12,MATCH($F80,'SaSS'!$B$10:$B$12,0))="","Cell will autofill based on response",INDEX('SaSS'!$O$10:$O$12,MATCH($F80,'SaSS'!$B$10:$B$12,0))),"N/A")</f>
        <v/>
      </c>
      <c r="W80" s="52">
        <f>IFERROR(IF(INDEX('Indigenous'!$O$10:$O$11,MATCH($F80,'Indigenous'!$B$10:$B$11,0))="","Cell will autofill based on response",INDEX('Indigenous'!$O$10:$O$11,MATCH($F80,'Indigenous'!$B$10:$B$11,0))),"N/A")</f>
        <v/>
      </c>
      <c r="X80" s="52">
        <f>IFERROR(IF(INDEX('L&amp;R'!$O$10:$O$11,MATCH($F80,'L&amp;R'!$B$10:$B$11,0))="","Cell will autofill based on response",INDEX('L&amp;R'!$O$10:$O$11,MATCH($F80,'L&amp;R'!$B$10:$B$11,0))),"N/A")</f>
        <v/>
      </c>
    </row>
    <row r="81">
      <c r="A81">
        <f>F81&amp;"|"&amp;G81</f>
        <v/>
      </c>
      <c r="B81" s="13" t="inlineStr"/>
      <c r="C81" s="8" t="inlineStr"/>
      <c r="D81" s="8" t="inlineStr"/>
      <c r="E81" s="8" t="inlineStr"/>
      <c r="F81" s="8" t="inlineStr">
        <is>
          <t>TR3(a)</t>
        </is>
      </c>
      <c r="G81" s="8" t="inlineStr">
        <is>
          <t>Data source and limitations</t>
        </is>
      </c>
      <c r="H81" s="52">
        <f>IFERROR(IF(INDEX('Faculties'!$P$10:$P$19,MATCH($F81,'Faculties'!$B$10:$B$19,0))="","Cell will autofill based on response",INDEX('Faculties'!$P$10:$P$19,MATCH($F81,'Faculties'!$B$10:$B$19,0))),"N/A")</f>
        <v/>
      </c>
      <c r="I81" s="52">
        <f>IFERROR(IF(INDEX('Faculties'!$P$26:$P$35,MATCH($F81,'Faculties'!$B$26:$B$35,0))="","Cell will autofill based on response",INDEX('Faculties'!$P$26:$P$35,MATCH($F81,'Faculties'!$B$26:$B$35,0))),"N/A")</f>
        <v/>
      </c>
      <c r="J81" s="52">
        <f>IFERROR(IF(INDEX('Faculties'!$P$42:$P$51,MATCH($F81,'Faculties'!$B$42:$B$51,0))="","Cell will autofill based on response",INDEX('Faculties'!$P$42:$P$51,MATCH($F81,'Faculties'!$B$42:$B$51,0))),"N/A")</f>
        <v/>
      </c>
      <c r="K81" s="52">
        <f>IFERROR(IF(INDEX('Faculties'!$P$58:$P$67,MATCH($F81,'Faculties'!$B$58:$B$67,0))="","Cell will autofill based on response",INDEX('Faculties'!$P$58:$P$67,MATCH($F81,'Faculties'!$B$58:$B$67,0))),"N/A")</f>
        <v/>
      </c>
      <c r="L81" s="52">
        <f>IFERROR(IF(INDEX('CI&amp;S'!$P$10:$P$15,MATCH($F81,'CI&amp;S'!$B$10:$B$15,0))="","Cell will autofill based on response",INDEX('CI&amp;S'!$P$10:$P$15,MATCH($F81,'CI&amp;S'!$B$10:$B$15,0))),"N/A")</f>
        <v/>
      </c>
      <c r="M81" s="52">
        <f>IFERROR(IF(INDEX('CI&amp;S'!$P$22:$P$36,MATCH($F81,'CI&amp;S'!$B$22:$B$36,0))="","Cell will autofill based on response",INDEX('CI&amp;S'!$P$22:$P$36,MATCH($F81,'CI&amp;S'!$B$22:$B$36,0))),"N/A")</f>
        <v/>
      </c>
      <c r="N81" s="52">
        <f>IFERROR(IF(INDEX('CFOG'!$P$10:$P$16,MATCH($F81,'CFOG'!$B$10:$B$16,0))="","Cell will autofill based on response",INDEX('CFOG'!$P$10:$P$16,MATCH($F81,'CFOG'!$B$10:$B$16,0))),"N/A")</f>
        <v/>
      </c>
      <c r="O81" s="52">
        <f>IFERROR(IF(INDEX('CFOG'!$P$23:$P$24,MATCH($F81,'CFOG'!$B$23:$B$24,0))="","Cell will autofill based on response",INDEX('CFOG'!$P$23:$P$24,MATCH($F81,'CFOG'!$B$23:$B$24,0))),"N/A")</f>
        <v/>
      </c>
      <c r="P81" s="52">
        <f>IFERROR(IF(INDEX('ESG'!$P$10:$P$17,MATCH($F81,'ESG'!$B$10:$B$17,0))="","Cell will autofill based on response",INDEX('ESG'!$P$10:$P$17,MATCH($F81,'ESG'!$B$10:$B$17,0))),"N/A")</f>
        <v/>
      </c>
      <c r="Q81" s="52">
        <f>IFERROR(IF(INDEX('CIOG'!$P$10:$P$14,MATCH($F81,'CIOG'!$B$10:$B$14,0))="","Cell will autofill based on response",INDEX('CIOG'!$P$10:$P$14,MATCH($F81,'CIOG'!$B$10:$B$14,0))),"N/A")</f>
        <v/>
      </c>
      <c r="R81" s="52">
        <f>IFERROR(IF(INDEX('MRE'!$P$10:$P$18,MATCH($F81,'MRE'!$B$10:$B$18,0))="","Cell will autofill based on response",INDEX('MRE'!$P$10:$P$18,MATCH($F81,'MRE'!$B$10:$B$18,0))),"N/A")</f>
        <v/>
      </c>
      <c r="S81" s="52">
        <f>IFERROR(IF(INDEX('AC&amp;M'!$P$10:$P$14,MATCH($F81,'AC&amp;M'!$B$10:$B$14,0))="","Cell will autofill based on response",INDEX('AC&amp;M'!$P$10:$P$14,MATCH($F81,'AC&amp;M'!$B$10:$B$14,0))),"N/A")</f>
        <v/>
      </c>
      <c r="T81" s="52">
        <f>IFERROR(IF(INDEX('GCE'!$P$10:$P$12,MATCH($F81,'GCE'!$B$10:$B$12,0))="","Cell will autofill based on response",INDEX('GCE'!$P$10:$P$12,MATCH($F81,'GCE'!$B$10:$B$12,0))),"N/A")</f>
        <v/>
      </c>
      <c r="U81" s="52">
        <f>IFERROR(IF(INDEX('Education'!$P$10:$P$13,MATCH($F81,'Education'!$B$10:$B$13,0))="","Cell will autofill based on response",INDEX('Education'!$P$10:$P$13,MATCH($F81,'Education'!$B$10:$B$13,0))),"N/A")</f>
        <v/>
      </c>
      <c r="V81" s="52">
        <f>IFERROR(IF(INDEX('SaSS'!$P$10:$P$12,MATCH($F81,'SaSS'!$B$10:$B$12,0))="","Cell will autofill based on response",INDEX('SaSS'!$P$10:$P$12,MATCH($F81,'SaSS'!$B$10:$B$12,0))),"N/A")</f>
        <v/>
      </c>
      <c r="W81" s="52">
        <f>IFERROR(IF(INDEX('Indigenous'!$P$10:$P$11,MATCH($F81,'Indigenous'!$B$10:$B$11,0))="","Cell will autofill based on response",INDEX('Indigenous'!$P$10:$P$11,MATCH($F81,'Indigenous'!$B$10:$B$11,0))),"N/A")</f>
        <v/>
      </c>
      <c r="X81" s="52">
        <f>IFERROR(IF(INDEX('L&amp;R'!$P$10:$P$11,MATCH($F81,'L&amp;R'!$B$10:$B$11,0))="","Cell will autofill based on response",INDEX('L&amp;R'!$P$10:$P$11,MATCH($F81,'L&amp;R'!$B$10:$B$11,0))),"N/A")</f>
        <v/>
      </c>
    </row>
    <row r="82">
      <c r="A82">
        <f>F82&amp;"|"&amp;G82</f>
        <v/>
      </c>
      <c r="B82" s="13" t="inlineStr"/>
      <c r="C82" s="8" t="inlineStr"/>
      <c r="D82" s="8" t="inlineStr"/>
      <c r="E82" s="8" t="inlineStr"/>
      <c r="F82" s="8" t="inlineStr">
        <is>
          <t>TR3(a)</t>
        </is>
      </c>
      <c r="G82" s="8" t="inlineStr">
        <is>
          <t>Data owner confirms</t>
        </is>
      </c>
      <c r="H82" s="52">
        <f>IFERROR(IF(INDEX('Faculties'!$Q$10:$Q$19,MATCH($F82,'Faculties'!$B$10:$B$19,0))="","Cell will autofill based on response",INDEX('Faculties'!$Q$10:$Q$19,MATCH($F82,'Faculties'!$B$10:$B$19,0))),"N/A")</f>
        <v/>
      </c>
      <c r="I82" s="52">
        <f>IFERROR(IF(INDEX('Faculties'!$Q$26:$Q$35,MATCH($F82,'Faculties'!$B$26:$B$35,0))="","Cell will autofill based on response",INDEX('Faculties'!$Q$26:$Q$35,MATCH($F82,'Faculties'!$B$26:$B$35,0))),"N/A")</f>
        <v/>
      </c>
      <c r="J82" s="52">
        <f>IFERROR(IF(INDEX('Faculties'!$Q$42:$Q$51,MATCH($F82,'Faculties'!$B$42:$B$51,0))="","Cell will autofill based on response",INDEX('Faculties'!$Q$42:$Q$51,MATCH($F82,'Faculties'!$B$42:$B$51,0))),"N/A")</f>
        <v/>
      </c>
      <c r="K82" s="52">
        <f>IFERROR(IF(INDEX('Faculties'!$Q$58:$Q$67,MATCH($F82,'Faculties'!$B$58:$B$67,0))="","Cell will autofill based on response",INDEX('Faculties'!$Q$58:$Q$67,MATCH($F82,'Faculties'!$B$58:$B$67,0))),"N/A")</f>
        <v/>
      </c>
      <c r="L82" s="52">
        <f>IFERROR(IF(INDEX('CI&amp;S'!$Q$10:$Q$15,MATCH($F82,'CI&amp;S'!$B$10:$B$15,0))="","Cell will autofill based on response",INDEX('CI&amp;S'!$Q$10:$Q$15,MATCH($F82,'CI&amp;S'!$B$10:$B$15,0))),"N/A")</f>
        <v/>
      </c>
      <c r="M82" s="52">
        <f>IFERROR(IF(INDEX('CI&amp;S'!$Q$22:$Q$36,MATCH($F82,'CI&amp;S'!$B$22:$B$36,0))="","Cell will autofill based on response",INDEX('CI&amp;S'!$Q$22:$Q$36,MATCH($F82,'CI&amp;S'!$B$22:$B$36,0))),"N/A")</f>
        <v/>
      </c>
      <c r="N82" s="52">
        <f>IFERROR(IF(INDEX('CFOG'!$Q$10:$Q$16,MATCH($F82,'CFOG'!$B$10:$B$16,0))="","Cell will autofill based on response",INDEX('CFOG'!$Q$10:$Q$16,MATCH($F82,'CFOG'!$B$10:$B$16,0))),"N/A")</f>
        <v/>
      </c>
      <c r="O82" s="52">
        <f>IFERROR(IF(INDEX('CFOG'!$Q$23:$Q$24,MATCH($F82,'CFOG'!$B$23:$B$24,0))="","Cell will autofill based on response",INDEX('CFOG'!$Q$23:$Q$24,MATCH($F82,'CFOG'!$B$23:$B$24,0))),"N/A")</f>
        <v/>
      </c>
      <c r="P82" s="52">
        <f>IFERROR(IF(INDEX('ESG'!$Q$10:$Q$17,MATCH($F82,'ESG'!$B$10:$B$17,0))="","Cell will autofill based on response",INDEX('ESG'!$Q$10:$Q$17,MATCH($F82,'ESG'!$B$10:$B$17,0))),"N/A")</f>
        <v/>
      </c>
      <c r="Q82" s="52">
        <f>IFERROR(IF(INDEX('CIOG'!$Q$10:$Q$14,MATCH($F82,'CIOG'!$B$10:$B$14,0))="","Cell will autofill based on response",INDEX('CIOG'!$Q$10:$Q$14,MATCH($F82,'CIOG'!$B$10:$B$14,0))),"N/A")</f>
        <v/>
      </c>
      <c r="R82" s="52">
        <f>IFERROR(IF(INDEX('MRE'!$Q$10:$Q$18,MATCH($F82,'MRE'!$B$10:$B$18,0))="","Cell will autofill based on response",INDEX('MRE'!$Q$10:$Q$18,MATCH($F82,'MRE'!$B$10:$B$18,0))),"N/A")</f>
        <v/>
      </c>
      <c r="S82" s="52">
        <f>IFERROR(IF(INDEX('AC&amp;M'!$Q$10:$Q$14,MATCH($F82,'AC&amp;M'!$B$10:$B$14,0))="","Cell will autofill based on response",INDEX('AC&amp;M'!$Q$10:$Q$14,MATCH($F82,'AC&amp;M'!$B$10:$B$14,0))),"N/A")</f>
        <v/>
      </c>
      <c r="T82" s="52">
        <f>IFERROR(IF(INDEX('GCE'!$Q$10:$Q$12,MATCH($F82,'GCE'!$B$10:$B$12,0))="","Cell will autofill based on response",INDEX('GCE'!$Q$10:$Q$12,MATCH($F82,'GCE'!$B$10:$B$12,0))),"N/A")</f>
        <v/>
      </c>
      <c r="U82" s="52">
        <f>IFERROR(IF(INDEX('Education'!$Q$10:$Q$13,MATCH($F82,'Education'!$B$10:$B$13,0))="","Cell will autofill based on response",INDEX('Education'!$Q$10:$Q$13,MATCH($F82,'Education'!$B$10:$B$13,0))),"N/A")</f>
        <v/>
      </c>
      <c r="V82" s="52">
        <f>IFERROR(IF(INDEX('SaSS'!$Q$10:$Q$12,MATCH($F82,'SaSS'!$B$10:$B$12,0))="","Cell will autofill based on response",INDEX('SaSS'!$Q$10:$Q$12,MATCH($F82,'SaSS'!$B$10:$B$12,0))),"N/A")</f>
        <v/>
      </c>
      <c r="W82" s="52">
        <f>IFERROR(IF(INDEX('Indigenous'!$Q$10:$Q$11,MATCH($F82,'Indigenous'!$B$10:$B$11,0))="","Cell will autofill based on response",INDEX('Indigenous'!$Q$10:$Q$11,MATCH($F82,'Indigenous'!$B$10:$B$11,0))),"N/A")</f>
        <v/>
      </c>
      <c r="X82" s="52">
        <f>IFERROR(IF(INDEX('L&amp;R'!$Q$10:$Q$11,MATCH($F82,'L&amp;R'!$B$10:$B$11,0))="","Cell will autofill based on response",INDEX('L&amp;R'!$Q$10:$Q$11,MATCH($F82,'L&amp;R'!$B$10:$B$11,0))),"N/A")</f>
        <v/>
      </c>
    </row>
    <row r="83">
      <c r="A83">
        <f>F83&amp;"|"&amp;G83</f>
        <v/>
      </c>
      <c r="B83" s="7" t="inlineStr">
        <is>
          <t>TR3(b)</t>
        </is>
      </c>
      <c r="C83" s="50" t="inlineStr">
        <is>
          <t>Transformational research</t>
        </is>
      </c>
      <c r="D83" s="50" t="inlineStr">
        <is>
          <t>Demonstrated examples of more sustainable research practices in laboratories, fieldwork, procurement, travel or infrastructure use</t>
        </is>
      </c>
      <c r="E83" s="50"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83" s="50" t="inlineStr">
        <is>
          <t>TR3(b)</t>
        </is>
      </c>
      <c r="G83" s="50" t="inlineStr">
        <is>
          <t>Confirm end-2026 target status</t>
        </is>
      </c>
      <c r="H83" s="52">
        <f>IFERROR(IF(INDEX('Faculties'!$L$10:$L$19,MATCH($F83,'Faculties'!$B$10:$B$19,0))="","Cell will autofill based on response",INDEX('Faculties'!$L$10:$L$19,MATCH($F83,'Faculties'!$B$10:$B$19,0))),"N/A")</f>
        <v/>
      </c>
      <c r="I83" s="52">
        <f>IFERROR(IF(INDEX('Faculties'!$L$26:$L$35,MATCH($F83,'Faculties'!$B$26:$B$35,0))="","Cell will autofill based on response",INDEX('Faculties'!$L$26:$L$35,MATCH($F83,'Faculties'!$B$26:$B$35,0))),"N/A")</f>
        <v/>
      </c>
      <c r="J83" s="52">
        <f>IFERROR(IF(INDEX('Faculties'!$L$42:$L$51,MATCH($F83,'Faculties'!$B$42:$B$51,0))="","Cell will autofill based on response",INDEX('Faculties'!$L$42:$L$51,MATCH($F83,'Faculties'!$B$42:$B$51,0))),"N/A")</f>
        <v/>
      </c>
      <c r="K83" s="52">
        <f>IFERROR(IF(INDEX('Faculties'!$L$58:$L$67,MATCH($F83,'Faculties'!$B$58:$B$67,0))="","Cell will autofill based on response",INDEX('Faculties'!$L$58:$L$67,MATCH($F83,'Faculties'!$B$58:$B$67,0))),"N/A")</f>
        <v/>
      </c>
      <c r="L83" s="52">
        <f>IFERROR(IF(INDEX('CI&amp;S'!$L$10:$L$15,MATCH($F83,'CI&amp;S'!$B$10:$B$15,0))="","Cell will autofill based on response",INDEX('CI&amp;S'!$L$10:$L$15,MATCH($F83,'CI&amp;S'!$B$10:$B$15,0))),"N/A")</f>
        <v/>
      </c>
      <c r="M83" s="52">
        <f>IFERROR(IF(INDEX('CI&amp;S'!$L$22:$L$36,MATCH($F83,'CI&amp;S'!$B$22:$B$36,0))="","Cell will autofill based on response",INDEX('CI&amp;S'!$L$22:$L$36,MATCH($F83,'CI&amp;S'!$B$22:$B$36,0))),"N/A")</f>
        <v/>
      </c>
      <c r="N83" s="52">
        <f>IFERROR(IF(INDEX('CFOG'!$L$10:$L$16,MATCH($F83,'CFOG'!$B$10:$B$16,0))="","Cell will autofill based on response",INDEX('CFOG'!$L$10:$L$16,MATCH($F83,'CFOG'!$B$10:$B$16,0))),"N/A")</f>
        <v/>
      </c>
      <c r="O83" s="52">
        <f>IFERROR(IF(INDEX('CFOG'!$L$23:$L$24,MATCH($F83,'CFOG'!$B$23:$B$24,0))="","Cell will autofill based on response",INDEX('CFOG'!$L$23:$L$24,MATCH($F83,'CFOG'!$B$23:$B$24,0))),"N/A")</f>
        <v/>
      </c>
      <c r="P83" s="52">
        <f>IFERROR(IF(INDEX('ESG'!$L$10:$L$17,MATCH($F83,'ESG'!$B$10:$B$17,0))="","Cell will autofill based on response",INDEX('ESG'!$L$10:$L$17,MATCH($F83,'ESG'!$B$10:$B$17,0))),"N/A")</f>
        <v/>
      </c>
      <c r="Q83" s="52">
        <f>IFERROR(IF(INDEX('CIOG'!$L$10:$L$14,MATCH($F83,'CIOG'!$B$10:$B$14,0))="","Cell will autofill based on response",INDEX('CIOG'!$L$10:$L$14,MATCH($F83,'CIOG'!$B$10:$B$14,0))),"N/A")</f>
        <v/>
      </c>
      <c r="R83" s="52">
        <f>IFERROR(IF(INDEX('MRE'!$L$10:$L$18,MATCH($F83,'MRE'!$B$10:$B$18,0))="","Cell will autofill based on response",INDEX('MRE'!$L$10:$L$18,MATCH($F83,'MRE'!$B$10:$B$18,0))),"N/A")</f>
        <v/>
      </c>
      <c r="S83" s="52">
        <f>IFERROR(IF(INDEX('AC&amp;M'!$L$10:$L$14,MATCH($F83,'AC&amp;M'!$B$10:$B$14,0))="","Cell will autofill based on response",INDEX('AC&amp;M'!$L$10:$L$14,MATCH($F83,'AC&amp;M'!$B$10:$B$14,0))),"N/A")</f>
        <v/>
      </c>
      <c r="T83" s="52">
        <f>IFERROR(IF(INDEX('GCE'!$L$10:$L$12,MATCH($F83,'GCE'!$B$10:$B$12,0))="","Cell will autofill based on response",INDEX('GCE'!$L$10:$L$12,MATCH($F83,'GCE'!$B$10:$B$12,0))),"N/A")</f>
        <v/>
      </c>
      <c r="U83" s="52">
        <f>IFERROR(IF(INDEX('Education'!$L$10:$L$13,MATCH($F83,'Education'!$B$10:$B$13,0))="","Cell will autofill based on response",INDEX('Education'!$L$10:$L$13,MATCH($F83,'Education'!$B$10:$B$13,0))),"N/A")</f>
        <v/>
      </c>
      <c r="V83" s="52">
        <f>IFERROR(IF(INDEX('SaSS'!$L$10:$L$12,MATCH($F83,'SaSS'!$B$10:$B$12,0))="","Cell will autofill based on response",INDEX('SaSS'!$L$10:$L$12,MATCH($F83,'SaSS'!$B$10:$B$12,0))),"N/A")</f>
        <v/>
      </c>
      <c r="W83" s="52">
        <f>IFERROR(IF(INDEX('Indigenous'!$L$10:$L$11,MATCH($F83,'Indigenous'!$B$10:$B$11,0))="","Cell will autofill based on response",INDEX('Indigenous'!$L$10:$L$11,MATCH($F83,'Indigenous'!$B$10:$B$11,0))),"N/A")</f>
        <v/>
      </c>
      <c r="X83" s="52">
        <f>IFERROR(IF(INDEX('L&amp;R'!$L$10:$L$11,MATCH($F83,'L&amp;R'!$B$10:$B$11,0))="","Cell will autofill based on response",INDEX('L&amp;R'!$L$10:$L$11,MATCH($F83,'L&amp;R'!$B$10:$B$11,0))),"N/A")</f>
        <v/>
      </c>
      <c r="Z83" s="10">
        <f>COUNTIF($H83:$X83,"Cell will autofill based on response")</f>
        <v/>
      </c>
      <c r="AA83" s="10">
        <f>COUNTIF($H83:$X83,"Not yet started")</f>
        <v/>
      </c>
      <c r="AB83" s="10">
        <f>COUNTIF($H83:$X83,"Not met")</f>
        <v/>
      </c>
      <c r="AC83" s="10">
        <f>COUNTIF($H83:$X83,"Partially met")</f>
        <v/>
      </c>
      <c r="AD83" s="10">
        <f>COUNTIF($H83:$X83,"Met or exceeded")</f>
        <v/>
      </c>
      <c r="AE83" s="10">
        <f>3*AD83+2*AC83+AB83</f>
        <v/>
      </c>
      <c r="AF83" s="10">
        <f>AD83+AC83+AB83+AA83</f>
        <v/>
      </c>
      <c r="AG83" s="53">
        <f>IF(AF83&gt;0,AE83/AF83,"No valid responses to date")</f>
        <v/>
      </c>
      <c r="AH83" s="10">
        <f>IF(ISNUMBER(AG83),INDEX(Lists!$G$2:$G$5,MATCH(ROUND(AG83,0),Lists!$H$2:$H$5,0)),"")</f>
        <v/>
      </c>
      <c r="AI83" s="54">
        <f>IF(AF83&gt;0,AD83/AF83,"")</f>
        <v/>
      </c>
      <c r="AJ83" s="54">
        <f>IF(AF83&gt;0,(AD83+AC83)/AF83,"")</f>
        <v/>
      </c>
      <c r="AK83" s="10">
        <f>IF(AF83=0,"",IF(AI83&gt;0.75,"Met or exceeded",IF(AJ83&gt;=0.5,"Partially met","Not met")))</f>
        <v/>
      </c>
    </row>
    <row r="84">
      <c r="A84">
        <f>F84&amp;"|"&amp;G84</f>
        <v/>
      </c>
      <c r="B84" s="13" t="inlineStr"/>
      <c r="C84" s="8" t="inlineStr"/>
      <c r="D84" s="8" t="inlineStr"/>
      <c r="E84" s="8" t="inlineStr"/>
      <c r="F84" s="8" t="inlineStr">
        <is>
          <t>TR3(b)</t>
        </is>
      </c>
      <c r="G84" s="8" t="inlineStr">
        <is>
          <t>OPTION 1:  Target-level reporting</t>
        </is>
      </c>
      <c r="H84" s="52">
        <f>IFERROR(IF(INDEX('Faculties'!$M$10:$M$19,MATCH($F84,'Faculties'!$B$10:$B$19,0))="","Cell will autofill based on response",INDEX('Faculties'!$M$10:$M$19,MATCH($F84,'Faculties'!$B$10:$B$19,0))),"N/A")</f>
        <v/>
      </c>
      <c r="I84" s="52">
        <f>IFERROR(IF(INDEX('Faculties'!$M$26:$M$35,MATCH($F84,'Faculties'!$B$26:$B$35,0))="","Cell will autofill based on response",INDEX('Faculties'!$M$26:$M$35,MATCH($F84,'Faculties'!$B$26:$B$35,0))),"N/A")</f>
        <v/>
      </c>
      <c r="J84" s="52">
        <f>IFERROR(IF(INDEX('Faculties'!$M$42:$M$51,MATCH($F84,'Faculties'!$B$42:$B$51,0))="","Cell will autofill based on response",INDEX('Faculties'!$M$42:$M$51,MATCH($F84,'Faculties'!$B$42:$B$51,0))),"N/A")</f>
        <v/>
      </c>
      <c r="K84" s="52">
        <f>IFERROR(IF(INDEX('Faculties'!$M$58:$M$67,MATCH($F84,'Faculties'!$B$58:$B$67,0))="","Cell will autofill based on response",INDEX('Faculties'!$M$58:$M$67,MATCH($F84,'Faculties'!$B$58:$B$67,0))),"N/A")</f>
        <v/>
      </c>
      <c r="L84" s="52">
        <f>IFERROR(IF(INDEX('CI&amp;S'!$M$10:$M$15,MATCH($F84,'CI&amp;S'!$B$10:$B$15,0))="","Cell will autofill based on response",INDEX('CI&amp;S'!$M$10:$M$15,MATCH($F84,'CI&amp;S'!$B$10:$B$15,0))),"N/A")</f>
        <v/>
      </c>
      <c r="M84" s="52">
        <f>IFERROR(IF(INDEX('CI&amp;S'!$M$22:$M$36,MATCH($F84,'CI&amp;S'!$B$22:$B$36,0))="","Cell will autofill based on response",INDEX('CI&amp;S'!$M$22:$M$36,MATCH($F84,'CI&amp;S'!$B$22:$B$36,0))),"N/A")</f>
        <v/>
      </c>
      <c r="N84" s="52">
        <f>IFERROR(IF(INDEX('CFOG'!$M$10:$M$16,MATCH($F84,'CFOG'!$B$10:$B$16,0))="","Cell will autofill based on response",INDEX('CFOG'!$M$10:$M$16,MATCH($F84,'CFOG'!$B$10:$B$16,0))),"N/A")</f>
        <v/>
      </c>
      <c r="O84" s="52">
        <f>IFERROR(IF(INDEX('CFOG'!$M$23:$M$24,MATCH($F84,'CFOG'!$B$23:$B$24,0))="","Cell will autofill based on response",INDEX('CFOG'!$M$23:$M$24,MATCH($F84,'CFOG'!$B$23:$B$24,0))),"N/A")</f>
        <v/>
      </c>
      <c r="P84" s="52">
        <f>IFERROR(IF(INDEX('ESG'!$M$10:$M$17,MATCH($F84,'ESG'!$B$10:$B$17,0))="","Cell will autofill based on response",INDEX('ESG'!$M$10:$M$17,MATCH($F84,'ESG'!$B$10:$B$17,0))),"N/A")</f>
        <v/>
      </c>
      <c r="Q84" s="52">
        <f>IFERROR(IF(INDEX('CIOG'!$M$10:$M$14,MATCH($F84,'CIOG'!$B$10:$B$14,0))="","Cell will autofill based on response",INDEX('CIOG'!$M$10:$M$14,MATCH($F84,'CIOG'!$B$10:$B$14,0))),"N/A")</f>
        <v/>
      </c>
      <c r="R84" s="52">
        <f>IFERROR(IF(INDEX('MRE'!$M$10:$M$18,MATCH($F84,'MRE'!$B$10:$B$18,0))="","Cell will autofill based on response",INDEX('MRE'!$M$10:$M$18,MATCH($F84,'MRE'!$B$10:$B$18,0))),"N/A")</f>
        <v/>
      </c>
      <c r="S84" s="52">
        <f>IFERROR(IF(INDEX('AC&amp;M'!$M$10:$M$14,MATCH($F84,'AC&amp;M'!$B$10:$B$14,0))="","Cell will autofill based on response",INDEX('AC&amp;M'!$M$10:$M$14,MATCH($F84,'AC&amp;M'!$B$10:$B$14,0))),"N/A")</f>
        <v/>
      </c>
      <c r="T84" s="52">
        <f>IFERROR(IF(INDEX('GCE'!$M$10:$M$12,MATCH($F84,'GCE'!$B$10:$B$12,0))="","Cell will autofill based on response",INDEX('GCE'!$M$10:$M$12,MATCH($F84,'GCE'!$B$10:$B$12,0))),"N/A")</f>
        <v/>
      </c>
      <c r="U84" s="52">
        <f>IFERROR(IF(INDEX('Education'!$M$10:$M$13,MATCH($F84,'Education'!$B$10:$B$13,0))="","Cell will autofill based on response",INDEX('Education'!$M$10:$M$13,MATCH($F84,'Education'!$B$10:$B$13,0))),"N/A")</f>
        <v/>
      </c>
      <c r="V84" s="52">
        <f>IFERROR(IF(INDEX('SaSS'!$M$10:$M$12,MATCH($F84,'SaSS'!$B$10:$B$12,0))="","Cell will autofill based on response",INDEX('SaSS'!$M$10:$M$12,MATCH($F84,'SaSS'!$B$10:$B$12,0))),"N/A")</f>
        <v/>
      </c>
      <c r="W84" s="52">
        <f>IFERROR(IF(INDEX('Indigenous'!$M$10:$M$11,MATCH($F84,'Indigenous'!$B$10:$B$11,0))="","Cell will autofill based on response",INDEX('Indigenous'!$M$10:$M$11,MATCH($F84,'Indigenous'!$B$10:$B$11,0))),"N/A")</f>
        <v/>
      </c>
      <c r="X84" s="52">
        <f>IFERROR(IF(INDEX('L&amp;R'!$M$10:$M$11,MATCH($F84,'L&amp;R'!$B$10:$B$11,0))="","Cell will autofill based on response",INDEX('L&amp;R'!$M$10:$M$11,MATCH($F84,'L&amp;R'!$B$10:$B$11,0))),"N/A")</f>
        <v/>
      </c>
    </row>
    <row r="85">
      <c r="A85">
        <f>F85&amp;"|"&amp;G85</f>
        <v/>
      </c>
      <c r="B85" s="13" t="inlineStr"/>
      <c r="C85" s="8" t="inlineStr"/>
      <c r="D85" s="8" t="inlineStr"/>
      <c r="E85" s="8" t="inlineStr"/>
      <c r="F85" s="8" t="inlineStr">
        <is>
          <t>TR3(b)</t>
        </is>
      </c>
      <c r="G85" s="8" t="inlineStr">
        <is>
          <t>OPTION 2:  Indicator level reporting</t>
        </is>
      </c>
      <c r="H85" s="52">
        <f>IFERROR(IF(INDEX('Faculties'!$N$10:$N$19,MATCH($F85,'Faculties'!$B$10:$B$19,0))="","Cell will autofill based on response",INDEX('Faculties'!$N$10:$N$19,MATCH($F85,'Faculties'!$B$10:$B$19,0))),"N/A")</f>
        <v/>
      </c>
      <c r="I85" s="52">
        <f>IFERROR(IF(INDEX('Faculties'!$N$26:$N$35,MATCH($F85,'Faculties'!$B$26:$B$35,0))="","Cell will autofill based on response",INDEX('Faculties'!$N$26:$N$35,MATCH($F85,'Faculties'!$B$26:$B$35,0))),"N/A")</f>
        <v/>
      </c>
      <c r="J85" s="52">
        <f>IFERROR(IF(INDEX('Faculties'!$N$42:$N$51,MATCH($F85,'Faculties'!$B$42:$B$51,0))="","Cell will autofill based on response",INDEX('Faculties'!$N$42:$N$51,MATCH($F85,'Faculties'!$B$42:$B$51,0))),"N/A")</f>
        <v/>
      </c>
      <c r="K85" s="52">
        <f>IFERROR(IF(INDEX('Faculties'!$N$58:$N$67,MATCH($F85,'Faculties'!$B$58:$B$67,0))="","Cell will autofill based on response",INDEX('Faculties'!$N$58:$N$67,MATCH($F85,'Faculties'!$B$58:$B$67,0))),"N/A")</f>
        <v/>
      </c>
      <c r="L85" s="52">
        <f>IFERROR(IF(INDEX('CI&amp;S'!$N$10:$N$15,MATCH($F85,'CI&amp;S'!$B$10:$B$15,0))="","Cell will autofill based on response",INDEX('CI&amp;S'!$N$10:$N$15,MATCH($F85,'CI&amp;S'!$B$10:$B$15,0))),"N/A")</f>
        <v/>
      </c>
      <c r="M85" s="52">
        <f>IFERROR(IF(INDEX('CI&amp;S'!$N$22:$N$36,MATCH($F85,'CI&amp;S'!$B$22:$B$36,0))="","Cell will autofill based on response",INDEX('CI&amp;S'!$N$22:$N$36,MATCH($F85,'CI&amp;S'!$B$22:$B$36,0))),"N/A")</f>
        <v/>
      </c>
      <c r="N85" s="52">
        <f>IFERROR(IF(INDEX('CFOG'!$N$10:$N$16,MATCH($F85,'CFOG'!$B$10:$B$16,0))="","Cell will autofill based on response",INDEX('CFOG'!$N$10:$N$16,MATCH($F85,'CFOG'!$B$10:$B$16,0))),"N/A")</f>
        <v/>
      </c>
      <c r="O85" s="52">
        <f>IFERROR(IF(INDEX('CFOG'!$N$23:$N$24,MATCH($F85,'CFOG'!$B$23:$B$24,0))="","Cell will autofill based on response",INDEX('CFOG'!$N$23:$N$24,MATCH($F85,'CFOG'!$B$23:$B$24,0))),"N/A")</f>
        <v/>
      </c>
      <c r="P85" s="52">
        <f>IFERROR(IF(INDEX('ESG'!$N$10:$N$17,MATCH($F85,'ESG'!$B$10:$B$17,0))="","Cell will autofill based on response",INDEX('ESG'!$N$10:$N$17,MATCH($F85,'ESG'!$B$10:$B$17,0))),"N/A")</f>
        <v/>
      </c>
      <c r="Q85" s="52">
        <f>IFERROR(IF(INDEX('CIOG'!$N$10:$N$14,MATCH($F85,'CIOG'!$B$10:$B$14,0))="","Cell will autofill based on response",INDEX('CIOG'!$N$10:$N$14,MATCH($F85,'CIOG'!$B$10:$B$14,0))),"N/A")</f>
        <v/>
      </c>
      <c r="R85" s="52">
        <f>IFERROR(IF(INDEX('MRE'!$N$10:$N$18,MATCH($F85,'MRE'!$B$10:$B$18,0))="","Cell will autofill based on response",INDEX('MRE'!$N$10:$N$18,MATCH($F85,'MRE'!$B$10:$B$18,0))),"N/A")</f>
        <v/>
      </c>
      <c r="S85" s="52">
        <f>IFERROR(IF(INDEX('AC&amp;M'!$N$10:$N$14,MATCH($F85,'AC&amp;M'!$B$10:$B$14,0))="","Cell will autofill based on response",INDEX('AC&amp;M'!$N$10:$N$14,MATCH($F85,'AC&amp;M'!$B$10:$B$14,0))),"N/A")</f>
        <v/>
      </c>
      <c r="T85" s="52">
        <f>IFERROR(IF(INDEX('GCE'!$N$10:$N$12,MATCH($F85,'GCE'!$B$10:$B$12,0))="","Cell will autofill based on response",INDEX('GCE'!$N$10:$N$12,MATCH($F85,'GCE'!$B$10:$B$12,0))),"N/A")</f>
        <v/>
      </c>
      <c r="U85" s="52">
        <f>IFERROR(IF(INDEX('Education'!$N$10:$N$13,MATCH($F85,'Education'!$B$10:$B$13,0))="","Cell will autofill based on response",INDEX('Education'!$N$10:$N$13,MATCH($F85,'Education'!$B$10:$B$13,0))),"N/A")</f>
        <v/>
      </c>
      <c r="V85" s="52">
        <f>IFERROR(IF(INDEX('SaSS'!$N$10:$N$12,MATCH($F85,'SaSS'!$B$10:$B$12,0))="","Cell will autofill based on response",INDEX('SaSS'!$N$10:$N$12,MATCH($F85,'SaSS'!$B$10:$B$12,0))),"N/A")</f>
        <v/>
      </c>
      <c r="W85" s="52">
        <f>IFERROR(IF(INDEX('Indigenous'!$N$10:$N$11,MATCH($F85,'Indigenous'!$B$10:$B$11,0))="","Cell will autofill based on response",INDEX('Indigenous'!$N$10:$N$11,MATCH($F85,'Indigenous'!$B$10:$B$11,0))),"N/A")</f>
        <v/>
      </c>
      <c r="X85" s="52">
        <f>IFERROR(IF(INDEX('L&amp;R'!$N$10:$N$11,MATCH($F85,'L&amp;R'!$B$10:$B$11,0))="","Cell will autofill based on response",INDEX('L&amp;R'!$N$10:$N$11,MATCH($F85,'L&amp;R'!$B$10:$B$11,0))),"N/A")</f>
        <v/>
      </c>
    </row>
    <row r="86">
      <c r="A86">
        <f>F86&amp;"|"&amp;G86</f>
        <v/>
      </c>
      <c r="B86" s="13" t="inlineStr"/>
      <c r="C86" s="8" t="inlineStr"/>
      <c r="D86" s="8" t="inlineStr"/>
      <c r="E86" s="8" t="inlineStr"/>
      <c r="F86" s="8" t="inlineStr">
        <is>
          <t>TR3(b)</t>
        </is>
      </c>
      <c r="G86" s="8" t="inlineStr">
        <is>
          <t>Supporting information/comments</t>
        </is>
      </c>
      <c r="H86" s="52">
        <f>IFERROR(IF(INDEX('Faculties'!$O$10:$O$19,MATCH($F86,'Faculties'!$B$10:$B$19,0))="","Cell will autofill based on response",INDEX('Faculties'!$O$10:$O$19,MATCH($F86,'Faculties'!$B$10:$B$19,0))),"N/A")</f>
        <v/>
      </c>
      <c r="I86" s="52">
        <f>IFERROR(IF(INDEX('Faculties'!$O$26:$O$35,MATCH($F86,'Faculties'!$B$26:$B$35,0))="","Cell will autofill based on response",INDEX('Faculties'!$O$26:$O$35,MATCH($F86,'Faculties'!$B$26:$B$35,0))),"N/A")</f>
        <v/>
      </c>
      <c r="J86" s="52">
        <f>IFERROR(IF(INDEX('Faculties'!$O$42:$O$51,MATCH($F86,'Faculties'!$B$42:$B$51,0))="","Cell will autofill based on response",INDEX('Faculties'!$O$42:$O$51,MATCH($F86,'Faculties'!$B$42:$B$51,0))),"N/A")</f>
        <v/>
      </c>
      <c r="K86" s="52">
        <f>IFERROR(IF(INDEX('Faculties'!$O$58:$O$67,MATCH($F86,'Faculties'!$B$58:$B$67,0))="","Cell will autofill based on response",INDEX('Faculties'!$O$58:$O$67,MATCH($F86,'Faculties'!$B$58:$B$67,0))),"N/A")</f>
        <v/>
      </c>
      <c r="L86" s="52">
        <f>IFERROR(IF(INDEX('CI&amp;S'!$O$10:$O$15,MATCH($F86,'CI&amp;S'!$B$10:$B$15,0))="","Cell will autofill based on response",INDEX('CI&amp;S'!$O$10:$O$15,MATCH($F86,'CI&amp;S'!$B$10:$B$15,0))),"N/A")</f>
        <v/>
      </c>
      <c r="M86" s="52">
        <f>IFERROR(IF(INDEX('CI&amp;S'!$O$22:$O$36,MATCH($F86,'CI&amp;S'!$B$22:$B$36,0))="","Cell will autofill based on response",INDEX('CI&amp;S'!$O$22:$O$36,MATCH($F86,'CI&amp;S'!$B$22:$B$36,0))),"N/A")</f>
        <v/>
      </c>
      <c r="N86" s="52">
        <f>IFERROR(IF(INDEX('CFOG'!$O$10:$O$16,MATCH($F86,'CFOG'!$B$10:$B$16,0))="","Cell will autofill based on response",INDEX('CFOG'!$O$10:$O$16,MATCH($F86,'CFOG'!$B$10:$B$16,0))),"N/A")</f>
        <v/>
      </c>
      <c r="O86" s="52">
        <f>IFERROR(IF(INDEX('CFOG'!$O$23:$O$24,MATCH($F86,'CFOG'!$B$23:$B$24,0))="","Cell will autofill based on response",INDEX('CFOG'!$O$23:$O$24,MATCH($F86,'CFOG'!$B$23:$B$24,0))),"N/A")</f>
        <v/>
      </c>
      <c r="P86" s="52">
        <f>IFERROR(IF(INDEX('ESG'!$O$10:$O$17,MATCH($F86,'ESG'!$B$10:$B$17,0))="","Cell will autofill based on response",INDEX('ESG'!$O$10:$O$17,MATCH($F86,'ESG'!$B$10:$B$17,0))),"N/A")</f>
        <v/>
      </c>
      <c r="Q86" s="52">
        <f>IFERROR(IF(INDEX('CIOG'!$O$10:$O$14,MATCH($F86,'CIOG'!$B$10:$B$14,0))="","Cell will autofill based on response",INDEX('CIOG'!$O$10:$O$14,MATCH($F86,'CIOG'!$B$10:$B$14,0))),"N/A")</f>
        <v/>
      </c>
      <c r="R86" s="52">
        <f>IFERROR(IF(INDEX('MRE'!$O$10:$O$18,MATCH($F86,'MRE'!$B$10:$B$18,0))="","Cell will autofill based on response",INDEX('MRE'!$O$10:$O$18,MATCH($F86,'MRE'!$B$10:$B$18,0))),"N/A")</f>
        <v/>
      </c>
      <c r="S86" s="52">
        <f>IFERROR(IF(INDEX('AC&amp;M'!$O$10:$O$14,MATCH($F86,'AC&amp;M'!$B$10:$B$14,0))="","Cell will autofill based on response",INDEX('AC&amp;M'!$O$10:$O$14,MATCH($F86,'AC&amp;M'!$B$10:$B$14,0))),"N/A")</f>
        <v/>
      </c>
      <c r="T86" s="52">
        <f>IFERROR(IF(INDEX('GCE'!$O$10:$O$12,MATCH($F86,'GCE'!$B$10:$B$12,0))="","Cell will autofill based on response",INDEX('GCE'!$O$10:$O$12,MATCH($F86,'GCE'!$B$10:$B$12,0))),"N/A")</f>
        <v/>
      </c>
      <c r="U86" s="52">
        <f>IFERROR(IF(INDEX('Education'!$O$10:$O$13,MATCH($F86,'Education'!$B$10:$B$13,0))="","Cell will autofill based on response",INDEX('Education'!$O$10:$O$13,MATCH($F86,'Education'!$B$10:$B$13,0))),"N/A")</f>
        <v/>
      </c>
      <c r="V86" s="52">
        <f>IFERROR(IF(INDEX('SaSS'!$O$10:$O$12,MATCH($F86,'SaSS'!$B$10:$B$12,0))="","Cell will autofill based on response",INDEX('SaSS'!$O$10:$O$12,MATCH($F86,'SaSS'!$B$10:$B$12,0))),"N/A")</f>
        <v/>
      </c>
      <c r="W86" s="52">
        <f>IFERROR(IF(INDEX('Indigenous'!$O$10:$O$11,MATCH($F86,'Indigenous'!$B$10:$B$11,0))="","Cell will autofill based on response",INDEX('Indigenous'!$O$10:$O$11,MATCH($F86,'Indigenous'!$B$10:$B$11,0))),"N/A")</f>
        <v/>
      </c>
      <c r="X86" s="52">
        <f>IFERROR(IF(INDEX('L&amp;R'!$O$10:$O$11,MATCH($F86,'L&amp;R'!$B$10:$B$11,0))="","Cell will autofill based on response",INDEX('L&amp;R'!$O$10:$O$11,MATCH($F86,'L&amp;R'!$B$10:$B$11,0))),"N/A")</f>
        <v/>
      </c>
    </row>
    <row r="87">
      <c r="A87">
        <f>F87&amp;"|"&amp;G87</f>
        <v/>
      </c>
      <c r="B87" s="13" t="inlineStr"/>
      <c r="C87" s="8" t="inlineStr"/>
      <c r="D87" s="8" t="inlineStr"/>
      <c r="E87" s="8" t="inlineStr"/>
      <c r="F87" s="8" t="inlineStr">
        <is>
          <t>TR3(b)</t>
        </is>
      </c>
      <c r="G87" s="8" t="inlineStr">
        <is>
          <t>Data source and limitations</t>
        </is>
      </c>
      <c r="H87" s="52">
        <f>IFERROR(IF(INDEX('Faculties'!$P$10:$P$19,MATCH($F87,'Faculties'!$B$10:$B$19,0))="","Cell will autofill based on response",INDEX('Faculties'!$P$10:$P$19,MATCH($F87,'Faculties'!$B$10:$B$19,0))),"N/A")</f>
        <v/>
      </c>
      <c r="I87" s="52">
        <f>IFERROR(IF(INDEX('Faculties'!$P$26:$P$35,MATCH($F87,'Faculties'!$B$26:$B$35,0))="","Cell will autofill based on response",INDEX('Faculties'!$P$26:$P$35,MATCH($F87,'Faculties'!$B$26:$B$35,0))),"N/A")</f>
        <v/>
      </c>
      <c r="J87" s="52">
        <f>IFERROR(IF(INDEX('Faculties'!$P$42:$P$51,MATCH($F87,'Faculties'!$B$42:$B$51,0))="","Cell will autofill based on response",INDEX('Faculties'!$P$42:$P$51,MATCH($F87,'Faculties'!$B$42:$B$51,0))),"N/A")</f>
        <v/>
      </c>
      <c r="K87" s="52">
        <f>IFERROR(IF(INDEX('Faculties'!$P$58:$P$67,MATCH($F87,'Faculties'!$B$58:$B$67,0))="","Cell will autofill based on response",INDEX('Faculties'!$P$58:$P$67,MATCH($F87,'Faculties'!$B$58:$B$67,0))),"N/A")</f>
        <v/>
      </c>
      <c r="L87" s="52">
        <f>IFERROR(IF(INDEX('CI&amp;S'!$P$10:$P$15,MATCH($F87,'CI&amp;S'!$B$10:$B$15,0))="","Cell will autofill based on response",INDEX('CI&amp;S'!$P$10:$P$15,MATCH($F87,'CI&amp;S'!$B$10:$B$15,0))),"N/A")</f>
        <v/>
      </c>
      <c r="M87" s="52">
        <f>IFERROR(IF(INDEX('CI&amp;S'!$P$22:$P$36,MATCH($F87,'CI&amp;S'!$B$22:$B$36,0))="","Cell will autofill based on response",INDEX('CI&amp;S'!$P$22:$P$36,MATCH($F87,'CI&amp;S'!$B$22:$B$36,0))),"N/A")</f>
        <v/>
      </c>
      <c r="N87" s="52">
        <f>IFERROR(IF(INDEX('CFOG'!$P$10:$P$16,MATCH($F87,'CFOG'!$B$10:$B$16,0))="","Cell will autofill based on response",INDEX('CFOG'!$P$10:$P$16,MATCH($F87,'CFOG'!$B$10:$B$16,0))),"N/A")</f>
        <v/>
      </c>
      <c r="O87" s="52">
        <f>IFERROR(IF(INDEX('CFOG'!$P$23:$P$24,MATCH($F87,'CFOG'!$B$23:$B$24,0))="","Cell will autofill based on response",INDEX('CFOG'!$P$23:$P$24,MATCH($F87,'CFOG'!$B$23:$B$24,0))),"N/A")</f>
        <v/>
      </c>
      <c r="P87" s="52">
        <f>IFERROR(IF(INDEX('ESG'!$P$10:$P$17,MATCH($F87,'ESG'!$B$10:$B$17,0))="","Cell will autofill based on response",INDEX('ESG'!$P$10:$P$17,MATCH($F87,'ESG'!$B$10:$B$17,0))),"N/A")</f>
        <v/>
      </c>
      <c r="Q87" s="52">
        <f>IFERROR(IF(INDEX('CIOG'!$P$10:$P$14,MATCH($F87,'CIOG'!$B$10:$B$14,0))="","Cell will autofill based on response",INDEX('CIOG'!$P$10:$P$14,MATCH($F87,'CIOG'!$B$10:$B$14,0))),"N/A")</f>
        <v/>
      </c>
      <c r="R87" s="52">
        <f>IFERROR(IF(INDEX('MRE'!$P$10:$P$18,MATCH($F87,'MRE'!$B$10:$B$18,0))="","Cell will autofill based on response",INDEX('MRE'!$P$10:$P$18,MATCH($F87,'MRE'!$B$10:$B$18,0))),"N/A")</f>
        <v/>
      </c>
      <c r="S87" s="52">
        <f>IFERROR(IF(INDEX('AC&amp;M'!$P$10:$P$14,MATCH($F87,'AC&amp;M'!$B$10:$B$14,0))="","Cell will autofill based on response",INDEX('AC&amp;M'!$P$10:$P$14,MATCH($F87,'AC&amp;M'!$B$10:$B$14,0))),"N/A")</f>
        <v/>
      </c>
      <c r="T87" s="52">
        <f>IFERROR(IF(INDEX('GCE'!$P$10:$P$12,MATCH($F87,'GCE'!$B$10:$B$12,0))="","Cell will autofill based on response",INDEX('GCE'!$P$10:$P$12,MATCH($F87,'GCE'!$B$10:$B$12,0))),"N/A")</f>
        <v/>
      </c>
      <c r="U87" s="52">
        <f>IFERROR(IF(INDEX('Education'!$P$10:$P$13,MATCH($F87,'Education'!$B$10:$B$13,0))="","Cell will autofill based on response",INDEX('Education'!$P$10:$P$13,MATCH($F87,'Education'!$B$10:$B$13,0))),"N/A")</f>
        <v/>
      </c>
      <c r="V87" s="52">
        <f>IFERROR(IF(INDEX('SaSS'!$P$10:$P$12,MATCH($F87,'SaSS'!$B$10:$B$12,0))="","Cell will autofill based on response",INDEX('SaSS'!$P$10:$P$12,MATCH($F87,'SaSS'!$B$10:$B$12,0))),"N/A")</f>
        <v/>
      </c>
      <c r="W87" s="52">
        <f>IFERROR(IF(INDEX('Indigenous'!$P$10:$P$11,MATCH($F87,'Indigenous'!$B$10:$B$11,0))="","Cell will autofill based on response",INDEX('Indigenous'!$P$10:$P$11,MATCH($F87,'Indigenous'!$B$10:$B$11,0))),"N/A")</f>
        <v/>
      </c>
      <c r="X87" s="52">
        <f>IFERROR(IF(INDEX('L&amp;R'!$P$10:$P$11,MATCH($F87,'L&amp;R'!$B$10:$B$11,0))="","Cell will autofill based on response",INDEX('L&amp;R'!$P$10:$P$11,MATCH($F87,'L&amp;R'!$B$10:$B$11,0))),"N/A")</f>
        <v/>
      </c>
    </row>
    <row r="88">
      <c r="A88">
        <f>F88&amp;"|"&amp;G88</f>
        <v/>
      </c>
      <c r="B88" s="13" t="inlineStr"/>
      <c r="C88" s="8" t="inlineStr"/>
      <c r="D88" s="8" t="inlineStr"/>
      <c r="E88" s="8" t="inlineStr"/>
      <c r="F88" s="8" t="inlineStr">
        <is>
          <t>TR3(b)</t>
        </is>
      </c>
      <c r="G88" s="8" t="inlineStr">
        <is>
          <t>Data owner confirms</t>
        </is>
      </c>
      <c r="H88" s="52">
        <f>IFERROR(IF(INDEX('Faculties'!$Q$10:$Q$19,MATCH($F88,'Faculties'!$B$10:$B$19,0))="","Cell will autofill based on response",INDEX('Faculties'!$Q$10:$Q$19,MATCH($F88,'Faculties'!$B$10:$B$19,0))),"N/A")</f>
        <v/>
      </c>
      <c r="I88" s="52">
        <f>IFERROR(IF(INDEX('Faculties'!$Q$26:$Q$35,MATCH($F88,'Faculties'!$B$26:$B$35,0))="","Cell will autofill based on response",INDEX('Faculties'!$Q$26:$Q$35,MATCH($F88,'Faculties'!$B$26:$B$35,0))),"N/A")</f>
        <v/>
      </c>
      <c r="J88" s="52">
        <f>IFERROR(IF(INDEX('Faculties'!$Q$42:$Q$51,MATCH($F88,'Faculties'!$B$42:$B$51,0))="","Cell will autofill based on response",INDEX('Faculties'!$Q$42:$Q$51,MATCH($F88,'Faculties'!$B$42:$B$51,0))),"N/A")</f>
        <v/>
      </c>
      <c r="K88" s="52">
        <f>IFERROR(IF(INDEX('Faculties'!$Q$58:$Q$67,MATCH($F88,'Faculties'!$B$58:$B$67,0))="","Cell will autofill based on response",INDEX('Faculties'!$Q$58:$Q$67,MATCH($F88,'Faculties'!$B$58:$B$67,0))),"N/A")</f>
        <v/>
      </c>
      <c r="L88" s="52">
        <f>IFERROR(IF(INDEX('CI&amp;S'!$Q$10:$Q$15,MATCH($F88,'CI&amp;S'!$B$10:$B$15,0))="","Cell will autofill based on response",INDEX('CI&amp;S'!$Q$10:$Q$15,MATCH($F88,'CI&amp;S'!$B$10:$B$15,0))),"N/A")</f>
        <v/>
      </c>
      <c r="M88" s="52">
        <f>IFERROR(IF(INDEX('CI&amp;S'!$Q$22:$Q$36,MATCH($F88,'CI&amp;S'!$B$22:$B$36,0))="","Cell will autofill based on response",INDEX('CI&amp;S'!$Q$22:$Q$36,MATCH($F88,'CI&amp;S'!$B$22:$B$36,0))),"N/A")</f>
        <v/>
      </c>
      <c r="N88" s="52">
        <f>IFERROR(IF(INDEX('CFOG'!$Q$10:$Q$16,MATCH($F88,'CFOG'!$B$10:$B$16,0))="","Cell will autofill based on response",INDEX('CFOG'!$Q$10:$Q$16,MATCH($F88,'CFOG'!$B$10:$B$16,0))),"N/A")</f>
        <v/>
      </c>
      <c r="O88" s="52">
        <f>IFERROR(IF(INDEX('CFOG'!$Q$23:$Q$24,MATCH($F88,'CFOG'!$B$23:$B$24,0))="","Cell will autofill based on response",INDEX('CFOG'!$Q$23:$Q$24,MATCH($F88,'CFOG'!$B$23:$B$24,0))),"N/A")</f>
        <v/>
      </c>
      <c r="P88" s="52">
        <f>IFERROR(IF(INDEX('ESG'!$Q$10:$Q$17,MATCH($F88,'ESG'!$B$10:$B$17,0))="","Cell will autofill based on response",INDEX('ESG'!$Q$10:$Q$17,MATCH($F88,'ESG'!$B$10:$B$17,0))),"N/A")</f>
        <v/>
      </c>
      <c r="Q88" s="52">
        <f>IFERROR(IF(INDEX('CIOG'!$Q$10:$Q$14,MATCH($F88,'CIOG'!$B$10:$B$14,0))="","Cell will autofill based on response",INDEX('CIOG'!$Q$10:$Q$14,MATCH($F88,'CIOG'!$B$10:$B$14,0))),"N/A")</f>
        <v/>
      </c>
      <c r="R88" s="52">
        <f>IFERROR(IF(INDEX('MRE'!$Q$10:$Q$18,MATCH($F88,'MRE'!$B$10:$B$18,0))="","Cell will autofill based on response",INDEX('MRE'!$Q$10:$Q$18,MATCH($F88,'MRE'!$B$10:$B$18,0))),"N/A")</f>
        <v/>
      </c>
      <c r="S88" s="52">
        <f>IFERROR(IF(INDEX('AC&amp;M'!$Q$10:$Q$14,MATCH($F88,'AC&amp;M'!$B$10:$B$14,0))="","Cell will autofill based on response",INDEX('AC&amp;M'!$Q$10:$Q$14,MATCH($F88,'AC&amp;M'!$B$10:$B$14,0))),"N/A")</f>
        <v/>
      </c>
      <c r="T88" s="52">
        <f>IFERROR(IF(INDEX('GCE'!$Q$10:$Q$12,MATCH($F88,'GCE'!$B$10:$B$12,0))="","Cell will autofill based on response",INDEX('GCE'!$Q$10:$Q$12,MATCH($F88,'GCE'!$B$10:$B$12,0))),"N/A")</f>
        <v/>
      </c>
      <c r="U88" s="52">
        <f>IFERROR(IF(INDEX('Education'!$Q$10:$Q$13,MATCH($F88,'Education'!$B$10:$B$13,0))="","Cell will autofill based on response",INDEX('Education'!$Q$10:$Q$13,MATCH($F88,'Education'!$B$10:$B$13,0))),"N/A")</f>
        <v/>
      </c>
      <c r="V88" s="52">
        <f>IFERROR(IF(INDEX('SaSS'!$Q$10:$Q$12,MATCH($F88,'SaSS'!$B$10:$B$12,0))="","Cell will autofill based on response",INDEX('SaSS'!$Q$10:$Q$12,MATCH($F88,'SaSS'!$B$10:$B$12,0))),"N/A")</f>
        <v/>
      </c>
      <c r="W88" s="52">
        <f>IFERROR(IF(INDEX('Indigenous'!$Q$10:$Q$11,MATCH($F88,'Indigenous'!$B$10:$B$11,0))="","Cell will autofill based on response",INDEX('Indigenous'!$Q$10:$Q$11,MATCH($F88,'Indigenous'!$B$10:$B$11,0))),"N/A")</f>
        <v/>
      </c>
      <c r="X88" s="52">
        <f>IFERROR(IF(INDEX('L&amp;R'!$Q$10:$Q$11,MATCH($F88,'L&amp;R'!$B$10:$B$11,0))="","Cell will autofill based on response",INDEX('L&amp;R'!$Q$10:$Q$11,MATCH($F88,'L&amp;R'!$B$10:$B$11,0))),"N/A")</f>
        <v/>
      </c>
    </row>
    <row r="89">
      <c r="A89">
        <f>F89&amp;"|"&amp;G89</f>
        <v/>
      </c>
      <c r="B89" s="7" t="inlineStr">
        <is>
          <t>TR3(c)</t>
        </is>
      </c>
      <c r="C89" s="50" t="inlineStr">
        <is>
          <t>Transformational research</t>
        </is>
      </c>
      <c r="D89" s="50" t="inlineStr">
        <is>
          <t>Evidence of progress in sustainability-related research culture, capability and awareness, informed by periodic staff and graduate researcher surveys</t>
        </is>
      </c>
      <c r="E89" s="50"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89" s="50" t="inlineStr">
        <is>
          <t>TR3(c)</t>
        </is>
      </c>
      <c r="G89" s="50" t="inlineStr">
        <is>
          <t>Confirm end-2026 target status</t>
        </is>
      </c>
      <c r="H89" s="52">
        <f>IFERROR(IF(INDEX('Faculties'!$L$10:$L$19,MATCH($F89,'Faculties'!$B$10:$B$19,0))="","Cell will autofill based on response",INDEX('Faculties'!$L$10:$L$19,MATCH($F89,'Faculties'!$B$10:$B$19,0))),"N/A")</f>
        <v/>
      </c>
      <c r="I89" s="52">
        <f>IFERROR(IF(INDEX('Faculties'!$L$26:$L$35,MATCH($F89,'Faculties'!$B$26:$B$35,0))="","Cell will autofill based on response",INDEX('Faculties'!$L$26:$L$35,MATCH($F89,'Faculties'!$B$26:$B$35,0))),"N/A")</f>
        <v/>
      </c>
      <c r="J89" s="52">
        <f>IFERROR(IF(INDEX('Faculties'!$L$42:$L$51,MATCH($F89,'Faculties'!$B$42:$B$51,0))="","Cell will autofill based on response",INDEX('Faculties'!$L$42:$L$51,MATCH($F89,'Faculties'!$B$42:$B$51,0))),"N/A")</f>
        <v/>
      </c>
      <c r="K89" s="52">
        <f>IFERROR(IF(INDEX('Faculties'!$L$58:$L$67,MATCH($F89,'Faculties'!$B$58:$B$67,0))="","Cell will autofill based on response",INDEX('Faculties'!$L$58:$L$67,MATCH($F89,'Faculties'!$B$58:$B$67,0))),"N/A")</f>
        <v/>
      </c>
      <c r="L89" s="52">
        <f>IFERROR(IF(INDEX('CI&amp;S'!$L$10:$L$15,MATCH($F89,'CI&amp;S'!$B$10:$B$15,0))="","Cell will autofill based on response",INDEX('CI&amp;S'!$L$10:$L$15,MATCH($F89,'CI&amp;S'!$B$10:$B$15,0))),"N/A")</f>
        <v/>
      </c>
      <c r="M89" s="52">
        <f>IFERROR(IF(INDEX('CI&amp;S'!$L$22:$L$36,MATCH($F89,'CI&amp;S'!$B$22:$B$36,0))="","Cell will autofill based on response",INDEX('CI&amp;S'!$L$22:$L$36,MATCH($F89,'CI&amp;S'!$B$22:$B$36,0))),"N/A")</f>
        <v/>
      </c>
      <c r="N89" s="52">
        <f>IFERROR(IF(INDEX('CFOG'!$L$10:$L$16,MATCH($F89,'CFOG'!$B$10:$B$16,0))="","Cell will autofill based on response",INDEX('CFOG'!$L$10:$L$16,MATCH($F89,'CFOG'!$B$10:$B$16,0))),"N/A")</f>
        <v/>
      </c>
      <c r="O89" s="52">
        <f>IFERROR(IF(INDEX('CFOG'!$L$23:$L$24,MATCH($F89,'CFOG'!$B$23:$B$24,0))="","Cell will autofill based on response",INDEX('CFOG'!$L$23:$L$24,MATCH($F89,'CFOG'!$B$23:$B$24,0))),"N/A")</f>
        <v/>
      </c>
      <c r="P89" s="52">
        <f>IFERROR(IF(INDEX('ESG'!$L$10:$L$17,MATCH($F89,'ESG'!$B$10:$B$17,0))="","Cell will autofill based on response",INDEX('ESG'!$L$10:$L$17,MATCH($F89,'ESG'!$B$10:$B$17,0))),"N/A")</f>
        <v/>
      </c>
      <c r="Q89" s="52">
        <f>IFERROR(IF(INDEX('CIOG'!$L$10:$L$14,MATCH($F89,'CIOG'!$B$10:$B$14,0))="","Cell will autofill based on response",INDEX('CIOG'!$L$10:$L$14,MATCH($F89,'CIOG'!$B$10:$B$14,0))),"N/A")</f>
        <v/>
      </c>
      <c r="R89" s="52">
        <f>IFERROR(IF(INDEX('MRE'!$L$10:$L$18,MATCH($F89,'MRE'!$B$10:$B$18,0))="","Cell will autofill based on response",INDEX('MRE'!$L$10:$L$18,MATCH($F89,'MRE'!$B$10:$B$18,0))),"N/A")</f>
        <v/>
      </c>
      <c r="S89" s="52">
        <f>IFERROR(IF(INDEX('AC&amp;M'!$L$10:$L$14,MATCH($F89,'AC&amp;M'!$B$10:$B$14,0))="","Cell will autofill based on response",INDEX('AC&amp;M'!$L$10:$L$14,MATCH($F89,'AC&amp;M'!$B$10:$B$14,0))),"N/A")</f>
        <v/>
      </c>
      <c r="T89" s="52">
        <f>IFERROR(IF(INDEX('GCE'!$L$10:$L$12,MATCH($F89,'GCE'!$B$10:$B$12,0))="","Cell will autofill based on response",INDEX('GCE'!$L$10:$L$12,MATCH($F89,'GCE'!$B$10:$B$12,0))),"N/A")</f>
        <v/>
      </c>
      <c r="U89" s="52">
        <f>IFERROR(IF(INDEX('Education'!$L$10:$L$13,MATCH($F89,'Education'!$B$10:$B$13,0))="","Cell will autofill based on response",INDEX('Education'!$L$10:$L$13,MATCH($F89,'Education'!$B$10:$B$13,0))),"N/A")</f>
        <v/>
      </c>
      <c r="V89" s="52">
        <f>IFERROR(IF(INDEX('SaSS'!$L$10:$L$12,MATCH($F89,'SaSS'!$B$10:$B$12,0))="","Cell will autofill based on response",INDEX('SaSS'!$L$10:$L$12,MATCH($F89,'SaSS'!$B$10:$B$12,0))),"N/A")</f>
        <v/>
      </c>
      <c r="W89" s="52">
        <f>IFERROR(IF(INDEX('Indigenous'!$L$10:$L$11,MATCH($F89,'Indigenous'!$B$10:$B$11,0))="","Cell will autofill based on response",INDEX('Indigenous'!$L$10:$L$11,MATCH($F89,'Indigenous'!$B$10:$B$11,0))),"N/A")</f>
        <v/>
      </c>
      <c r="X89" s="52">
        <f>IFERROR(IF(INDEX('L&amp;R'!$L$10:$L$11,MATCH($F89,'L&amp;R'!$B$10:$B$11,0))="","Cell will autofill based on response",INDEX('L&amp;R'!$L$10:$L$11,MATCH($F89,'L&amp;R'!$B$10:$B$11,0))),"N/A")</f>
        <v/>
      </c>
      <c r="Z89" s="10">
        <f>COUNTIF($H89:$X89,"Cell will autofill based on response")</f>
        <v/>
      </c>
      <c r="AA89" s="10">
        <f>COUNTIF($H89:$X89,"Not yet started")</f>
        <v/>
      </c>
      <c r="AB89" s="10">
        <f>COUNTIF($H89:$X89,"Not met")</f>
        <v/>
      </c>
      <c r="AC89" s="10">
        <f>COUNTIF($H89:$X89,"Partially met")</f>
        <v/>
      </c>
      <c r="AD89" s="10">
        <f>COUNTIF($H89:$X89,"Met or exceeded")</f>
        <v/>
      </c>
      <c r="AE89" s="10">
        <f>3*AD89+2*AC89+AB89</f>
        <v/>
      </c>
      <c r="AF89" s="10">
        <f>AD89+AC89+AB89+AA89</f>
        <v/>
      </c>
      <c r="AG89" s="53">
        <f>IF(AF89&gt;0,AE89/AF89,"No valid responses to date")</f>
        <v/>
      </c>
      <c r="AH89" s="10">
        <f>IF(ISNUMBER(AG89),INDEX(Lists!$G$2:$G$5,MATCH(ROUND(AG89,0),Lists!$H$2:$H$5,0)),"")</f>
        <v/>
      </c>
      <c r="AI89" s="54">
        <f>IF(AF89&gt;0,AD89/AF89,"")</f>
        <v/>
      </c>
      <c r="AJ89" s="54">
        <f>IF(AF89&gt;0,(AD89+AC89)/AF89,"")</f>
        <v/>
      </c>
      <c r="AK89" s="10">
        <f>IF(AF89=0,"",IF(AI89&gt;0.75,"Met or exceeded",IF(AJ89&gt;=0.5,"Partially met","Not met")))</f>
        <v/>
      </c>
    </row>
    <row r="90">
      <c r="A90">
        <f>F90&amp;"|"&amp;G90</f>
        <v/>
      </c>
      <c r="B90" s="13" t="inlineStr"/>
      <c r="C90" s="8" t="inlineStr"/>
      <c r="D90" s="8" t="inlineStr"/>
      <c r="E90" s="8" t="inlineStr"/>
      <c r="F90" s="8" t="inlineStr">
        <is>
          <t>TR3(c)</t>
        </is>
      </c>
      <c r="G90" s="8" t="inlineStr">
        <is>
          <t>OPTION 1:  Target-level reporting</t>
        </is>
      </c>
      <c r="H90" s="52">
        <f>IFERROR(IF(INDEX('Faculties'!$M$10:$M$19,MATCH($F90,'Faculties'!$B$10:$B$19,0))="","Cell will autofill based on response",INDEX('Faculties'!$M$10:$M$19,MATCH($F90,'Faculties'!$B$10:$B$19,0))),"N/A")</f>
        <v/>
      </c>
      <c r="I90" s="52">
        <f>IFERROR(IF(INDEX('Faculties'!$M$26:$M$35,MATCH($F90,'Faculties'!$B$26:$B$35,0))="","Cell will autofill based on response",INDEX('Faculties'!$M$26:$M$35,MATCH($F90,'Faculties'!$B$26:$B$35,0))),"N/A")</f>
        <v/>
      </c>
      <c r="J90" s="52">
        <f>IFERROR(IF(INDEX('Faculties'!$M$42:$M$51,MATCH($F90,'Faculties'!$B$42:$B$51,0))="","Cell will autofill based on response",INDEX('Faculties'!$M$42:$M$51,MATCH($F90,'Faculties'!$B$42:$B$51,0))),"N/A")</f>
        <v/>
      </c>
      <c r="K90" s="52">
        <f>IFERROR(IF(INDEX('Faculties'!$M$58:$M$67,MATCH($F90,'Faculties'!$B$58:$B$67,0))="","Cell will autofill based on response",INDEX('Faculties'!$M$58:$M$67,MATCH($F90,'Faculties'!$B$58:$B$67,0))),"N/A")</f>
        <v/>
      </c>
      <c r="L90" s="52">
        <f>IFERROR(IF(INDEX('CI&amp;S'!$M$10:$M$15,MATCH($F90,'CI&amp;S'!$B$10:$B$15,0))="","Cell will autofill based on response",INDEX('CI&amp;S'!$M$10:$M$15,MATCH($F90,'CI&amp;S'!$B$10:$B$15,0))),"N/A")</f>
        <v/>
      </c>
      <c r="M90" s="52">
        <f>IFERROR(IF(INDEX('CI&amp;S'!$M$22:$M$36,MATCH($F90,'CI&amp;S'!$B$22:$B$36,0))="","Cell will autofill based on response",INDEX('CI&amp;S'!$M$22:$M$36,MATCH($F90,'CI&amp;S'!$B$22:$B$36,0))),"N/A")</f>
        <v/>
      </c>
      <c r="N90" s="52">
        <f>IFERROR(IF(INDEX('CFOG'!$M$10:$M$16,MATCH($F90,'CFOG'!$B$10:$B$16,0))="","Cell will autofill based on response",INDEX('CFOG'!$M$10:$M$16,MATCH($F90,'CFOG'!$B$10:$B$16,0))),"N/A")</f>
        <v/>
      </c>
      <c r="O90" s="52">
        <f>IFERROR(IF(INDEX('CFOG'!$M$23:$M$24,MATCH($F90,'CFOG'!$B$23:$B$24,0))="","Cell will autofill based on response",INDEX('CFOG'!$M$23:$M$24,MATCH($F90,'CFOG'!$B$23:$B$24,0))),"N/A")</f>
        <v/>
      </c>
      <c r="P90" s="52">
        <f>IFERROR(IF(INDEX('ESG'!$M$10:$M$17,MATCH($F90,'ESG'!$B$10:$B$17,0))="","Cell will autofill based on response",INDEX('ESG'!$M$10:$M$17,MATCH($F90,'ESG'!$B$10:$B$17,0))),"N/A")</f>
        <v/>
      </c>
      <c r="Q90" s="52">
        <f>IFERROR(IF(INDEX('CIOG'!$M$10:$M$14,MATCH($F90,'CIOG'!$B$10:$B$14,0))="","Cell will autofill based on response",INDEX('CIOG'!$M$10:$M$14,MATCH($F90,'CIOG'!$B$10:$B$14,0))),"N/A")</f>
        <v/>
      </c>
      <c r="R90" s="52">
        <f>IFERROR(IF(INDEX('MRE'!$M$10:$M$18,MATCH($F90,'MRE'!$B$10:$B$18,0))="","Cell will autofill based on response",INDEX('MRE'!$M$10:$M$18,MATCH($F90,'MRE'!$B$10:$B$18,0))),"N/A")</f>
        <v/>
      </c>
      <c r="S90" s="52">
        <f>IFERROR(IF(INDEX('AC&amp;M'!$M$10:$M$14,MATCH($F90,'AC&amp;M'!$B$10:$B$14,0))="","Cell will autofill based on response",INDEX('AC&amp;M'!$M$10:$M$14,MATCH($F90,'AC&amp;M'!$B$10:$B$14,0))),"N/A")</f>
        <v/>
      </c>
      <c r="T90" s="52">
        <f>IFERROR(IF(INDEX('GCE'!$M$10:$M$12,MATCH($F90,'GCE'!$B$10:$B$12,0))="","Cell will autofill based on response",INDEX('GCE'!$M$10:$M$12,MATCH($F90,'GCE'!$B$10:$B$12,0))),"N/A")</f>
        <v/>
      </c>
      <c r="U90" s="52">
        <f>IFERROR(IF(INDEX('Education'!$M$10:$M$13,MATCH($F90,'Education'!$B$10:$B$13,0))="","Cell will autofill based on response",INDEX('Education'!$M$10:$M$13,MATCH($F90,'Education'!$B$10:$B$13,0))),"N/A")</f>
        <v/>
      </c>
      <c r="V90" s="52">
        <f>IFERROR(IF(INDEX('SaSS'!$M$10:$M$12,MATCH($F90,'SaSS'!$B$10:$B$12,0))="","Cell will autofill based on response",INDEX('SaSS'!$M$10:$M$12,MATCH($F90,'SaSS'!$B$10:$B$12,0))),"N/A")</f>
        <v/>
      </c>
      <c r="W90" s="52">
        <f>IFERROR(IF(INDEX('Indigenous'!$M$10:$M$11,MATCH($F90,'Indigenous'!$B$10:$B$11,0))="","Cell will autofill based on response",INDEX('Indigenous'!$M$10:$M$11,MATCH($F90,'Indigenous'!$B$10:$B$11,0))),"N/A")</f>
        <v/>
      </c>
      <c r="X90" s="52">
        <f>IFERROR(IF(INDEX('L&amp;R'!$M$10:$M$11,MATCH($F90,'L&amp;R'!$B$10:$B$11,0))="","Cell will autofill based on response",INDEX('L&amp;R'!$M$10:$M$11,MATCH($F90,'L&amp;R'!$B$10:$B$11,0))),"N/A")</f>
        <v/>
      </c>
    </row>
    <row r="91">
      <c r="A91">
        <f>F91&amp;"|"&amp;G91</f>
        <v/>
      </c>
      <c r="B91" s="13" t="inlineStr"/>
      <c r="C91" s="8" t="inlineStr"/>
      <c r="D91" s="8" t="inlineStr"/>
      <c r="E91" s="8" t="inlineStr"/>
      <c r="F91" s="8" t="inlineStr">
        <is>
          <t>TR3(c)</t>
        </is>
      </c>
      <c r="G91" s="8" t="inlineStr">
        <is>
          <t>OPTION 2:  Indicator level reporting</t>
        </is>
      </c>
      <c r="H91" s="52">
        <f>IFERROR(IF(INDEX('Faculties'!$N$10:$N$19,MATCH($F91,'Faculties'!$B$10:$B$19,0))="","Cell will autofill based on response",INDEX('Faculties'!$N$10:$N$19,MATCH($F91,'Faculties'!$B$10:$B$19,0))),"N/A")</f>
        <v/>
      </c>
      <c r="I91" s="52">
        <f>IFERROR(IF(INDEX('Faculties'!$N$26:$N$35,MATCH($F91,'Faculties'!$B$26:$B$35,0))="","Cell will autofill based on response",INDEX('Faculties'!$N$26:$N$35,MATCH($F91,'Faculties'!$B$26:$B$35,0))),"N/A")</f>
        <v/>
      </c>
      <c r="J91" s="52">
        <f>IFERROR(IF(INDEX('Faculties'!$N$42:$N$51,MATCH($F91,'Faculties'!$B$42:$B$51,0))="","Cell will autofill based on response",INDEX('Faculties'!$N$42:$N$51,MATCH($F91,'Faculties'!$B$42:$B$51,0))),"N/A")</f>
        <v/>
      </c>
      <c r="K91" s="52">
        <f>IFERROR(IF(INDEX('Faculties'!$N$58:$N$67,MATCH($F91,'Faculties'!$B$58:$B$67,0))="","Cell will autofill based on response",INDEX('Faculties'!$N$58:$N$67,MATCH($F91,'Faculties'!$B$58:$B$67,0))),"N/A")</f>
        <v/>
      </c>
      <c r="L91" s="52">
        <f>IFERROR(IF(INDEX('CI&amp;S'!$N$10:$N$15,MATCH($F91,'CI&amp;S'!$B$10:$B$15,0))="","Cell will autofill based on response",INDEX('CI&amp;S'!$N$10:$N$15,MATCH($F91,'CI&amp;S'!$B$10:$B$15,0))),"N/A")</f>
        <v/>
      </c>
      <c r="M91" s="52">
        <f>IFERROR(IF(INDEX('CI&amp;S'!$N$22:$N$36,MATCH($F91,'CI&amp;S'!$B$22:$B$36,0))="","Cell will autofill based on response",INDEX('CI&amp;S'!$N$22:$N$36,MATCH($F91,'CI&amp;S'!$B$22:$B$36,0))),"N/A")</f>
        <v/>
      </c>
      <c r="N91" s="52">
        <f>IFERROR(IF(INDEX('CFOG'!$N$10:$N$16,MATCH($F91,'CFOG'!$B$10:$B$16,0))="","Cell will autofill based on response",INDEX('CFOG'!$N$10:$N$16,MATCH($F91,'CFOG'!$B$10:$B$16,0))),"N/A")</f>
        <v/>
      </c>
      <c r="O91" s="52">
        <f>IFERROR(IF(INDEX('CFOG'!$N$23:$N$24,MATCH($F91,'CFOG'!$B$23:$B$24,0))="","Cell will autofill based on response",INDEX('CFOG'!$N$23:$N$24,MATCH($F91,'CFOG'!$B$23:$B$24,0))),"N/A")</f>
        <v/>
      </c>
      <c r="P91" s="52">
        <f>IFERROR(IF(INDEX('ESG'!$N$10:$N$17,MATCH($F91,'ESG'!$B$10:$B$17,0))="","Cell will autofill based on response",INDEX('ESG'!$N$10:$N$17,MATCH($F91,'ESG'!$B$10:$B$17,0))),"N/A")</f>
        <v/>
      </c>
      <c r="Q91" s="52">
        <f>IFERROR(IF(INDEX('CIOG'!$N$10:$N$14,MATCH($F91,'CIOG'!$B$10:$B$14,0))="","Cell will autofill based on response",INDEX('CIOG'!$N$10:$N$14,MATCH($F91,'CIOG'!$B$10:$B$14,0))),"N/A")</f>
        <v/>
      </c>
      <c r="R91" s="52">
        <f>IFERROR(IF(INDEX('MRE'!$N$10:$N$18,MATCH($F91,'MRE'!$B$10:$B$18,0))="","Cell will autofill based on response",INDEX('MRE'!$N$10:$N$18,MATCH($F91,'MRE'!$B$10:$B$18,0))),"N/A")</f>
        <v/>
      </c>
      <c r="S91" s="52">
        <f>IFERROR(IF(INDEX('AC&amp;M'!$N$10:$N$14,MATCH($F91,'AC&amp;M'!$B$10:$B$14,0))="","Cell will autofill based on response",INDEX('AC&amp;M'!$N$10:$N$14,MATCH($F91,'AC&amp;M'!$B$10:$B$14,0))),"N/A")</f>
        <v/>
      </c>
      <c r="T91" s="52">
        <f>IFERROR(IF(INDEX('GCE'!$N$10:$N$12,MATCH($F91,'GCE'!$B$10:$B$12,0))="","Cell will autofill based on response",INDEX('GCE'!$N$10:$N$12,MATCH($F91,'GCE'!$B$10:$B$12,0))),"N/A")</f>
        <v/>
      </c>
      <c r="U91" s="52">
        <f>IFERROR(IF(INDEX('Education'!$N$10:$N$13,MATCH($F91,'Education'!$B$10:$B$13,0))="","Cell will autofill based on response",INDEX('Education'!$N$10:$N$13,MATCH($F91,'Education'!$B$10:$B$13,0))),"N/A")</f>
        <v/>
      </c>
      <c r="V91" s="52">
        <f>IFERROR(IF(INDEX('SaSS'!$N$10:$N$12,MATCH($F91,'SaSS'!$B$10:$B$12,0))="","Cell will autofill based on response",INDEX('SaSS'!$N$10:$N$12,MATCH($F91,'SaSS'!$B$10:$B$12,0))),"N/A")</f>
        <v/>
      </c>
      <c r="W91" s="52">
        <f>IFERROR(IF(INDEX('Indigenous'!$N$10:$N$11,MATCH($F91,'Indigenous'!$B$10:$B$11,0))="","Cell will autofill based on response",INDEX('Indigenous'!$N$10:$N$11,MATCH($F91,'Indigenous'!$B$10:$B$11,0))),"N/A")</f>
        <v/>
      </c>
      <c r="X91" s="52">
        <f>IFERROR(IF(INDEX('L&amp;R'!$N$10:$N$11,MATCH($F91,'L&amp;R'!$B$10:$B$11,0))="","Cell will autofill based on response",INDEX('L&amp;R'!$N$10:$N$11,MATCH($F91,'L&amp;R'!$B$10:$B$11,0))),"N/A")</f>
        <v/>
      </c>
    </row>
    <row r="92">
      <c r="A92">
        <f>F92&amp;"|"&amp;G92</f>
        <v/>
      </c>
      <c r="B92" s="13" t="inlineStr"/>
      <c r="C92" s="8" t="inlineStr"/>
      <c r="D92" s="8" t="inlineStr"/>
      <c r="E92" s="8" t="inlineStr"/>
      <c r="F92" s="8" t="inlineStr">
        <is>
          <t>TR3(c)</t>
        </is>
      </c>
      <c r="G92" s="8" t="inlineStr">
        <is>
          <t>Supporting information/comments</t>
        </is>
      </c>
      <c r="H92" s="52">
        <f>IFERROR(IF(INDEX('Faculties'!$O$10:$O$19,MATCH($F92,'Faculties'!$B$10:$B$19,0))="","Cell will autofill based on response",INDEX('Faculties'!$O$10:$O$19,MATCH($F92,'Faculties'!$B$10:$B$19,0))),"N/A")</f>
        <v/>
      </c>
      <c r="I92" s="52">
        <f>IFERROR(IF(INDEX('Faculties'!$O$26:$O$35,MATCH($F92,'Faculties'!$B$26:$B$35,0))="","Cell will autofill based on response",INDEX('Faculties'!$O$26:$O$35,MATCH($F92,'Faculties'!$B$26:$B$35,0))),"N/A")</f>
        <v/>
      </c>
      <c r="J92" s="52">
        <f>IFERROR(IF(INDEX('Faculties'!$O$42:$O$51,MATCH($F92,'Faculties'!$B$42:$B$51,0))="","Cell will autofill based on response",INDEX('Faculties'!$O$42:$O$51,MATCH($F92,'Faculties'!$B$42:$B$51,0))),"N/A")</f>
        <v/>
      </c>
      <c r="K92" s="52">
        <f>IFERROR(IF(INDEX('Faculties'!$O$58:$O$67,MATCH($F92,'Faculties'!$B$58:$B$67,0))="","Cell will autofill based on response",INDEX('Faculties'!$O$58:$O$67,MATCH($F92,'Faculties'!$B$58:$B$67,0))),"N/A")</f>
        <v/>
      </c>
      <c r="L92" s="52">
        <f>IFERROR(IF(INDEX('CI&amp;S'!$O$10:$O$15,MATCH($F92,'CI&amp;S'!$B$10:$B$15,0))="","Cell will autofill based on response",INDEX('CI&amp;S'!$O$10:$O$15,MATCH($F92,'CI&amp;S'!$B$10:$B$15,0))),"N/A")</f>
        <v/>
      </c>
      <c r="M92" s="52">
        <f>IFERROR(IF(INDEX('CI&amp;S'!$O$22:$O$36,MATCH($F92,'CI&amp;S'!$B$22:$B$36,0))="","Cell will autofill based on response",INDEX('CI&amp;S'!$O$22:$O$36,MATCH($F92,'CI&amp;S'!$B$22:$B$36,0))),"N/A")</f>
        <v/>
      </c>
      <c r="N92" s="52">
        <f>IFERROR(IF(INDEX('CFOG'!$O$10:$O$16,MATCH($F92,'CFOG'!$B$10:$B$16,0))="","Cell will autofill based on response",INDEX('CFOG'!$O$10:$O$16,MATCH($F92,'CFOG'!$B$10:$B$16,0))),"N/A")</f>
        <v/>
      </c>
      <c r="O92" s="52">
        <f>IFERROR(IF(INDEX('CFOG'!$O$23:$O$24,MATCH($F92,'CFOG'!$B$23:$B$24,0))="","Cell will autofill based on response",INDEX('CFOG'!$O$23:$O$24,MATCH($F92,'CFOG'!$B$23:$B$24,0))),"N/A")</f>
        <v/>
      </c>
      <c r="P92" s="52">
        <f>IFERROR(IF(INDEX('ESG'!$O$10:$O$17,MATCH($F92,'ESG'!$B$10:$B$17,0))="","Cell will autofill based on response",INDEX('ESG'!$O$10:$O$17,MATCH($F92,'ESG'!$B$10:$B$17,0))),"N/A")</f>
        <v/>
      </c>
      <c r="Q92" s="52">
        <f>IFERROR(IF(INDEX('CIOG'!$O$10:$O$14,MATCH($F92,'CIOG'!$B$10:$B$14,0))="","Cell will autofill based on response",INDEX('CIOG'!$O$10:$O$14,MATCH($F92,'CIOG'!$B$10:$B$14,0))),"N/A")</f>
        <v/>
      </c>
      <c r="R92" s="52">
        <f>IFERROR(IF(INDEX('MRE'!$O$10:$O$18,MATCH($F92,'MRE'!$B$10:$B$18,0))="","Cell will autofill based on response",INDEX('MRE'!$O$10:$O$18,MATCH($F92,'MRE'!$B$10:$B$18,0))),"N/A")</f>
        <v/>
      </c>
      <c r="S92" s="52">
        <f>IFERROR(IF(INDEX('AC&amp;M'!$O$10:$O$14,MATCH($F92,'AC&amp;M'!$B$10:$B$14,0))="","Cell will autofill based on response",INDEX('AC&amp;M'!$O$10:$O$14,MATCH($F92,'AC&amp;M'!$B$10:$B$14,0))),"N/A")</f>
        <v/>
      </c>
      <c r="T92" s="52">
        <f>IFERROR(IF(INDEX('GCE'!$O$10:$O$12,MATCH($F92,'GCE'!$B$10:$B$12,0))="","Cell will autofill based on response",INDEX('GCE'!$O$10:$O$12,MATCH($F92,'GCE'!$B$10:$B$12,0))),"N/A")</f>
        <v/>
      </c>
      <c r="U92" s="52">
        <f>IFERROR(IF(INDEX('Education'!$O$10:$O$13,MATCH($F92,'Education'!$B$10:$B$13,0))="","Cell will autofill based on response",INDEX('Education'!$O$10:$O$13,MATCH($F92,'Education'!$B$10:$B$13,0))),"N/A")</f>
        <v/>
      </c>
      <c r="V92" s="52">
        <f>IFERROR(IF(INDEX('SaSS'!$O$10:$O$12,MATCH($F92,'SaSS'!$B$10:$B$12,0))="","Cell will autofill based on response",INDEX('SaSS'!$O$10:$O$12,MATCH($F92,'SaSS'!$B$10:$B$12,0))),"N/A")</f>
        <v/>
      </c>
      <c r="W92" s="52">
        <f>IFERROR(IF(INDEX('Indigenous'!$O$10:$O$11,MATCH($F92,'Indigenous'!$B$10:$B$11,0))="","Cell will autofill based on response",INDEX('Indigenous'!$O$10:$O$11,MATCH($F92,'Indigenous'!$B$10:$B$11,0))),"N/A")</f>
        <v/>
      </c>
      <c r="X92" s="52">
        <f>IFERROR(IF(INDEX('L&amp;R'!$O$10:$O$11,MATCH($F92,'L&amp;R'!$B$10:$B$11,0))="","Cell will autofill based on response",INDEX('L&amp;R'!$O$10:$O$11,MATCH($F92,'L&amp;R'!$B$10:$B$11,0))),"N/A")</f>
        <v/>
      </c>
    </row>
    <row r="93">
      <c r="A93">
        <f>F93&amp;"|"&amp;G93</f>
        <v/>
      </c>
      <c r="B93" s="13" t="inlineStr"/>
      <c r="C93" s="8" t="inlineStr"/>
      <c r="D93" s="8" t="inlineStr"/>
      <c r="E93" s="8" t="inlineStr"/>
      <c r="F93" s="8" t="inlineStr">
        <is>
          <t>TR3(c)</t>
        </is>
      </c>
      <c r="G93" s="8" t="inlineStr">
        <is>
          <t>Data source and limitations</t>
        </is>
      </c>
      <c r="H93" s="52">
        <f>IFERROR(IF(INDEX('Faculties'!$P$10:$P$19,MATCH($F93,'Faculties'!$B$10:$B$19,0))="","Cell will autofill based on response",INDEX('Faculties'!$P$10:$P$19,MATCH($F93,'Faculties'!$B$10:$B$19,0))),"N/A")</f>
        <v/>
      </c>
      <c r="I93" s="52">
        <f>IFERROR(IF(INDEX('Faculties'!$P$26:$P$35,MATCH($F93,'Faculties'!$B$26:$B$35,0))="","Cell will autofill based on response",INDEX('Faculties'!$P$26:$P$35,MATCH($F93,'Faculties'!$B$26:$B$35,0))),"N/A")</f>
        <v/>
      </c>
      <c r="J93" s="52">
        <f>IFERROR(IF(INDEX('Faculties'!$P$42:$P$51,MATCH($F93,'Faculties'!$B$42:$B$51,0))="","Cell will autofill based on response",INDEX('Faculties'!$P$42:$P$51,MATCH($F93,'Faculties'!$B$42:$B$51,0))),"N/A")</f>
        <v/>
      </c>
      <c r="K93" s="52">
        <f>IFERROR(IF(INDEX('Faculties'!$P$58:$P$67,MATCH($F93,'Faculties'!$B$58:$B$67,0))="","Cell will autofill based on response",INDEX('Faculties'!$P$58:$P$67,MATCH($F93,'Faculties'!$B$58:$B$67,0))),"N/A")</f>
        <v/>
      </c>
      <c r="L93" s="52">
        <f>IFERROR(IF(INDEX('CI&amp;S'!$P$10:$P$15,MATCH($F93,'CI&amp;S'!$B$10:$B$15,0))="","Cell will autofill based on response",INDEX('CI&amp;S'!$P$10:$P$15,MATCH($F93,'CI&amp;S'!$B$10:$B$15,0))),"N/A")</f>
        <v/>
      </c>
      <c r="M93" s="52">
        <f>IFERROR(IF(INDEX('CI&amp;S'!$P$22:$P$36,MATCH($F93,'CI&amp;S'!$B$22:$B$36,0))="","Cell will autofill based on response",INDEX('CI&amp;S'!$P$22:$P$36,MATCH($F93,'CI&amp;S'!$B$22:$B$36,0))),"N/A")</f>
        <v/>
      </c>
      <c r="N93" s="52">
        <f>IFERROR(IF(INDEX('CFOG'!$P$10:$P$16,MATCH($F93,'CFOG'!$B$10:$B$16,0))="","Cell will autofill based on response",INDEX('CFOG'!$P$10:$P$16,MATCH($F93,'CFOG'!$B$10:$B$16,0))),"N/A")</f>
        <v/>
      </c>
      <c r="O93" s="52">
        <f>IFERROR(IF(INDEX('CFOG'!$P$23:$P$24,MATCH($F93,'CFOG'!$B$23:$B$24,0))="","Cell will autofill based on response",INDEX('CFOG'!$P$23:$P$24,MATCH($F93,'CFOG'!$B$23:$B$24,0))),"N/A")</f>
        <v/>
      </c>
      <c r="P93" s="52">
        <f>IFERROR(IF(INDEX('ESG'!$P$10:$P$17,MATCH($F93,'ESG'!$B$10:$B$17,0))="","Cell will autofill based on response",INDEX('ESG'!$P$10:$P$17,MATCH($F93,'ESG'!$B$10:$B$17,0))),"N/A")</f>
        <v/>
      </c>
      <c r="Q93" s="52">
        <f>IFERROR(IF(INDEX('CIOG'!$P$10:$P$14,MATCH($F93,'CIOG'!$B$10:$B$14,0))="","Cell will autofill based on response",INDEX('CIOG'!$P$10:$P$14,MATCH($F93,'CIOG'!$B$10:$B$14,0))),"N/A")</f>
        <v/>
      </c>
      <c r="R93" s="52">
        <f>IFERROR(IF(INDEX('MRE'!$P$10:$P$18,MATCH($F93,'MRE'!$B$10:$B$18,0))="","Cell will autofill based on response",INDEX('MRE'!$P$10:$P$18,MATCH($F93,'MRE'!$B$10:$B$18,0))),"N/A")</f>
        <v/>
      </c>
      <c r="S93" s="52">
        <f>IFERROR(IF(INDEX('AC&amp;M'!$P$10:$P$14,MATCH($F93,'AC&amp;M'!$B$10:$B$14,0))="","Cell will autofill based on response",INDEX('AC&amp;M'!$P$10:$P$14,MATCH($F93,'AC&amp;M'!$B$10:$B$14,0))),"N/A")</f>
        <v/>
      </c>
      <c r="T93" s="52">
        <f>IFERROR(IF(INDEX('GCE'!$P$10:$P$12,MATCH($F93,'GCE'!$B$10:$B$12,0))="","Cell will autofill based on response",INDEX('GCE'!$P$10:$P$12,MATCH($F93,'GCE'!$B$10:$B$12,0))),"N/A")</f>
        <v/>
      </c>
      <c r="U93" s="52">
        <f>IFERROR(IF(INDEX('Education'!$P$10:$P$13,MATCH($F93,'Education'!$B$10:$B$13,0))="","Cell will autofill based on response",INDEX('Education'!$P$10:$P$13,MATCH($F93,'Education'!$B$10:$B$13,0))),"N/A")</f>
        <v/>
      </c>
      <c r="V93" s="52">
        <f>IFERROR(IF(INDEX('SaSS'!$P$10:$P$12,MATCH($F93,'SaSS'!$B$10:$B$12,0))="","Cell will autofill based on response",INDEX('SaSS'!$P$10:$P$12,MATCH($F93,'SaSS'!$B$10:$B$12,0))),"N/A")</f>
        <v/>
      </c>
      <c r="W93" s="52">
        <f>IFERROR(IF(INDEX('Indigenous'!$P$10:$P$11,MATCH($F93,'Indigenous'!$B$10:$B$11,0))="","Cell will autofill based on response",INDEX('Indigenous'!$P$10:$P$11,MATCH($F93,'Indigenous'!$B$10:$B$11,0))),"N/A")</f>
        <v/>
      </c>
      <c r="X93" s="52">
        <f>IFERROR(IF(INDEX('L&amp;R'!$P$10:$P$11,MATCH($F93,'L&amp;R'!$B$10:$B$11,0))="","Cell will autofill based on response",INDEX('L&amp;R'!$P$10:$P$11,MATCH($F93,'L&amp;R'!$B$10:$B$11,0))),"N/A")</f>
        <v/>
      </c>
    </row>
    <row r="94">
      <c r="A94">
        <f>F94&amp;"|"&amp;G94</f>
        <v/>
      </c>
      <c r="B94" s="13" t="inlineStr"/>
      <c r="C94" s="8" t="inlineStr"/>
      <c r="D94" s="8" t="inlineStr"/>
      <c r="E94" s="8" t="inlineStr"/>
      <c r="F94" s="8" t="inlineStr">
        <is>
          <t>TR3(c)</t>
        </is>
      </c>
      <c r="G94" s="8" t="inlineStr">
        <is>
          <t>Data owner confirms</t>
        </is>
      </c>
      <c r="H94" s="52">
        <f>IFERROR(IF(INDEX('Faculties'!$Q$10:$Q$19,MATCH($F94,'Faculties'!$B$10:$B$19,0))="","Cell will autofill based on response",INDEX('Faculties'!$Q$10:$Q$19,MATCH($F94,'Faculties'!$B$10:$B$19,0))),"N/A")</f>
        <v/>
      </c>
      <c r="I94" s="52">
        <f>IFERROR(IF(INDEX('Faculties'!$Q$26:$Q$35,MATCH($F94,'Faculties'!$B$26:$B$35,0))="","Cell will autofill based on response",INDEX('Faculties'!$Q$26:$Q$35,MATCH($F94,'Faculties'!$B$26:$B$35,0))),"N/A")</f>
        <v/>
      </c>
      <c r="J94" s="52">
        <f>IFERROR(IF(INDEX('Faculties'!$Q$42:$Q$51,MATCH($F94,'Faculties'!$B$42:$B$51,0))="","Cell will autofill based on response",INDEX('Faculties'!$Q$42:$Q$51,MATCH($F94,'Faculties'!$B$42:$B$51,0))),"N/A")</f>
        <v/>
      </c>
      <c r="K94" s="52">
        <f>IFERROR(IF(INDEX('Faculties'!$Q$58:$Q$67,MATCH($F94,'Faculties'!$B$58:$B$67,0))="","Cell will autofill based on response",INDEX('Faculties'!$Q$58:$Q$67,MATCH($F94,'Faculties'!$B$58:$B$67,0))),"N/A")</f>
        <v/>
      </c>
      <c r="L94" s="52">
        <f>IFERROR(IF(INDEX('CI&amp;S'!$Q$10:$Q$15,MATCH($F94,'CI&amp;S'!$B$10:$B$15,0))="","Cell will autofill based on response",INDEX('CI&amp;S'!$Q$10:$Q$15,MATCH($F94,'CI&amp;S'!$B$10:$B$15,0))),"N/A")</f>
        <v/>
      </c>
      <c r="M94" s="52">
        <f>IFERROR(IF(INDEX('CI&amp;S'!$Q$22:$Q$36,MATCH($F94,'CI&amp;S'!$B$22:$B$36,0))="","Cell will autofill based on response",INDEX('CI&amp;S'!$Q$22:$Q$36,MATCH($F94,'CI&amp;S'!$B$22:$B$36,0))),"N/A")</f>
        <v/>
      </c>
      <c r="N94" s="52">
        <f>IFERROR(IF(INDEX('CFOG'!$Q$10:$Q$16,MATCH($F94,'CFOG'!$B$10:$B$16,0))="","Cell will autofill based on response",INDEX('CFOG'!$Q$10:$Q$16,MATCH($F94,'CFOG'!$B$10:$B$16,0))),"N/A")</f>
        <v/>
      </c>
      <c r="O94" s="52">
        <f>IFERROR(IF(INDEX('CFOG'!$Q$23:$Q$24,MATCH($F94,'CFOG'!$B$23:$B$24,0))="","Cell will autofill based on response",INDEX('CFOG'!$Q$23:$Q$24,MATCH($F94,'CFOG'!$B$23:$B$24,0))),"N/A")</f>
        <v/>
      </c>
      <c r="P94" s="52">
        <f>IFERROR(IF(INDEX('ESG'!$Q$10:$Q$17,MATCH($F94,'ESG'!$B$10:$B$17,0))="","Cell will autofill based on response",INDEX('ESG'!$Q$10:$Q$17,MATCH($F94,'ESG'!$B$10:$B$17,0))),"N/A")</f>
        <v/>
      </c>
      <c r="Q94" s="52">
        <f>IFERROR(IF(INDEX('CIOG'!$Q$10:$Q$14,MATCH($F94,'CIOG'!$B$10:$B$14,0))="","Cell will autofill based on response",INDEX('CIOG'!$Q$10:$Q$14,MATCH($F94,'CIOG'!$B$10:$B$14,0))),"N/A")</f>
        <v/>
      </c>
      <c r="R94" s="52">
        <f>IFERROR(IF(INDEX('MRE'!$Q$10:$Q$18,MATCH($F94,'MRE'!$B$10:$B$18,0))="","Cell will autofill based on response",INDEX('MRE'!$Q$10:$Q$18,MATCH($F94,'MRE'!$B$10:$B$18,0))),"N/A")</f>
        <v/>
      </c>
      <c r="S94" s="52">
        <f>IFERROR(IF(INDEX('AC&amp;M'!$Q$10:$Q$14,MATCH($F94,'AC&amp;M'!$B$10:$B$14,0))="","Cell will autofill based on response",INDEX('AC&amp;M'!$Q$10:$Q$14,MATCH($F94,'AC&amp;M'!$B$10:$B$14,0))),"N/A")</f>
        <v/>
      </c>
      <c r="T94" s="52">
        <f>IFERROR(IF(INDEX('GCE'!$Q$10:$Q$12,MATCH($F94,'GCE'!$B$10:$B$12,0))="","Cell will autofill based on response",INDEX('GCE'!$Q$10:$Q$12,MATCH($F94,'GCE'!$B$10:$B$12,0))),"N/A")</f>
        <v/>
      </c>
      <c r="U94" s="52">
        <f>IFERROR(IF(INDEX('Education'!$Q$10:$Q$13,MATCH($F94,'Education'!$B$10:$B$13,0))="","Cell will autofill based on response",INDEX('Education'!$Q$10:$Q$13,MATCH($F94,'Education'!$B$10:$B$13,0))),"N/A")</f>
        <v/>
      </c>
      <c r="V94" s="52">
        <f>IFERROR(IF(INDEX('SaSS'!$Q$10:$Q$12,MATCH($F94,'SaSS'!$B$10:$B$12,0))="","Cell will autofill based on response",INDEX('SaSS'!$Q$10:$Q$12,MATCH($F94,'SaSS'!$B$10:$B$12,0))),"N/A")</f>
        <v/>
      </c>
      <c r="W94" s="52">
        <f>IFERROR(IF(INDEX('Indigenous'!$Q$10:$Q$11,MATCH($F94,'Indigenous'!$B$10:$B$11,0))="","Cell will autofill based on response",INDEX('Indigenous'!$Q$10:$Q$11,MATCH($F94,'Indigenous'!$B$10:$B$11,0))),"N/A")</f>
        <v/>
      </c>
      <c r="X94" s="52">
        <f>IFERROR(IF(INDEX('L&amp;R'!$Q$10:$Q$11,MATCH($F94,'L&amp;R'!$B$10:$B$11,0))="","Cell will autofill based on response",INDEX('L&amp;R'!$Q$10:$Q$11,MATCH($F94,'L&amp;R'!$B$10:$B$11,0))),"N/A")</f>
        <v/>
      </c>
    </row>
    <row r="95">
      <c r="A95">
        <f>F95&amp;"|"&amp;G95</f>
        <v/>
      </c>
      <c r="B95" s="7" t="inlineStr">
        <is>
          <t>TR3(d)</t>
        </is>
      </c>
      <c r="C95" s="50" t="inlineStr">
        <is>
          <t>Transformational research</t>
        </is>
      </c>
      <c r="D95" s="50" t="inlineStr">
        <is>
          <t>Expert assessment of progress in embedding sustainable research practices across the institution.</t>
        </is>
      </c>
      <c r="E95" s="50" t="inlineStr">
        <is>
          <t>Faculty/Portfolio’s assessment of progress in embedding sustainable research practices, highlighting areas of strong progress, remaining gaps and priority actions for further improvement.</t>
        </is>
      </c>
      <c r="F95" s="50" t="inlineStr">
        <is>
          <t>TR3(d)</t>
        </is>
      </c>
      <c r="G95" s="50" t="inlineStr">
        <is>
          <t>Confirm end-2026 target status</t>
        </is>
      </c>
      <c r="H95" s="52">
        <f>IFERROR(IF(INDEX('Faculties'!$L$10:$L$19,MATCH($F95,'Faculties'!$B$10:$B$19,0))="","Cell will autofill based on response",INDEX('Faculties'!$L$10:$L$19,MATCH($F95,'Faculties'!$B$10:$B$19,0))),"N/A")</f>
        <v/>
      </c>
      <c r="I95" s="52">
        <f>IFERROR(IF(INDEX('Faculties'!$L$26:$L$35,MATCH($F95,'Faculties'!$B$26:$B$35,0))="","Cell will autofill based on response",INDEX('Faculties'!$L$26:$L$35,MATCH($F95,'Faculties'!$B$26:$B$35,0))),"N/A")</f>
        <v/>
      </c>
      <c r="J95" s="52">
        <f>IFERROR(IF(INDEX('Faculties'!$L$42:$L$51,MATCH($F95,'Faculties'!$B$42:$B$51,0))="","Cell will autofill based on response",INDEX('Faculties'!$L$42:$L$51,MATCH($F95,'Faculties'!$B$42:$B$51,0))),"N/A")</f>
        <v/>
      </c>
      <c r="K95" s="52">
        <f>IFERROR(IF(INDEX('Faculties'!$L$58:$L$67,MATCH($F95,'Faculties'!$B$58:$B$67,0))="","Cell will autofill based on response",INDEX('Faculties'!$L$58:$L$67,MATCH($F95,'Faculties'!$B$58:$B$67,0))),"N/A")</f>
        <v/>
      </c>
      <c r="L95" s="52">
        <f>IFERROR(IF(INDEX('CI&amp;S'!$L$10:$L$15,MATCH($F95,'CI&amp;S'!$B$10:$B$15,0))="","Cell will autofill based on response",INDEX('CI&amp;S'!$L$10:$L$15,MATCH($F95,'CI&amp;S'!$B$10:$B$15,0))),"N/A")</f>
        <v/>
      </c>
      <c r="M95" s="52">
        <f>IFERROR(IF(INDEX('CI&amp;S'!$L$22:$L$36,MATCH($F95,'CI&amp;S'!$B$22:$B$36,0))="","Cell will autofill based on response",INDEX('CI&amp;S'!$L$22:$L$36,MATCH($F95,'CI&amp;S'!$B$22:$B$36,0))),"N/A")</f>
        <v/>
      </c>
      <c r="N95" s="52">
        <f>IFERROR(IF(INDEX('CFOG'!$L$10:$L$16,MATCH($F95,'CFOG'!$B$10:$B$16,0))="","Cell will autofill based on response",INDEX('CFOG'!$L$10:$L$16,MATCH($F95,'CFOG'!$B$10:$B$16,0))),"N/A")</f>
        <v/>
      </c>
      <c r="O95" s="52">
        <f>IFERROR(IF(INDEX('CFOG'!$L$23:$L$24,MATCH($F95,'CFOG'!$B$23:$B$24,0))="","Cell will autofill based on response",INDEX('CFOG'!$L$23:$L$24,MATCH($F95,'CFOG'!$B$23:$B$24,0))),"N/A")</f>
        <v/>
      </c>
      <c r="P95" s="52">
        <f>IFERROR(IF(INDEX('ESG'!$L$10:$L$17,MATCH($F95,'ESG'!$B$10:$B$17,0))="","Cell will autofill based on response",INDEX('ESG'!$L$10:$L$17,MATCH($F95,'ESG'!$B$10:$B$17,0))),"N/A")</f>
        <v/>
      </c>
      <c r="Q95" s="52">
        <f>IFERROR(IF(INDEX('CIOG'!$L$10:$L$14,MATCH($F95,'CIOG'!$B$10:$B$14,0))="","Cell will autofill based on response",INDEX('CIOG'!$L$10:$L$14,MATCH($F95,'CIOG'!$B$10:$B$14,0))),"N/A")</f>
        <v/>
      </c>
      <c r="R95" s="52">
        <f>IFERROR(IF(INDEX('MRE'!$L$10:$L$18,MATCH($F95,'MRE'!$B$10:$B$18,0))="","Cell will autofill based on response",INDEX('MRE'!$L$10:$L$18,MATCH($F95,'MRE'!$B$10:$B$18,0))),"N/A")</f>
        <v/>
      </c>
      <c r="S95" s="52">
        <f>IFERROR(IF(INDEX('AC&amp;M'!$L$10:$L$14,MATCH($F95,'AC&amp;M'!$B$10:$B$14,0))="","Cell will autofill based on response",INDEX('AC&amp;M'!$L$10:$L$14,MATCH($F95,'AC&amp;M'!$B$10:$B$14,0))),"N/A")</f>
        <v/>
      </c>
      <c r="T95" s="52">
        <f>IFERROR(IF(INDEX('GCE'!$L$10:$L$12,MATCH($F95,'GCE'!$B$10:$B$12,0))="","Cell will autofill based on response",INDEX('GCE'!$L$10:$L$12,MATCH($F95,'GCE'!$B$10:$B$12,0))),"N/A")</f>
        <v/>
      </c>
      <c r="U95" s="52">
        <f>IFERROR(IF(INDEX('Education'!$L$10:$L$13,MATCH($F95,'Education'!$B$10:$B$13,0))="","Cell will autofill based on response",INDEX('Education'!$L$10:$L$13,MATCH($F95,'Education'!$B$10:$B$13,0))),"N/A")</f>
        <v/>
      </c>
      <c r="V95" s="52">
        <f>IFERROR(IF(INDEX('SaSS'!$L$10:$L$12,MATCH($F95,'SaSS'!$B$10:$B$12,0))="","Cell will autofill based on response",INDEX('SaSS'!$L$10:$L$12,MATCH($F95,'SaSS'!$B$10:$B$12,0))),"N/A")</f>
        <v/>
      </c>
      <c r="W95" s="52">
        <f>IFERROR(IF(INDEX('Indigenous'!$L$10:$L$11,MATCH($F95,'Indigenous'!$B$10:$B$11,0))="","Cell will autofill based on response",INDEX('Indigenous'!$L$10:$L$11,MATCH($F95,'Indigenous'!$B$10:$B$11,0))),"N/A")</f>
        <v/>
      </c>
      <c r="X95" s="52">
        <f>IFERROR(IF(INDEX('L&amp;R'!$L$10:$L$11,MATCH($F95,'L&amp;R'!$B$10:$B$11,0))="","Cell will autofill based on response",INDEX('L&amp;R'!$L$10:$L$11,MATCH($F95,'L&amp;R'!$B$10:$B$11,0))),"N/A")</f>
        <v/>
      </c>
      <c r="Z95" s="10">
        <f>COUNTIF($H95:$X95,"Cell will autofill based on response")</f>
        <v/>
      </c>
      <c r="AA95" s="10">
        <f>COUNTIF($H95:$X95,"Not yet started")</f>
        <v/>
      </c>
      <c r="AB95" s="10">
        <f>COUNTIF($H95:$X95,"Not met")</f>
        <v/>
      </c>
      <c r="AC95" s="10">
        <f>COUNTIF($H95:$X95,"Partially met")</f>
        <v/>
      </c>
      <c r="AD95" s="10">
        <f>COUNTIF($H95:$X95,"Met or exceeded")</f>
        <v/>
      </c>
      <c r="AE95" s="10">
        <f>3*AD95+2*AC95+AB95</f>
        <v/>
      </c>
      <c r="AF95" s="10">
        <f>AD95+AC95+AB95+AA95</f>
        <v/>
      </c>
      <c r="AG95" s="53">
        <f>IF(AF95&gt;0,AE95/AF95,"No valid responses to date")</f>
        <v/>
      </c>
      <c r="AH95" s="10">
        <f>IF(ISNUMBER(AG95),INDEX(Lists!$G$2:$G$5,MATCH(ROUND(AG95,0),Lists!$H$2:$H$5,0)),"")</f>
        <v/>
      </c>
      <c r="AI95" s="54">
        <f>IF(AF95&gt;0,AD95/AF95,"")</f>
        <v/>
      </c>
      <c r="AJ95" s="54">
        <f>IF(AF95&gt;0,(AD95+AC95)/AF95,"")</f>
        <v/>
      </c>
      <c r="AK95" s="10">
        <f>IF(AF95=0,"",IF(AI95&gt;0.75,"Met or exceeded",IF(AJ95&gt;=0.5,"Partially met","Not met")))</f>
        <v/>
      </c>
    </row>
    <row r="96">
      <c r="A96">
        <f>F96&amp;"|"&amp;G96</f>
        <v/>
      </c>
      <c r="B96" s="13" t="inlineStr"/>
      <c r="C96" s="8" t="inlineStr"/>
      <c r="D96" s="8" t="inlineStr"/>
      <c r="E96" s="8" t="inlineStr"/>
      <c r="F96" s="8" t="inlineStr">
        <is>
          <t>TR3(d)</t>
        </is>
      </c>
      <c r="G96" s="8" t="inlineStr">
        <is>
          <t>OPTION 1:  Target-level reporting</t>
        </is>
      </c>
      <c r="H96" s="52">
        <f>IFERROR(IF(INDEX('Faculties'!$M$10:$M$19,MATCH($F96,'Faculties'!$B$10:$B$19,0))="","Cell will autofill based on response",INDEX('Faculties'!$M$10:$M$19,MATCH($F96,'Faculties'!$B$10:$B$19,0))),"N/A")</f>
        <v/>
      </c>
      <c r="I96" s="52">
        <f>IFERROR(IF(INDEX('Faculties'!$M$26:$M$35,MATCH($F96,'Faculties'!$B$26:$B$35,0))="","Cell will autofill based on response",INDEX('Faculties'!$M$26:$M$35,MATCH($F96,'Faculties'!$B$26:$B$35,0))),"N/A")</f>
        <v/>
      </c>
      <c r="J96" s="52">
        <f>IFERROR(IF(INDEX('Faculties'!$M$42:$M$51,MATCH($F96,'Faculties'!$B$42:$B$51,0))="","Cell will autofill based on response",INDEX('Faculties'!$M$42:$M$51,MATCH($F96,'Faculties'!$B$42:$B$51,0))),"N/A")</f>
        <v/>
      </c>
      <c r="K96" s="52">
        <f>IFERROR(IF(INDEX('Faculties'!$M$58:$M$67,MATCH($F96,'Faculties'!$B$58:$B$67,0))="","Cell will autofill based on response",INDEX('Faculties'!$M$58:$M$67,MATCH($F96,'Faculties'!$B$58:$B$67,0))),"N/A")</f>
        <v/>
      </c>
      <c r="L96" s="52">
        <f>IFERROR(IF(INDEX('CI&amp;S'!$M$10:$M$15,MATCH($F96,'CI&amp;S'!$B$10:$B$15,0))="","Cell will autofill based on response",INDEX('CI&amp;S'!$M$10:$M$15,MATCH($F96,'CI&amp;S'!$B$10:$B$15,0))),"N/A")</f>
        <v/>
      </c>
      <c r="M96" s="52">
        <f>IFERROR(IF(INDEX('CI&amp;S'!$M$22:$M$36,MATCH($F96,'CI&amp;S'!$B$22:$B$36,0))="","Cell will autofill based on response",INDEX('CI&amp;S'!$M$22:$M$36,MATCH($F96,'CI&amp;S'!$B$22:$B$36,0))),"N/A")</f>
        <v/>
      </c>
      <c r="N96" s="52">
        <f>IFERROR(IF(INDEX('CFOG'!$M$10:$M$16,MATCH($F96,'CFOG'!$B$10:$B$16,0))="","Cell will autofill based on response",INDEX('CFOG'!$M$10:$M$16,MATCH($F96,'CFOG'!$B$10:$B$16,0))),"N/A")</f>
        <v/>
      </c>
      <c r="O96" s="52">
        <f>IFERROR(IF(INDEX('CFOG'!$M$23:$M$24,MATCH($F96,'CFOG'!$B$23:$B$24,0))="","Cell will autofill based on response",INDEX('CFOG'!$M$23:$M$24,MATCH($F96,'CFOG'!$B$23:$B$24,0))),"N/A")</f>
        <v/>
      </c>
      <c r="P96" s="52">
        <f>IFERROR(IF(INDEX('ESG'!$M$10:$M$17,MATCH($F96,'ESG'!$B$10:$B$17,0))="","Cell will autofill based on response",INDEX('ESG'!$M$10:$M$17,MATCH($F96,'ESG'!$B$10:$B$17,0))),"N/A")</f>
        <v/>
      </c>
      <c r="Q96" s="52">
        <f>IFERROR(IF(INDEX('CIOG'!$M$10:$M$14,MATCH($F96,'CIOG'!$B$10:$B$14,0))="","Cell will autofill based on response",INDEX('CIOG'!$M$10:$M$14,MATCH($F96,'CIOG'!$B$10:$B$14,0))),"N/A")</f>
        <v/>
      </c>
      <c r="R96" s="52">
        <f>IFERROR(IF(INDEX('MRE'!$M$10:$M$18,MATCH($F96,'MRE'!$B$10:$B$18,0))="","Cell will autofill based on response",INDEX('MRE'!$M$10:$M$18,MATCH($F96,'MRE'!$B$10:$B$18,0))),"N/A")</f>
        <v/>
      </c>
      <c r="S96" s="52">
        <f>IFERROR(IF(INDEX('AC&amp;M'!$M$10:$M$14,MATCH($F96,'AC&amp;M'!$B$10:$B$14,0))="","Cell will autofill based on response",INDEX('AC&amp;M'!$M$10:$M$14,MATCH($F96,'AC&amp;M'!$B$10:$B$14,0))),"N/A")</f>
        <v/>
      </c>
      <c r="T96" s="52">
        <f>IFERROR(IF(INDEX('GCE'!$M$10:$M$12,MATCH($F96,'GCE'!$B$10:$B$12,0))="","Cell will autofill based on response",INDEX('GCE'!$M$10:$M$12,MATCH($F96,'GCE'!$B$10:$B$12,0))),"N/A")</f>
        <v/>
      </c>
      <c r="U96" s="52">
        <f>IFERROR(IF(INDEX('Education'!$M$10:$M$13,MATCH($F96,'Education'!$B$10:$B$13,0))="","Cell will autofill based on response",INDEX('Education'!$M$10:$M$13,MATCH($F96,'Education'!$B$10:$B$13,0))),"N/A")</f>
        <v/>
      </c>
      <c r="V96" s="52">
        <f>IFERROR(IF(INDEX('SaSS'!$M$10:$M$12,MATCH($F96,'SaSS'!$B$10:$B$12,0))="","Cell will autofill based on response",INDEX('SaSS'!$M$10:$M$12,MATCH($F96,'SaSS'!$B$10:$B$12,0))),"N/A")</f>
        <v/>
      </c>
      <c r="W96" s="52">
        <f>IFERROR(IF(INDEX('Indigenous'!$M$10:$M$11,MATCH($F96,'Indigenous'!$B$10:$B$11,0))="","Cell will autofill based on response",INDEX('Indigenous'!$M$10:$M$11,MATCH($F96,'Indigenous'!$B$10:$B$11,0))),"N/A")</f>
        <v/>
      </c>
      <c r="X96" s="52">
        <f>IFERROR(IF(INDEX('L&amp;R'!$M$10:$M$11,MATCH($F96,'L&amp;R'!$B$10:$B$11,0))="","Cell will autofill based on response",INDEX('L&amp;R'!$M$10:$M$11,MATCH($F96,'L&amp;R'!$B$10:$B$11,0))),"N/A")</f>
        <v/>
      </c>
    </row>
    <row r="97">
      <c r="A97">
        <f>F97&amp;"|"&amp;G97</f>
        <v/>
      </c>
      <c r="B97" s="13" t="inlineStr"/>
      <c r="C97" s="8" t="inlineStr"/>
      <c r="D97" s="8" t="inlineStr"/>
      <c r="E97" s="8" t="inlineStr"/>
      <c r="F97" s="8" t="inlineStr">
        <is>
          <t>TR3(d)</t>
        </is>
      </c>
      <c r="G97" s="8" t="inlineStr">
        <is>
          <t>OPTION 2:  Indicator level reporting</t>
        </is>
      </c>
      <c r="H97" s="52">
        <f>IFERROR(IF(INDEX('Faculties'!$N$10:$N$19,MATCH($F97,'Faculties'!$B$10:$B$19,0))="","Cell will autofill based on response",INDEX('Faculties'!$N$10:$N$19,MATCH($F97,'Faculties'!$B$10:$B$19,0))),"N/A")</f>
        <v/>
      </c>
      <c r="I97" s="52">
        <f>IFERROR(IF(INDEX('Faculties'!$N$26:$N$35,MATCH($F97,'Faculties'!$B$26:$B$35,0))="","Cell will autofill based on response",INDEX('Faculties'!$N$26:$N$35,MATCH($F97,'Faculties'!$B$26:$B$35,0))),"N/A")</f>
        <v/>
      </c>
      <c r="J97" s="52">
        <f>IFERROR(IF(INDEX('Faculties'!$N$42:$N$51,MATCH($F97,'Faculties'!$B$42:$B$51,0))="","Cell will autofill based on response",INDEX('Faculties'!$N$42:$N$51,MATCH($F97,'Faculties'!$B$42:$B$51,0))),"N/A")</f>
        <v/>
      </c>
      <c r="K97" s="52">
        <f>IFERROR(IF(INDEX('Faculties'!$N$58:$N$67,MATCH($F97,'Faculties'!$B$58:$B$67,0))="","Cell will autofill based on response",INDEX('Faculties'!$N$58:$N$67,MATCH($F97,'Faculties'!$B$58:$B$67,0))),"N/A")</f>
        <v/>
      </c>
      <c r="L97" s="52">
        <f>IFERROR(IF(INDEX('CI&amp;S'!$N$10:$N$15,MATCH($F97,'CI&amp;S'!$B$10:$B$15,0))="","Cell will autofill based on response",INDEX('CI&amp;S'!$N$10:$N$15,MATCH($F97,'CI&amp;S'!$B$10:$B$15,0))),"N/A")</f>
        <v/>
      </c>
      <c r="M97" s="52">
        <f>IFERROR(IF(INDEX('CI&amp;S'!$N$22:$N$36,MATCH($F97,'CI&amp;S'!$B$22:$B$36,0))="","Cell will autofill based on response",INDEX('CI&amp;S'!$N$22:$N$36,MATCH($F97,'CI&amp;S'!$B$22:$B$36,0))),"N/A")</f>
        <v/>
      </c>
      <c r="N97" s="52">
        <f>IFERROR(IF(INDEX('CFOG'!$N$10:$N$16,MATCH($F97,'CFOG'!$B$10:$B$16,0))="","Cell will autofill based on response",INDEX('CFOG'!$N$10:$N$16,MATCH($F97,'CFOG'!$B$10:$B$16,0))),"N/A")</f>
        <v/>
      </c>
      <c r="O97" s="52">
        <f>IFERROR(IF(INDEX('CFOG'!$N$23:$N$24,MATCH($F97,'CFOG'!$B$23:$B$24,0))="","Cell will autofill based on response",INDEX('CFOG'!$N$23:$N$24,MATCH($F97,'CFOG'!$B$23:$B$24,0))),"N/A")</f>
        <v/>
      </c>
      <c r="P97" s="52">
        <f>IFERROR(IF(INDEX('ESG'!$N$10:$N$17,MATCH($F97,'ESG'!$B$10:$B$17,0))="","Cell will autofill based on response",INDEX('ESG'!$N$10:$N$17,MATCH($F97,'ESG'!$B$10:$B$17,0))),"N/A")</f>
        <v/>
      </c>
      <c r="Q97" s="52">
        <f>IFERROR(IF(INDEX('CIOG'!$N$10:$N$14,MATCH($F97,'CIOG'!$B$10:$B$14,0))="","Cell will autofill based on response",INDEX('CIOG'!$N$10:$N$14,MATCH($F97,'CIOG'!$B$10:$B$14,0))),"N/A")</f>
        <v/>
      </c>
      <c r="R97" s="52">
        <f>IFERROR(IF(INDEX('MRE'!$N$10:$N$18,MATCH($F97,'MRE'!$B$10:$B$18,0))="","Cell will autofill based on response",INDEX('MRE'!$N$10:$N$18,MATCH($F97,'MRE'!$B$10:$B$18,0))),"N/A")</f>
        <v/>
      </c>
      <c r="S97" s="52">
        <f>IFERROR(IF(INDEX('AC&amp;M'!$N$10:$N$14,MATCH($F97,'AC&amp;M'!$B$10:$B$14,0))="","Cell will autofill based on response",INDEX('AC&amp;M'!$N$10:$N$14,MATCH($F97,'AC&amp;M'!$B$10:$B$14,0))),"N/A")</f>
        <v/>
      </c>
      <c r="T97" s="52">
        <f>IFERROR(IF(INDEX('GCE'!$N$10:$N$12,MATCH($F97,'GCE'!$B$10:$B$12,0))="","Cell will autofill based on response",INDEX('GCE'!$N$10:$N$12,MATCH($F97,'GCE'!$B$10:$B$12,0))),"N/A")</f>
        <v/>
      </c>
      <c r="U97" s="52">
        <f>IFERROR(IF(INDEX('Education'!$N$10:$N$13,MATCH($F97,'Education'!$B$10:$B$13,0))="","Cell will autofill based on response",INDEX('Education'!$N$10:$N$13,MATCH($F97,'Education'!$B$10:$B$13,0))),"N/A")</f>
        <v/>
      </c>
      <c r="V97" s="52">
        <f>IFERROR(IF(INDEX('SaSS'!$N$10:$N$12,MATCH($F97,'SaSS'!$B$10:$B$12,0))="","Cell will autofill based on response",INDEX('SaSS'!$N$10:$N$12,MATCH($F97,'SaSS'!$B$10:$B$12,0))),"N/A")</f>
        <v/>
      </c>
      <c r="W97" s="52">
        <f>IFERROR(IF(INDEX('Indigenous'!$N$10:$N$11,MATCH($F97,'Indigenous'!$B$10:$B$11,0))="","Cell will autofill based on response",INDEX('Indigenous'!$N$10:$N$11,MATCH($F97,'Indigenous'!$B$10:$B$11,0))),"N/A")</f>
        <v/>
      </c>
      <c r="X97" s="52">
        <f>IFERROR(IF(INDEX('L&amp;R'!$N$10:$N$11,MATCH($F97,'L&amp;R'!$B$10:$B$11,0))="","Cell will autofill based on response",INDEX('L&amp;R'!$N$10:$N$11,MATCH($F97,'L&amp;R'!$B$10:$B$11,0))),"N/A")</f>
        <v/>
      </c>
    </row>
    <row r="98">
      <c r="A98">
        <f>F98&amp;"|"&amp;G98</f>
        <v/>
      </c>
      <c r="B98" s="13" t="inlineStr"/>
      <c r="C98" s="8" t="inlineStr"/>
      <c r="D98" s="8" t="inlineStr"/>
      <c r="E98" s="8" t="inlineStr"/>
      <c r="F98" s="8" t="inlineStr">
        <is>
          <t>TR3(d)</t>
        </is>
      </c>
      <c r="G98" s="8" t="inlineStr">
        <is>
          <t>Supporting information/comments</t>
        </is>
      </c>
      <c r="H98" s="52">
        <f>IFERROR(IF(INDEX('Faculties'!$O$10:$O$19,MATCH($F98,'Faculties'!$B$10:$B$19,0))="","Cell will autofill based on response",INDEX('Faculties'!$O$10:$O$19,MATCH($F98,'Faculties'!$B$10:$B$19,0))),"N/A")</f>
        <v/>
      </c>
      <c r="I98" s="52">
        <f>IFERROR(IF(INDEX('Faculties'!$O$26:$O$35,MATCH($F98,'Faculties'!$B$26:$B$35,0))="","Cell will autofill based on response",INDEX('Faculties'!$O$26:$O$35,MATCH($F98,'Faculties'!$B$26:$B$35,0))),"N/A")</f>
        <v/>
      </c>
      <c r="J98" s="52">
        <f>IFERROR(IF(INDEX('Faculties'!$O$42:$O$51,MATCH($F98,'Faculties'!$B$42:$B$51,0))="","Cell will autofill based on response",INDEX('Faculties'!$O$42:$O$51,MATCH($F98,'Faculties'!$B$42:$B$51,0))),"N/A")</f>
        <v/>
      </c>
      <c r="K98" s="52">
        <f>IFERROR(IF(INDEX('Faculties'!$O$58:$O$67,MATCH($F98,'Faculties'!$B$58:$B$67,0))="","Cell will autofill based on response",INDEX('Faculties'!$O$58:$O$67,MATCH($F98,'Faculties'!$B$58:$B$67,0))),"N/A")</f>
        <v/>
      </c>
      <c r="L98" s="52">
        <f>IFERROR(IF(INDEX('CI&amp;S'!$O$10:$O$15,MATCH($F98,'CI&amp;S'!$B$10:$B$15,0))="","Cell will autofill based on response",INDEX('CI&amp;S'!$O$10:$O$15,MATCH($F98,'CI&amp;S'!$B$10:$B$15,0))),"N/A")</f>
        <v/>
      </c>
      <c r="M98" s="52">
        <f>IFERROR(IF(INDEX('CI&amp;S'!$O$22:$O$36,MATCH($F98,'CI&amp;S'!$B$22:$B$36,0))="","Cell will autofill based on response",INDEX('CI&amp;S'!$O$22:$O$36,MATCH($F98,'CI&amp;S'!$B$22:$B$36,0))),"N/A")</f>
        <v/>
      </c>
      <c r="N98" s="52">
        <f>IFERROR(IF(INDEX('CFOG'!$O$10:$O$16,MATCH($F98,'CFOG'!$B$10:$B$16,0))="","Cell will autofill based on response",INDEX('CFOG'!$O$10:$O$16,MATCH($F98,'CFOG'!$B$10:$B$16,0))),"N/A")</f>
        <v/>
      </c>
      <c r="O98" s="52">
        <f>IFERROR(IF(INDEX('CFOG'!$O$23:$O$24,MATCH($F98,'CFOG'!$B$23:$B$24,0))="","Cell will autofill based on response",INDEX('CFOG'!$O$23:$O$24,MATCH($F98,'CFOG'!$B$23:$B$24,0))),"N/A")</f>
        <v/>
      </c>
      <c r="P98" s="52">
        <f>IFERROR(IF(INDEX('ESG'!$O$10:$O$17,MATCH($F98,'ESG'!$B$10:$B$17,0))="","Cell will autofill based on response",INDEX('ESG'!$O$10:$O$17,MATCH($F98,'ESG'!$B$10:$B$17,0))),"N/A")</f>
        <v/>
      </c>
      <c r="Q98" s="52">
        <f>IFERROR(IF(INDEX('CIOG'!$O$10:$O$14,MATCH($F98,'CIOG'!$B$10:$B$14,0))="","Cell will autofill based on response",INDEX('CIOG'!$O$10:$O$14,MATCH($F98,'CIOG'!$B$10:$B$14,0))),"N/A")</f>
        <v/>
      </c>
      <c r="R98" s="52">
        <f>IFERROR(IF(INDEX('MRE'!$O$10:$O$18,MATCH($F98,'MRE'!$B$10:$B$18,0))="","Cell will autofill based on response",INDEX('MRE'!$O$10:$O$18,MATCH($F98,'MRE'!$B$10:$B$18,0))),"N/A")</f>
        <v/>
      </c>
      <c r="S98" s="52">
        <f>IFERROR(IF(INDEX('AC&amp;M'!$O$10:$O$14,MATCH($F98,'AC&amp;M'!$B$10:$B$14,0))="","Cell will autofill based on response",INDEX('AC&amp;M'!$O$10:$O$14,MATCH($F98,'AC&amp;M'!$B$10:$B$14,0))),"N/A")</f>
        <v/>
      </c>
      <c r="T98" s="52">
        <f>IFERROR(IF(INDEX('GCE'!$O$10:$O$12,MATCH($F98,'GCE'!$B$10:$B$12,0))="","Cell will autofill based on response",INDEX('GCE'!$O$10:$O$12,MATCH($F98,'GCE'!$B$10:$B$12,0))),"N/A")</f>
        <v/>
      </c>
      <c r="U98" s="52">
        <f>IFERROR(IF(INDEX('Education'!$O$10:$O$13,MATCH($F98,'Education'!$B$10:$B$13,0))="","Cell will autofill based on response",INDEX('Education'!$O$10:$O$13,MATCH($F98,'Education'!$B$10:$B$13,0))),"N/A")</f>
        <v/>
      </c>
      <c r="V98" s="52">
        <f>IFERROR(IF(INDEX('SaSS'!$O$10:$O$12,MATCH($F98,'SaSS'!$B$10:$B$12,0))="","Cell will autofill based on response",INDEX('SaSS'!$O$10:$O$12,MATCH($F98,'SaSS'!$B$10:$B$12,0))),"N/A")</f>
        <v/>
      </c>
      <c r="W98" s="52">
        <f>IFERROR(IF(INDEX('Indigenous'!$O$10:$O$11,MATCH($F98,'Indigenous'!$B$10:$B$11,0))="","Cell will autofill based on response",INDEX('Indigenous'!$O$10:$O$11,MATCH($F98,'Indigenous'!$B$10:$B$11,0))),"N/A")</f>
        <v/>
      </c>
      <c r="X98" s="52">
        <f>IFERROR(IF(INDEX('L&amp;R'!$O$10:$O$11,MATCH($F98,'L&amp;R'!$B$10:$B$11,0))="","Cell will autofill based on response",INDEX('L&amp;R'!$O$10:$O$11,MATCH($F98,'L&amp;R'!$B$10:$B$11,0))),"N/A")</f>
        <v/>
      </c>
    </row>
    <row r="99">
      <c r="A99">
        <f>F99&amp;"|"&amp;G99</f>
        <v/>
      </c>
      <c r="B99" s="13" t="inlineStr"/>
      <c r="C99" s="8" t="inlineStr"/>
      <c r="D99" s="8" t="inlineStr"/>
      <c r="E99" s="8" t="inlineStr"/>
      <c r="F99" s="8" t="inlineStr">
        <is>
          <t>TR3(d)</t>
        </is>
      </c>
      <c r="G99" s="8" t="inlineStr">
        <is>
          <t>Data source and limitations</t>
        </is>
      </c>
      <c r="H99" s="52">
        <f>IFERROR(IF(INDEX('Faculties'!$P$10:$P$19,MATCH($F99,'Faculties'!$B$10:$B$19,0))="","Cell will autofill based on response",INDEX('Faculties'!$P$10:$P$19,MATCH($F99,'Faculties'!$B$10:$B$19,0))),"N/A")</f>
        <v/>
      </c>
      <c r="I99" s="52">
        <f>IFERROR(IF(INDEX('Faculties'!$P$26:$P$35,MATCH($F99,'Faculties'!$B$26:$B$35,0))="","Cell will autofill based on response",INDEX('Faculties'!$P$26:$P$35,MATCH($F99,'Faculties'!$B$26:$B$35,0))),"N/A")</f>
        <v/>
      </c>
      <c r="J99" s="52">
        <f>IFERROR(IF(INDEX('Faculties'!$P$42:$P$51,MATCH($F99,'Faculties'!$B$42:$B$51,0))="","Cell will autofill based on response",INDEX('Faculties'!$P$42:$P$51,MATCH($F99,'Faculties'!$B$42:$B$51,0))),"N/A")</f>
        <v/>
      </c>
      <c r="K99" s="52">
        <f>IFERROR(IF(INDEX('Faculties'!$P$58:$P$67,MATCH($F99,'Faculties'!$B$58:$B$67,0))="","Cell will autofill based on response",INDEX('Faculties'!$P$58:$P$67,MATCH($F99,'Faculties'!$B$58:$B$67,0))),"N/A")</f>
        <v/>
      </c>
      <c r="L99" s="52">
        <f>IFERROR(IF(INDEX('CI&amp;S'!$P$10:$P$15,MATCH($F99,'CI&amp;S'!$B$10:$B$15,0))="","Cell will autofill based on response",INDEX('CI&amp;S'!$P$10:$P$15,MATCH($F99,'CI&amp;S'!$B$10:$B$15,0))),"N/A")</f>
        <v/>
      </c>
      <c r="M99" s="52">
        <f>IFERROR(IF(INDEX('CI&amp;S'!$P$22:$P$36,MATCH($F99,'CI&amp;S'!$B$22:$B$36,0))="","Cell will autofill based on response",INDEX('CI&amp;S'!$P$22:$P$36,MATCH($F99,'CI&amp;S'!$B$22:$B$36,0))),"N/A")</f>
        <v/>
      </c>
      <c r="N99" s="52">
        <f>IFERROR(IF(INDEX('CFOG'!$P$10:$P$16,MATCH($F99,'CFOG'!$B$10:$B$16,0))="","Cell will autofill based on response",INDEX('CFOG'!$P$10:$P$16,MATCH($F99,'CFOG'!$B$10:$B$16,0))),"N/A")</f>
        <v/>
      </c>
      <c r="O99" s="52">
        <f>IFERROR(IF(INDEX('CFOG'!$P$23:$P$24,MATCH($F99,'CFOG'!$B$23:$B$24,0))="","Cell will autofill based on response",INDEX('CFOG'!$P$23:$P$24,MATCH($F99,'CFOG'!$B$23:$B$24,0))),"N/A")</f>
        <v/>
      </c>
      <c r="P99" s="52">
        <f>IFERROR(IF(INDEX('ESG'!$P$10:$P$17,MATCH($F99,'ESG'!$B$10:$B$17,0))="","Cell will autofill based on response",INDEX('ESG'!$P$10:$P$17,MATCH($F99,'ESG'!$B$10:$B$17,0))),"N/A")</f>
        <v/>
      </c>
      <c r="Q99" s="52">
        <f>IFERROR(IF(INDEX('CIOG'!$P$10:$P$14,MATCH($F99,'CIOG'!$B$10:$B$14,0))="","Cell will autofill based on response",INDEX('CIOG'!$P$10:$P$14,MATCH($F99,'CIOG'!$B$10:$B$14,0))),"N/A")</f>
        <v/>
      </c>
      <c r="R99" s="52">
        <f>IFERROR(IF(INDEX('MRE'!$P$10:$P$18,MATCH($F99,'MRE'!$B$10:$B$18,0))="","Cell will autofill based on response",INDEX('MRE'!$P$10:$P$18,MATCH($F99,'MRE'!$B$10:$B$18,0))),"N/A")</f>
        <v/>
      </c>
      <c r="S99" s="52">
        <f>IFERROR(IF(INDEX('AC&amp;M'!$P$10:$P$14,MATCH($F99,'AC&amp;M'!$B$10:$B$14,0))="","Cell will autofill based on response",INDEX('AC&amp;M'!$P$10:$P$14,MATCH($F99,'AC&amp;M'!$B$10:$B$14,0))),"N/A")</f>
        <v/>
      </c>
      <c r="T99" s="52">
        <f>IFERROR(IF(INDEX('GCE'!$P$10:$P$12,MATCH($F99,'GCE'!$B$10:$B$12,0))="","Cell will autofill based on response",INDEX('GCE'!$P$10:$P$12,MATCH($F99,'GCE'!$B$10:$B$12,0))),"N/A")</f>
        <v/>
      </c>
      <c r="U99" s="52">
        <f>IFERROR(IF(INDEX('Education'!$P$10:$P$13,MATCH($F99,'Education'!$B$10:$B$13,0))="","Cell will autofill based on response",INDEX('Education'!$P$10:$P$13,MATCH($F99,'Education'!$B$10:$B$13,0))),"N/A")</f>
        <v/>
      </c>
      <c r="V99" s="52">
        <f>IFERROR(IF(INDEX('SaSS'!$P$10:$P$12,MATCH($F99,'SaSS'!$B$10:$B$12,0))="","Cell will autofill based on response",INDEX('SaSS'!$P$10:$P$12,MATCH($F99,'SaSS'!$B$10:$B$12,0))),"N/A")</f>
        <v/>
      </c>
      <c r="W99" s="52">
        <f>IFERROR(IF(INDEX('Indigenous'!$P$10:$P$11,MATCH($F99,'Indigenous'!$B$10:$B$11,0))="","Cell will autofill based on response",INDEX('Indigenous'!$P$10:$P$11,MATCH($F99,'Indigenous'!$B$10:$B$11,0))),"N/A")</f>
        <v/>
      </c>
      <c r="X99" s="52">
        <f>IFERROR(IF(INDEX('L&amp;R'!$P$10:$P$11,MATCH($F99,'L&amp;R'!$B$10:$B$11,0))="","Cell will autofill based on response",INDEX('L&amp;R'!$P$10:$P$11,MATCH($F99,'L&amp;R'!$B$10:$B$11,0))),"N/A")</f>
        <v/>
      </c>
    </row>
    <row r="100">
      <c r="A100">
        <f>F100&amp;"|"&amp;G100</f>
        <v/>
      </c>
      <c r="B100" s="13" t="inlineStr"/>
      <c r="C100" s="8" t="inlineStr"/>
      <c r="D100" s="8" t="inlineStr"/>
      <c r="E100" s="8" t="inlineStr"/>
      <c r="F100" s="8" t="inlineStr">
        <is>
          <t>TR3(d)</t>
        </is>
      </c>
      <c r="G100" s="8" t="inlineStr">
        <is>
          <t>Data owner confirms</t>
        </is>
      </c>
      <c r="H100" s="52">
        <f>IFERROR(IF(INDEX('Faculties'!$Q$10:$Q$19,MATCH($F100,'Faculties'!$B$10:$B$19,0))="","Cell will autofill based on response",INDEX('Faculties'!$Q$10:$Q$19,MATCH($F100,'Faculties'!$B$10:$B$19,0))),"N/A")</f>
        <v/>
      </c>
      <c r="I100" s="52">
        <f>IFERROR(IF(INDEX('Faculties'!$Q$26:$Q$35,MATCH($F100,'Faculties'!$B$26:$B$35,0))="","Cell will autofill based on response",INDEX('Faculties'!$Q$26:$Q$35,MATCH($F100,'Faculties'!$B$26:$B$35,0))),"N/A")</f>
        <v/>
      </c>
      <c r="J100" s="52">
        <f>IFERROR(IF(INDEX('Faculties'!$Q$42:$Q$51,MATCH($F100,'Faculties'!$B$42:$B$51,0))="","Cell will autofill based on response",INDEX('Faculties'!$Q$42:$Q$51,MATCH($F100,'Faculties'!$B$42:$B$51,0))),"N/A")</f>
        <v/>
      </c>
      <c r="K100" s="52">
        <f>IFERROR(IF(INDEX('Faculties'!$Q$58:$Q$67,MATCH($F100,'Faculties'!$B$58:$B$67,0))="","Cell will autofill based on response",INDEX('Faculties'!$Q$58:$Q$67,MATCH($F100,'Faculties'!$B$58:$B$67,0))),"N/A")</f>
        <v/>
      </c>
      <c r="L100" s="52">
        <f>IFERROR(IF(INDEX('CI&amp;S'!$Q$10:$Q$15,MATCH($F100,'CI&amp;S'!$B$10:$B$15,0))="","Cell will autofill based on response",INDEX('CI&amp;S'!$Q$10:$Q$15,MATCH($F100,'CI&amp;S'!$B$10:$B$15,0))),"N/A")</f>
        <v/>
      </c>
      <c r="M100" s="52">
        <f>IFERROR(IF(INDEX('CI&amp;S'!$Q$22:$Q$36,MATCH($F100,'CI&amp;S'!$B$22:$B$36,0))="","Cell will autofill based on response",INDEX('CI&amp;S'!$Q$22:$Q$36,MATCH($F100,'CI&amp;S'!$B$22:$B$36,0))),"N/A")</f>
        <v/>
      </c>
      <c r="N100" s="52">
        <f>IFERROR(IF(INDEX('CFOG'!$Q$10:$Q$16,MATCH($F100,'CFOG'!$B$10:$B$16,0))="","Cell will autofill based on response",INDEX('CFOG'!$Q$10:$Q$16,MATCH($F100,'CFOG'!$B$10:$B$16,0))),"N/A")</f>
        <v/>
      </c>
      <c r="O100" s="52">
        <f>IFERROR(IF(INDEX('CFOG'!$Q$23:$Q$24,MATCH($F100,'CFOG'!$B$23:$B$24,0))="","Cell will autofill based on response",INDEX('CFOG'!$Q$23:$Q$24,MATCH($F100,'CFOG'!$B$23:$B$24,0))),"N/A")</f>
        <v/>
      </c>
      <c r="P100" s="52">
        <f>IFERROR(IF(INDEX('ESG'!$Q$10:$Q$17,MATCH($F100,'ESG'!$B$10:$B$17,0))="","Cell will autofill based on response",INDEX('ESG'!$Q$10:$Q$17,MATCH($F100,'ESG'!$B$10:$B$17,0))),"N/A")</f>
        <v/>
      </c>
      <c r="Q100" s="52">
        <f>IFERROR(IF(INDEX('CIOG'!$Q$10:$Q$14,MATCH($F100,'CIOG'!$B$10:$B$14,0))="","Cell will autofill based on response",INDEX('CIOG'!$Q$10:$Q$14,MATCH($F100,'CIOG'!$B$10:$B$14,0))),"N/A")</f>
        <v/>
      </c>
      <c r="R100" s="52">
        <f>IFERROR(IF(INDEX('MRE'!$Q$10:$Q$18,MATCH($F100,'MRE'!$B$10:$B$18,0))="","Cell will autofill based on response",INDEX('MRE'!$Q$10:$Q$18,MATCH($F100,'MRE'!$B$10:$B$18,0))),"N/A")</f>
        <v/>
      </c>
      <c r="S100" s="52">
        <f>IFERROR(IF(INDEX('AC&amp;M'!$Q$10:$Q$14,MATCH($F100,'AC&amp;M'!$B$10:$B$14,0))="","Cell will autofill based on response",INDEX('AC&amp;M'!$Q$10:$Q$14,MATCH($F100,'AC&amp;M'!$B$10:$B$14,0))),"N/A")</f>
        <v/>
      </c>
      <c r="T100" s="52">
        <f>IFERROR(IF(INDEX('GCE'!$Q$10:$Q$12,MATCH($F100,'GCE'!$B$10:$B$12,0))="","Cell will autofill based on response",INDEX('GCE'!$Q$10:$Q$12,MATCH($F100,'GCE'!$B$10:$B$12,0))),"N/A")</f>
        <v/>
      </c>
      <c r="U100" s="52">
        <f>IFERROR(IF(INDEX('Education'!$Q$10:$Q$13,MATCH($F100,'Education'!$B$10:$B$13,0))="","Cell will autofill based on response",INDEX('Education'!$Q$10:$Q$13,MATCH($F100,'Education'!$B$10:$B$13,0))),"N/A")</f>
        <v/>
      </c>
      <c r="V100" s="52">
        <f>IFERROR(IF(INDEX('SaSS'!$Q$10:$Q$12,MATCH($F100,'SaSS'!$B$10:$B$12,0))="","Cell will autofill based on response",INDEX('SaSS'!$Q$10:$Q$12,MATCH($F100,'SaSS'!$B$10:$B$12,0))),"N/A")</f>
        <v/>
      </c>
      <c r="W100" s="52">
        <f>IFERROR(IF(INDEX('Indigenous'!$Q$10:$Q$11,MATCH($F100,'Indigenous'!$B$10:$B$11,0))="","Cell will autofill based on response",INDEX('Indigenous'!$Q$10:$Q$11,MATCH($F100,'Indigenous'!$B$10:$B$11,0))),"N/A")</f>
        <v/>
      </c>
      <c r="X100" s="52">
        <f>IFERROR(IF(INDEX('L&amp;R'!$Q$10:$Q$11,MATCH($F100,'L&amp;R'!$B$10:$B$11,0))="","Cell will autofill based on response",INDEX('L&amp;R'!$Q$10:$Q$11,MATCH($F100,'L&amp;R'!$B$10:$B$11,0))),"N/A")</f>
        <v/>
      </c>
    </row>
    <row r="101">
      <c r="A101">
        <f>F101&amp;"|"&amp;G101</f>
        <v/>
      </c>
      <c r="B101" s="7" t="inlineStr">
        <is>
          <t>CL1(c)</t>
        </is>
      </c>
      <c r="C101" s="50" t="inlineStr">
        <is>
          <t>Climate leadership</t>
        </is>
      </c>
      <c r="D101" s="50" t="inlineStr">
        <is>
          <t>Review of Climate Leadership targets by 2030.[2]</t>
        </is>
      </c>
      <c r="E101" s="50" t="inlineStr"/>
      <c r="F101" s="50" t="inlineStr">
        <is>
          <t>CL1(c)</t>
        </is>
      </c>
      <c r="G101" s="50" t="inlineStr">
        <is>
          <t>Confirm end-2026 target status</t>
        </is>
      </c>
      <c r="H101" s="52">
        <f>IFERROR(IF(INDEX('Faculties'!$L$10:$L$19,MATCH($F101,'Faculties'!$B$10:$B$19,0))="","Cell will autofill based on response",INDEX('Faculties'!$L$10:$L$19,MATCH($F101,'Faculties'!$B$10:$B$19,0))),"N/A")</f>
        <v/>
      </c>
      <c r="I101" s="52">
        <f>IFERROR(IF(INDEX('Faculties'!$L$26:$L$35,MATCH($F101,'Faculties'!$B$26:$B$35,0))="","Cell will autofill based on response",INDEX('Faculties'!$L$26:$L$35,MATCH($F101,'Faculties'!$B$26:$B$35,0))),"N/A")</f>
        <v/>
      </c>
      <c r="J101" s="52">
        <f>IFERROR(IF(INDEX('Faculties'!$L$42:$L$51,MATCH($F101,'Faculties'!$B$42:$B$51,0))="","Cell will autofill based on response",INDEX('Faculties'!$L$42:$L$51,MATCH($F101,'Faculties'!$B$42:$B$51,0))),"N/A")</f>
        <v/>
      </c>
      <c r="K101" s="52">
        <f>IFERROR(IF(INDEX('Faculties'!$L$58:$L$67,MATCH($F101,'Faculties'!$B$58:$B$67,0))="","Cell will autofill based on response",INDEX('Faculties'!$L$58:$L$67,MATCH($F101,'Faculties'!$B$58:$B$67,0))),"N/A")</f>
        <v/>
      </c>
      <c r="L101" s="52">
        <f>IFERROR(IF(INDEX('CI&amp;S'!$L$10:$L$15,MATCH($F101,'CI&amp;S'!$B$10:$B$15,0))="","Cell will autofill based on response",INDEX('CI&amp;S'!$L$10:$L$15,MATCH($F101,'CI&amp;S'!$B$10:$B$15,0))),"N/A")</f>
        <v/>
      </c>
      <c r="M101" s="52">
        <f>IFERROR(IF(INDEX('CI&amp;S'!$L$22:$L$36,MATCH($F101,'CI&amp;S'!$B$22:$B$36,0))="","Cell will autofill based on response",INDEX('CI&amp;S'!$L$22:$L$36,MATCH($F101,'CI&amp;S'!$B$22:$B$36,0))),"N/A")</f>
        <v/>
      </c>
      <c r="N101" s="52">
        <f>IFERROR(IF(INDEX('CFOG'!$L$10:$L$16,MATCH($F101,'CFOG'!$B$10:$B$16,0))="","Cell will autofill based on response",INDEX('CFOG'!$L$10:$L$16,MATCH($F101,'CFOG'!$B$10:$B$16,0))),"N/A")</f>
        <v/>
      </c>
      <c r="O101" s="52">
        <f>IFERROR(IF(INDEX('CFOG'!$L$23:$L$24,MATCH($F101,'CFOG'!$B$23:$B$24,0))="","Cell will autofill based on response",INDEX('CFOG'!$L$23:$L$24,MATCH($F101,'CFOG'!$B$23:$B$24,0))),"N/A")</f>
        <v/>
      </c>
      <c r="P101" s="52">
        <f>IFERROR(IF(INDEX('ESG'!$L$10:$L$17,MATCH($F101,'ESG'!$B$10:$B$17,0))="","Cell will autofill based on response",INDEX('ESG'!$L$10:$L$17,MATCH($F101,'ESG'!$B$10:$B$17,0))),"N/A")</f>
        <v/>
      </c>
      <c r="Q101" s="52">
        <f>IFERROR(IF(INDEX('CIOG'!$L$10:$L$14,MATCH($F101,'CIOG'!$B$10:$B$14,0))="","Cell will autofill based on response",INDEX('CIOG'!$L$10:$L$14,MATCH($F101,'CIOG'!$B$10:$B$14,0))),"N/A")</f>
        <v/>
      </c>
      <c r="R101" s="52">
        <f>IFERROR(IF(INDEX('MRE'!$L$10:$L$18,MATCH($F101,'MRE'!$B$10:$B$18,0))="","Cell will autofill based on response",INDEX('MRE'!$L$10:$L$18,MATCH($F101,'MRE'!$B$10:$B$18,0))),"N/A")</f>
        <v/>
      </c>
      <c r="S101" s="52">
        <f>IFERROR(IF(INDEX('AC&amp;M'!$L$10:$L$14,MATCH($F101,'AC&amp;M'!$B$10:$B$14,0))="","Cell will autofill based on response",INDEX('AC&amp;M'!$L$10:$L$14,MATCH($F101,'AC&amp;M'!$B$10:$B$14,0))),"N/A")</f>
        <v/>
      </c>
      <c r="T101" s="52">
        <f>IFERROR(IF(INDEX('GCE'!$L$10:$L$12,MATCH($F101,'GCE'!$B$10:$B$12,0))="","Cell will autofill based on response",INDEX('GCE'!$L$10:$L$12,MATCH($F101,'GCE'!$B$10:$B$12,0))),"N/A")</f>
        <v/>
      </c>
      <c r="U101" s="52">
        <f>IFERROR(IF(INDEX('Education'!$L$10:$L$13,MATCH($F101,'Education'!$B$10:$B$13,0))="","Cell will autofill based on response",INDEX('Education'!$L$10:$L$13,MATCH($F101,'Education'!$B$10:$B$13,0))),"N/A")</f>
        <v/>
      </c>
      <c r="V101" s="52">
        <f>IFERROR(IF(INDEX('SaSS'!$L$10:$L$12,MATCH($F101,'SaSS'!$B$10:$B$12,0))="","Cell will autofill based on response",INDEX('SaSS'!$L$10:$L$12,MATCH($F101,'SaSS'!$B$10:$B$12,0))),"N/A")</f>
        <v/>
      </c>
      <c r="W101" s="52">
        <f>IFERROR(IF(INDEX('Indigenous'!$L$10:$L$11,MATCH($F101,'Indigenous'!$B$10:$B$11,0))="","Cell will autofill based on response",INDEX('Indigenous'!$L$10:$L$11,MATCH($F101,'Indigenous'!$B$10:$B$11,0))),"N/A")</f>
        <v/>
      </c>
      <c r="X101" s="52">
        <f>IFERROR(IF(INDEX('L&amp;R'!$L$10:$L$11,MATCH($F101,'L&amp;R'!$B$10:$B$11,0))="","Cell will autofill based on response",INDEX('L&amp;R'!$L$10:$L$11,MATCH($F101,'L&amp;R'!$B$10:$B$11,0))),"N/A")</f>
        <v/>
      </c>
      <c r="Z101" s="10">
        <f>COUNTIF($H101:$X101,"Cell will autofill based on response")</f>
        <v/>
      </c>
      <c r="AA101" s="10">
        <f>COUNTIF($H101:$X101,"Not yet started")</f>
        <v/>
      </c>
      <c r="AB101" s="10">
        <f>COUNTIF($H101:$X101,"Not met")</f>
        <v/>
      </c>
      <c r="AC101" s="10">
        <f>COUNTIF($H101:$X101,"Partially met")</f>
        <v/>
      </c>
      <c r="AD101" s="10">
        <f>COUNTIF($H101:$X101,"Met or exceeded")</f>
        <v/>
      </c>
      <c r="AE101" s="10">
        <f>3*AD101+2*AC101+AB101</f>
        <v/>
      </c>
      <c r="AF101" s="10">
        <f>AD101+AC101+AB101+AA101</f>
        <v/>
      </c>
      <c r="AG101" s="53">
        <f>IF(AF101&gt;0,AE101/AF101,"No valid responses to date")</f>
        <v/>
      </c>
      <c r="AH101" s="10">
        <f>IF(ISNUMBER(AG101),INDEX(Lists!$G$2:$G$5,MATCH(ROUND(AG101,0),Lists!$H$2:$H$5,0)),"")</f>
        <v/>
      </c>
      <c r="AI101" s="54">
        <f>IF(AF101&gt;0,AD101/AF101,"")</f>
        <v/>
      </c>
      <c r="AJ101" s="54">
        <f>IF(AF101&gt;0,(AD101+AC101)/AF101,"")</f>
        <v/>
      </c>
      <c r="AK101" s="10">
        <f>IF(AF101=0,"",IF(AI101&gt;0.75,"Met or exceeded",IF(AJ101&gt;=0.5,"Partially met","Not met")))</f>
        <v/>
      </c>
    </row>
    <row r="102">
      <c r="A102">
        <f>F102&amp;"|"&amp;G102</f>
        <v/>
      </c>
      <c r="B102" s="13" t="inlineStr"/>
      <c r="C102" s="8" t="inlineStr"/>
      <c r="D102" s="8" t="inlineStr"/>
      <c r="E102" s="8" t="inlineStr"/>
      <c r="F102" s="8" t="inlineStr">
        <is>
          <t>CL1(c)</t>
        </is>
      </c>
      <c r="G102" s="8" t="inlineStr">
        <is>
          <t>OPTION 1:  Target-level reporting</t>
        </is>
      </c>
      <c r="H102" s="52">
        <f>IFERROR(IF(INDEX('Faculties'!$M$10:$M$19,MATCH($F102,'Faculties'!$B$10:$B$19,0))="","Cell will autofill based on response",INDEX('Faculties'!$M$10:$M$19,MATCH($F102,'Faculties'!$B$10:$B$19,0))),"N/A")</f>
        <v/>
      </c>
      <c r="I102" s="52">
        <f>IFERROR(IF(INDEX('Faculties'!$M$26:$M$35,MATCH($F102,'Faculties'!$B$26:$B$35,0))="","Cell will autofill based on response",INDEX('Faculties'!$M$26:$M$35,MATCH($F102,'Faculties'!$B$26:$B$35,0))),"N/A")</f>
        <v/>
      </c>
      <c r="J102" s="52">
        <f>IFERROR(IF(INDEX('Faculties'!$M$42:$M$51,MATCH($F102,'Faculties'!$B$42:$B$51,0))="","Cell will autofill based on response",INDEX('Faculties'!$M$42:$M$51,MATCH($F102,'Faculties'!$B$42:$B$51,0))),"N/A")</f>
        <v/>
      </c>
      <c r="K102" s="52">
        <f>IFERROR(IF(INDEX('Faculties'!$M$58:$M$67,MATCH($F102,'Faculties'!$B$58:$B$67,0))="","Cell will autofill based on response",INDEX('Faculties'!$M$58:$M$67,MATCH($F102,'Faculties'!$B$58:$B$67,0))),"N/A")</f>
        <v/>
      </c>
      <c r="L102" s="52">
        <f>IFERROR(IF(INDEX('CI&amp;S'!$M$10:$M$15,MATCH($F102,'CI&amp;S'!$B$10:$B$15,0))="","Cell will autofill based on response",INDEX('CI&amp;S'!$M$10:$M$15,MATCH($F102,'CI&amp;S'!$B$10:$B$15,0))),"N/A")</f>
        <v/>
      </c>
      <c r="M102" s="52">
        <f>IFERROR(IF(INDEX('CI&amp;S'!$M$22:$M$36,MATCH($F102,'CI&amp;S'!$B$22:$B$36,0))="","Cell will autofill based on response",INDEX('CI&amp;S'!$M$22:$M$36,MATCH($F102,'CI&amp;S'!$B$22:$B$36,0))),"N/A")</f>
        <v/>
      </c>
      <c r="N102" s="52">
        <f>IFERROR(IF(INDEX('CFOG'!$M$10:$M$16,MATCH($F102,'CFOG'!$B$10:$B$16,0))="","Cell will autofill based on response",INDEX('CFOG'!$M$10:$M$16,MATCH($F102,'CFOG'!$B$10:$B$16,0))),"N/A")</f>
        <v/>
      </c>
      <c r="O102" s="52">
        <f>IFERROR(IF(INDEX('CFOG'!$M$23:$M$24,MATCH($F102,'CFOG'!$B$23:$B$24,0))="","Cell will autofill based on response",INDEX('CFOG'!$M$23:$M$24,MATCH($F102,'CFOG'!$B$23:$B$24,0))),"N/A")</f>
        <v/>
      </c>
      <c r="P102" s="52">
        <f>IFERROR(IF(INDEX('ESG'!$M$10:$M$17,MATCH($F102,'ESG'!$B$10:$B$17,0))="","Cell will autofill based on response",INDEX('ESG'!$M$10:$M$17,MATCH($F102,'ESG'!$B$10:$B$17,0))),"N/A")</f>
        <v/>
      </c>
      <c r="Q102" s="52">
        <f>IFERROR(IF(INDEX('CIOG'!$M$10:$M$14,MATCH($F102,'CIOG'!$B$10:$B$14,0))="","Cell will autofill based on response",INDEX('CIOG'!$M$10:$M$14,MATCH($F102,'CIOG'!$B$10:$B$14,0))),"N/A")</f>
        <v/>
      </c>
      <c r="R102" s="52">
        <f>IFERROR(IF(INDEX('MRE'!$M$10:$M$18,MATCH($F102,'MRE'!$B$10:$B$18,0))="","Cell will autofill based on response",INDEX('MRE'!$M$10:$M$18,MATCH($F102,'MRE'!$B$10:$B$18,0))),"N/A")</f>
        <v/>
      </c>
      <c r="S102" s="52">
        <f>IFERROR(IF(INDEX('AC&amp;M'!$M$10:$M$14,MATCH($F102,'AC&amp;M'!$B$10:$B$14,0))="","Cell will autofill based on response",INDEX('AC&amp;M'!$M$10:$M$14,MATCH($F102,'AC&amp;M'!$B$10:$B$14,0))),"N/A")</f>
        <v/>
      </c>
      <c r="T102" s="52">
        <f>IFERROR(IF(INDEX('GCE'!$M$10:$M$12,MATCH($F102,'GCE'!$B$10:$B$12,0))="","Cell will autofill based on response",INDEX('GCE'!$M$10:$M$12,MATCH($F102,'GCE'!$B$10:$B$12,0))),"N/A")</f>
        <v/>
      </c>
      <c r="U102" s="52">
        <f>IFERROR(IF(INDEX('Education'!$M$10:$M$13,MATCH($F102,'Education'!$B$10:$B$13,0))="","Cell will autofill based on response",INDEX('Education'!$M$10:$M$13,MATCH($F102,'Education'!$B$10:$B$13,0))),"N/A")</f>
        <v/>
      </c>
      <c r="V102" s="52">
        <f>IFERROR(IF(INDEX('SaSS'!$M$10:$M$12,MATCH($F102,'SaSS'!$B$10:$B$12,0))="","Cell will autofill based on response",INDEX('SaSS'!$M$10:$M$12,MATCH($F102,'SaSS'!$B$10:$B$12,0))),"N/A")</f>
        <v/>
      </c>
      <c r="W102" s="52">
        <f>IFERROR(IF(INDEX('Indigenous'!$M$10:$M$11,MATCH($F102,'Indigenous'!$B$10:$B$11,0))="","Cell will autofill based on response",INDEX('Indigenous'!$M$10:$M$11,MATCH($F102,'Indigenous'!$B$10:$B$11,0))),"N/A")</f>
        <v/>
      </c>
      <c r="X102" s="52">
        <f>IFERROR(IF(INDEX('L&amp;R'!$M$10:$M$11,MATCH($F102,'L&amp;R'!$B$10:$B$11,0))="","Cell will autofill based on response",INDEX('L&amp;R'!$M$10:$M$11,MATCH($F102,'L&amp;R'!$B$10:$B$11,0))),"N/A")</f>
        <v/>
      </c>
    </row>
    <row r="103">
      <c r="A103">
        <f>F103&amp;"|"&amp;G103</f>
        <v/>
      </c>
      <c r="B103" s="13" t="inlineStr"/>
      <c r="C103" s="8" t="inlineStr"/>
      <c r="D103" s="8" t="inlineStr"/>
      <c r="E103" s="8" t="inlineStr"/>
      <c r="F103" s="8" t="inlineStr">
        <is>
          <t>CL1(c)</t>
        </is>
      </c>
      <c r="G103" s="8" t="inlineStr">
        <is>
          <t>OPTION 2:  Indicator level reporting</t>
        </is>
      </c>
      <c r="H103" s="52">
        <f>IFERROR(IF(INDEX('Faculties'!$N$10:$N$19,MATCH($F103,'Faculties'!$B$10:$B$19,0))="","Cell will autofill based on response",INDEX('Faculties'!$N$10:$N$19,MATCH($F103,'Faculties'!$B$10:$B$19,0))),"N/A")</f>
        <v/>
      </c>
      <c r="I103" s="52">
        <f>IFERROR(IF(INDEX('Faculties'!$N$26:$N$35,MATCH($F103,'Faculties'!$B$26:$B$35,0))="","Cell will autofill based on response",INDEX('Faculties'!$N$26:$N$35,MATCH($F103,'Faculties'!$B$26:$B$35,0))),"N/A")</f>
        <v/>
      </c>
      <c r="J103" s="52">
        <f>IFERROR(IF(INDEX('Faculties'!$N$42:$N$51,MATCH($F103,'Faculties'!$B$42:$B$51,0))="","Cell will autofill based on response",INDEX('Faculties'!$N$42:$N$51,MATCH($F103,'Faculties'!$B$42:$B$51,0))),"N/A")</f>
        <v/>
      </c>
      <c r="K103" s="52">
        <f>IFERROR(IF(INDEX('Faculties'!$N$58:$N$67,MATCH($F103,'Faculties'!$B$58:$B$67,0))="","Cell will autofill based on response",INDEX('Faculties'!$N$58:$N$67,MATCH($F103,'Faculties'!$B$58:$B$67,0))),"N/A")</f>
        <v/>
      </c>
      <c r="L103" s="52">
        <f>IFERROR(IF(INDEX('CI&amp;S'!$N$10:$N$15,MATCH($F103,'CI&amp;S'!$B$10:$B$15,0))="","Cell will autofill based on response",INDEX('CI&amp;S'!$N$10:$N$15,MATCH($F103,'CI&amp;S'!$B$10:$B$15,0))),"N/A")</f>
        <v/>
      </c>
      <c r="M103" s="52">
        <f>IFERROR(IF(INDEX('CI&amp;S'!$N$22:$N$36,MATCH($F103,'CI&amp;S'!$B$22:$B$36,0))="","Cell will autofill based on response",INDEX('CI&amp;S'!$N$22:$N$36,MATCH($F103,'CI&amp;S'!$B$22:$B$36,0))),"N/A")</f>
        <v/>
      </c>
      <c r="N103" s="52">
        <f>IFERROR(IF(INDEX('CFOG'!$N$10:$N$16,MATCH($F103,'CFOG'!$B$10:$B$16,0))="","Cell will autofill based on response",INDEX('CFOG'!$N$10:$N$16,MATCH($F103,'CFOG'!$B$10:$B$16,0))),"N/A")</f>
        <v/>
      </c>
      <c r="O103" s="52">
        <f>IFERROR(IF(INDEX('CFOG'!$N$23:$N$24,MATCH($F103,'CFOG'!$B$23:$B$24,0))="","Cell will autofill based on response",INDEX('CFOG'!$N$23:$N$24,MATCH($F103,'CFOG'!$B$23:$B$24,0))),"N/A")</f>
        <v/>
      </c>
      <c r="P103" s="52">
        <f>IFERROR(IF(INDEX('ESG'!$N$10:$N$17,MATCH($F103,'ESG'!$B$10:$B$17,0))="","Cell will autofill based on response",INDEX('ESG'!$N$10:$N$17,MATCH($F103,'ESG'!$B$10:$B$17,0))),"N/A")</f>
        <v/>
      </c>
      <c r="Q103" s="52">
        <f>IFERROR(IF(INDEX('CIOG'!$N$10:$N$14,MATCH($F103,'CIOG'!$B$10:$B$14,0))="","Cell will autofill based on response",INDEX('CIOG'!$N$10:$N$14,MATCH($F103,'CIOG'!$B$10:$B$14,0))),"N/A")</f>
        <v/>
      </c>
      <c r="R103" s="52">
        <f>IFERROR(IF(INDEX('MRE'!$N$10:$N$18,MATCH($F103,'MRE'!$B$10:$B$18,0))="","Cell will autofill based on response",INDEX('MRE'!$N$10:$N$18,MATCH($F103,'MRE'!$B$10:$B$18,0))),"N/A")</f>
        <v/>
      </c>
      <c r="S103" s="52">
        <f>IFERROR(IF(INDEX('AC&amp;M'!$N$10:$N$14,MATCH($F103,'AC&amp;M'!$B$10:$B$14,0))="","Cell will autofill based on response",INDEX('AC&amp;M'!$N$10:$N$14,MATCH($F103,'AC&amp;M'!$B$10:$B$14,0))),"N/A")</f>
        <v/>
      </c>
      <c r="T103" s="52">
        <f>IFERROR(IF(INDEX('GCE'!$N$10:$N$12,MATCH($F103,'GCE'!$B$10:$B$12,0))="","Cell will autofill based on response",INDEX('GCE'!$N$10:$N$12,MATCH($F103,'GCE'!$B$10:$B$12,0))),"N/A")</f>
        <v/>
      </c>
      <c r="U103" s="52">
        <f>IFERROR(IF(INDEX('Education'!$N$10:$N$13,MATCH($F103,'Education'!$B$10:$B$13,0))="","Cell will autofill based on response",INDEX('Education'!$N$10:$N$13,MATCH($F103,'Education'!$B$10:$B$13,0))),"N/A")</f>
        <v/>
      </c>
      <c r="V103" s="52">
        <f>IFERROR(IF(INDEX('SaSS'!$N$10:$N$12,MATCH($F103,'SaSS'!$B$10:$B$12,0))="","Cell will autofill based on response",INDEX('SaSS'!$N$10:$N$12,MATCH($F103,'SaSS'!$B$10:$B$12,0))),"N/A")</f>
        <v/>
      </c>
      <c r="W103" s="52">
        <f>IFERROR(IF(INDEX('Indigenous'!$N$10:$N$11,MATCH($F103,'Indigenous'!$B$10:$B$11,0))="","Cell will autofill based on response",INDEX('Indigenous'!$N$10:$N$11,MATCH($F103,'Indigenous'!$B$10:$B$11,0))),"N/A")</f>
        <v/>
      </c>
      <c r="X103" s="52">
        <f>IFERROR(IF(INDEX('L&amp;R'!$N$10:$N$11,MATCH($F103,'L&amp;R'!$B$10:$B$11,0))="","Cell will autofill based on response",INDEX('L&amp;R'!$N$10:$N$11,MATCH($F103,'L&amp;R'!$B$10:$B$11,0))),"N/A")</f>
        <v/>
      </c>
    </row>
    <row r="104">
      <c r="A104">
        <f>F104&amp;"|"&amp;G104</f>
        <v/>
      </c>
      <c r="B104" s="13" t="inlineStr"/>
      <c r="C104" s="8" t="inlineStr"/>
      <c r="D104" s="8" t="inlineStr"/>
      <c r="E104" s="8" t="inlineStr"/>
      <c r="F104" s="8" t="inlineStr">
        <is>
          <t>CL1(c)</t>
        </is>
      </c>
      <c r="G104" s="8" t="inlineStr">
        <is>
          <t>Supporting information/comments</t>
        </is>
      </c>
      <c r="H104" s="52">
        <f>IFERROR(IF(INDEX('Faculties'!$O$10:$O$19,MATCH($F104,'Faculties'!$B$10:$B$19,0))="","Cell will autofill based on response",INDEX('Faculties'!$O$10:$O$19,MATCH($F104,'Faculties'!$B$10:$B$19,0))),"N/A")</f>
        <v/>
      </c>
      <c r="I104" s="52">
        <f>IFERROR(IF(INDEX('Faculties'!$O$26:$O$35,MATCH($F104,'Faculties'!$B$26:$B$35,0))="","Cell will autofill based on response",INDEX('Faculties'!$O$26:$O$35,MATCH($F104,'Faculties'!$B$26:$B$35,0))),"N/A")</f>
        <v/>
      </c>
      <c r="J104" s="52">
        <f>IFERROR(IF(INDEX('Faculties'!$O$42:$O$51,MATCH($F104,'Faculties'!$B$42:$B$51,0))="","Cell will autofill based on response",INDEX('Faculties'!$O$42:$O$51,MATCH($F104,'Faculties'!$B$42:$B$51,0))),"N/A")</f>
        <v/>
      </c>
      <c r="K104" s="52">
        <f>IFERROR(IF(INDEX('Faculties'!$O$58:$O$67,MATCH($F104,'Faculties'!$B$58:$B$67,0))="","Cell will autofill based on response",INDEX('Faculties'!$O$58:$O$67,MATCH($F104,'Faculties'!$B$58:$B$67,0))),"N/A")</f>
        <v/>
      </c>
      <c r="L104" s="52">
        <f>IFERROR(IF(INDEX('CI&amp;S'!$O$10:$O$15,MATCH($F104,'CI&amp;S'!$B$10:$B$15,0))="","Cell will autofill based on response",INDEX('CI&amp;S'!$O$10:$O$15,MATCH($F104,'CI&amp;S'!$B$10:$B$15,0))),"N/A")</f>
        <v/>
      </c>
      <c r="M104" s="52">
        <f>IFERROR(IF(INDEX('CI&amp;S'!$O$22:$O$36,MATCH($F104,'CI&amp;S'!$B$22:$B$36,0))="","Cell will autofill based on response",INDEX('CI&amp;S'!$O$22:$O$36,MATCH($F104,'CI&amp;S'!$B$22:$B$36,0))),"N/A")</f>
        <v/>
      </c>
      <c r="N104" s="52">
        <f>IFERROR(IF(INDEX('CFOG'!$O$10:$O$16,MATCH($F104,'CFOG'!$B$10:$B$16,0))="","Cell will autofill based on response",INDEX('CFOG'!$O$10:$O$16,MATCH($F104,'CFOG'!$B$10:$B$16,0))),"N/A")</f>
        <v/>
      </c>
      <c r="O104" s="52">
        <f>IFERROR(IF(INDEX('CFOG'!$O$23:$O$24,MATCH($F104,'CFOG'!$B$23:$B$24,0))="","Cell will autofill based on response",INDEX('CFOG'!$O$23:$O$24,MATCH($F104,'CFOG'!$B$23:$B$24,0))),"N/A")</f>
        <v/>
      </c>
      <c r="P104" s="52">
        <f>IFERROR(IF(INDEX('ESG'!$O$10:$O$17,MATCH($F104,'ESG'!$B$10:$B$17,0))="","Cell will autofill based on response",INDEX('ESG'!$O$10:$O$17,MATCH($F104,'ESG'!$B$10:$B$17,0))),"N/A")</f>
        <v/>
      </c>
      <c r="Q104" s="52">
        <f>IFERROR(IF(INDEX('CIOG'!$O$10:$O$14,MATCH($F104,'CIOG'!$B$10:$B$14,0))="","Cell will autofill based on response",INDEX('CIOG'!$O$10:$O$14,MATCH($F104,'CIOG'!$B$10:$B$14,0))),"N/A")</f>
        <v/>
      </c>
      <c r="R104" s="52">
        <f>IFERROR(IF(INDEX('MRE'!$O$10:$O$18,MATCH($F104,'MRE'!$B$10:$B$18,0))="","Cell will autofill based on response",INDEX('MRE'!$O$10:$O$18,MATCH($F104,'MRE'!$B$10:$B$18,0))),"N/A")</f>
        <v/>
      </c>
      <c r="S104" s="52">
        <f>IFERROR(IF(INDEX('AC&amp;M'!$O$10:$O$14,MATCH($F104,'AC&amp;M'!$B$10:$B$14,0))="","Cell will autofill based on response",INDEX('AC&amp;M'!$O$10:$O$14,MATCH($F104,'AC&amp;M'!$B$10:$B$14,0))),"N/A")</f>
        <v/>
      </c>
      <c r="T104" s="52">
        <f>IFERROR(IF(INDEX('GCE'!$O$10:$O$12,MATCH($F104,'GCE'!$B$10:$B$12,0))="","Cell will autofill based on response",INDEX('GCE'!$O$10:$O$12,MATCH($F104,'GCE'!$B$10:$B$12,0))),"N/A")</f>
        <v/>
      </c>
      <c r="U104" s="52">
        <f>IFERROR(IF(INDEX('Education'!$O$10:$O$13,MATCH($F104,'Education'!$B$10:$B$13,0))="","Cell will autofill based on response",INDEX('Education'!$O$10:$O$13,MATCH($F104,'Education'!$B$10:$B$13,0))),"N/A")</f>
        <v/>
      </c>
      <c r="V104" s="52">
        <f>IFERROR(IF(INDEX('SaSS'!$O$10:$O$12,MATCH($F104,'SaSS'!$B$10:$B$12,0))="","Cell will autofill based on response",INDEX('SaSS'!$O$10:$O$12,MATCH($F104,'SaSS'!$B$10:$B$12,0))),"N/A")</f>
        <v/>
      </c>
      <c r="W104" s="52">
        <f>IFERROR(IF(INDEX('Indigenous'!$O$10:$O$11,MATCH($F104,'Indigenous'!$B$10:$B$11,0))="","Cell will autofill based on response",INDEX('Indigenous'!$O$10:$O$11,MATCH($F104,'Indigenous'!$B$10:$B$11,0))),"N/A")</f>
        <v/>
      </c>
      <c r="X104" s="52">
        <f>IFERROR(IF(INDEX('L&amp;R'!$O$10:$O$11,MATCH($F104,'L&amp;R'!$B$10:$B$11,0))="","Cell will autofill based on response",INDEX('L&amp;R'!$O$10:$O$11,MATCH($F104,'L&amp;R'!$B$10:$B$11,0))),"N/A")</f>
        <v/>
      </c>
    </row>
    <row r="105">
      <c r="A105">
        <f>F105&amp;"|"&amp;G105</f>
        <v/>
      </c>
      <c r="B105" s="13" t="inlineStr"/>
      <c r="C105" s="8" t="inlineStr"/>
      <c r="D105" s="8" t="inlineStr"/>
      <c r="E105" s="8" t="inlineStr"/>
      <c r="F105" s="8" t="inlineStr">
        <is>
          <t>CL1(c)</t>
        </is>
      </c>
      <c r="G105" s="8" t="inlineStr">
        <is>
          <t>Data source and limitations</t>
        </is>
      </c>
      <c r="H105" s="52">
        <f>IFERROR(IF(INDEX('Faculties'!$P$10:$P$19,MATCH($F105,'Faculties'!$B$10:$B$19,0))="","Cell will autofill based on response",INDEX('Faculties'!$P$10:$P$19,MATCH($F105,'Faculties'!$B$10:$B$19,0))),"N/A")</f>
        <v/>
      </c>
      <c r="I105" s="52">
        <f>IFERROR(IF(INDEX('Faculties'!$P$26:$P$35,MATCH($F105,'Faculties'!$B$26:$B$35,0))="","Cell will autofill based on response",INDEX('Faculties'!$P$26:$P$35,MATCH($F105,'Faculties'!$B$26:$B$35,0))),"N/A")</f>
        <v/>
      </c>
      <c r="J105" s="52">
        <f>IFERROR(IF(INDEX('Faculties'!$P$42:$P$51,MATCH($F105,'Faculties'!$B$42:$B$51,0))="","Cell will autofill based on response",INDEX('Faculties'!$P$42:$P$51,MATCH($F105,'Faculties'!$B$42:$B$51,0))),"N/A")</f>
        <v/>
      </c>
      <c r="K105" s="52">
        <f>IFERROR(IF(INDEX('Faculties'!$P$58:$P$67,MATCH($F105,'Faculties'!$B$58:$B$67,0))="","Cell will autofill based on response",INDEX('Faculties'!$P$58:$P$67,MATCH($F105,'Faculties'!$B$58:$B$67,0))),"N/A")</f>
        <v/>
      </c>
      <c r="L105" s="52">
        <f>IFERROR(IF(INDEX('CI&amp;S'!$P$10:$P$15,MATCH($F105,'CI&amp;S'!$B$10:$B$15,0))="","Cell will autofill based on response",INDEX('CI&amp;S'!$P$10:$P$15,MATCH($F105,'CI&amp;S'!$B$10:$B$15,0))),"N/A")</f>
        <v/>
      </c>
      <c r="M105" s="52">
        <f>IFERROR(IF(INDEX('CI&amp;S'!$P$22:$P$36,MATCH($F105,'CI&amp;S'!$B$22:$B$36,0))="","Cell will autofill based on response",INDEX('CI&amp;S'!$P$22:$P$36,MATCH($F105,'CI&amp;S'!$B$22:$B$36,0))),"N/A")</f>
        <v/>
      </c>
      <c r="N105" s="52">
        <f>IFERROR(IF(INDEX('CFOG'!$P$10:$P$16,MATCH($F105,'CFOG'!$B$10:$B$16,0))="","Cell will autofill based on response",INDEX('CFOG'!$P$10:$P$16,MATCH($F105,'CFOG'!$B$10:$B$16,0))),"N/A")</f>
        <v/>
      </c>
      <c r="O105" s="52">
        <f>IFERROR(IF(INDEX('CFOG'!$P$23:$P$24,MATCH($F105,'CFOG'!$B$23:$B$24,0))="","Cell will autofill based on response",INDEX('CFOG'!$P$23:$P$24,MATCH($F105,'CFOG'!$B$23:$B$24,0))),"N/A")</f>
        <v/>
      </c>
      <c r="P105" s="52">
        <f>IFERROR(IF(INDEX('ESG'!$P$10:$P$17,MATCH($F105,'ESG'!$B$10:$B$17,0))="","Cell will autofill based on response",INDEX('ESG'!$P$10:$P$17,MATCH($F105,'ESG'!$B$10:$B$17,0))),"N/A")</f>
        <v/>
      </c>
      <c r="Q105" s="52">
        <f>IFERROR(IF(INDEX('CIOG'!$P$10:$P$14,MATCH($F105,'CIOG'!$B$10:$B$14,0))="","Cell will autofill based on response",INDEX('CIOG'!$P$10:$P$14,MATCH($F105,'CIOG'!$B$10:$B$14,0))),"N/A")</f>
        <v/>
      </c>
      <c r="R105" s="52">
        <f>IFERROR(IF(INDEX('MRE'!$P$10:$P$18,MATCH($F105,'MRE'!$B$10:$B$18,0))="","Cell will autofill based on response",INDEX('MRE'!$P$10:$P$18,MATCH($F105,'MRE'!$B$10:$B$18,0))),"N/A")</f>
        <v/>
      </c>
      <c r="S105" s="52">
        <f>IFERROR(IF(INDEX('AC&amp;M'!$P$10:$P$14,MATCH($F105,'AC&amp;M'!$B$10:$B$14,0))="","Cell will autofill based on response",INDEX('AC&amp;M'!$P$10:$P$14,MATCH($F105,'AC&amp;M'!$B$10:$B$14,0))),"N/A")</f>
        <v/>
      </c>
      <c r="T105" s="52">
        <f>IFERROR(IF(INDEX('GCE'!$P$10:$P$12,MATCH($F105,'GCE'!$B$10:$B$12,0))="","Cell will autofill based on response",INDEX('GCE'!$P$10:$P$12,MATCH($F105,'GCE'!$B$10:$B$12,0))),"N/A")</f>
        <v/>
      </c>
      <c r="U105" s="52">
        <f>IFERROR(IF(INDEX('Education'!$P$10:$P$13,MATCH($F105,'Education'!$B$10:$B$13,0))="","Cell will autofill based on response",INDEX('Education'!$P$10:$P$13,MATCH($F105,'Education'!$B$10:$B$13,0))),"N/A")</f>
        <v/>
      </c>
      <c r="V105" s="52">
        <f>IFERROR(IF(INDEX('SaSS'!$P$10:$P$12,MATCH($F105,'SaSS'!$B$10:$B$12,0))="","Cell will autofill based on response",INDEX('SaSS'!$P$10:$P$12,MATCH($F105,'SaSS'!$B$10:$B$12,0))),"N/A")</f>
        <v/>
      </c>
      <c r="W105" s="52">
        <f>IFERROR(IF(INDEX('Indigenous'!$P$10:$P$11,MATCH($F105,'Indigenous'!$B$10:$B$11,0))="","Cell will autofill based on response",INDEX('Indigenous'!$P$10:$P$11,MATCH($F105,'Indigenous'!$B$10:$B$11,0))),"N/A")</f>
        <v/>
      </c>
      <c r="X105" s="52">
        <f>IFERROR(IF(INDEX('L&amp;R'!$P$10:$P$11,MATCH($F105,'L&amp;R'!$B$10:$B$11,0))="","Cell will autofill based on response",INDEX('L&amp;R'!$P$10:$P$11,MATCH($F105,'L&amp;R'!$B$10:$B$11,0))),"N/A")</f>
        <v/>
      </c>
    </row>
    <row r="106">
      <c r="A106">
        <f>F106&amp;"|"&amp;G106</f>
        <v/>
      </c>
      <c r="B106" s="13" t="inlineStr"/>
      <c r="C106" s="8" t="inlineStr"/>
      <c r="D106" s="8" t="inlineStr"/>
      <c r="E106" s="8" t="inlineStr"/>
      <c r="F106" s="8" t="inlineStr">
        <is>
          <t>CL1(c)</t>
        </is>
      </c>
      <c r="G106" s="8" t="inlineStr">
        <is>
          <t>Data owner confirms</t>
        </is>
      </c>
      <c r="H106" s="52">
        <f>IFERROR(IF(INDEX('Faculties'!$Q$10:$Q$19,MATCH($F106,'Faculties'!$B$10:$B$19,0))="","Cell will autofill based on response",INDEX('Faculties'!$Q$10:$Q$19,MATCH($F106,'Faculties'!$B$10:$B$19,0))),"N/A")</f>
        <v/>
      </c>
      <c r="I106" s="52">
        <f>IFERROR(IF(INDEX('Faculties'!$Q$26:$Q$35,MATCH($F106,'Faculties'!$B$26:$B$35,0))="","Cell will autofill based on response",INDEX('Faculties'!$Q$26:$Q$35,MATCH($F106,'Faculties'!$B$26:$B$35,0))),"N/A")</f>
        <v/>
      </c>
      <c r="J106" s="52">
        <f>IFERROR(IF(INDEX('Faculties'!$Q$42:$Q$51,MATCH($F106,'Faculties'!$B$42:$B$51,0))="","Cell will autofill based on response",INDEX('Faculties'!$Q$42:$Q$51,MATCH($F106,'Faculties'!$B$42:$B$51,0))),"N/A")</f>
        <v/>
      </c>
      <c r="K106" s="52">
        <f>IFERROR(IF(INDEX('Faculties'!$Q$58:$Q$67,MATCH($F106,'Faculties'!$B$58:$B$67,0))="","Cell will autofill based on response",INDEX('Faculties'!$Q$58:$Q$67,MATCH($F106,'Faculties'!$B$58:$B$67,0))),"N/A")</f>
        <v/>
      </c>
      <c r="L106" s="52">
        <f>IFERROR(IF(INDEX('CI&amp;S'!$Q$10:$Q$15,MATCH($F106,'CI&amp;S'!$B$10:$B$15,0))="","Cell will autofill based on response",INDEX('CI&amp;S'!$Q$10:$Q$15,MATCH($F106,'CI&amp;S'!$B$10:$B$15,0))),"N/A")</f>
        <v/>
      </c>
      <c r="M106" s="52">
        <f>IFERROR(IF(INDEX('CI&amp;S'!$Q$22:$Q$36,MATCH($F106,'CI&amp;S'!$B$22:$B$36,0))="","Cell will autofill based on response",INDEX('CI&amp;S'!$Q$22:$Q$36,MATCH($F106,'CI&amp;S'!$B$22:$B$36,0))),"N/A")</f>
        <v/>
      </c>
      <c r="N106" s="52">
        <f>IFERROR(IF(INDEX('CFOG'!$Q$10:$Q$16,MATCH($F106,'CFOG'!$B$10:$B$16,0))="","Cell will autofill based on response",INDEX('CFOG'!$Q$10:$Q$16,MATCH($F106,'CFOG'!$B$10:$B$16,0))),"N/A")</f>
        <v/>
      </c>
      <c r="O106" s="52">
        <f>IFERROR(IF(INDEX('CFOG'!$Q$23:$Q$24,MATCH($F106,'CFOG'!$B$23:$B$24,0))="","Cell will autofill based on response",INDEX('CFOG'!$Q$23:$Q$24,MATCH($F106,'CFOG'!$B$23:$B$24,0))),"N/A")</f>
        <v/>
      </c>
      <c r="P106" s="52">
        <f>IFERROR(IF(INDEX('ESG'!$Q$10:$Q$17,MATCH($F106,'ESG'!$B$10:$B$17,0))="","Cell will autofill based on response",INDEX('ESG'!$Q$10:$Q$17,MATCH($F106,'ESG'!$B$10:$B$17,0))),"N/A")</f>
        <v/>
      </c>
      <c r="Q106" s="52">
        <f>IFERROR(IF(INDEX('CIOG'!$Q$10:$Q$14,MATCH($F106,'CIOG'!$B$10:$B$14,0))="","Cell will autofill based on response",INDEX('CIOG'!$Q$10:$Q$14,MATCH($F106,'CIOG'!$B$10:$B$14,0))),"N/A")</f>
        <v/>
      </c>
      <c r="R106" s="52">
        <f>IFERROR(IF(INDEX('MRE'!$Q$10:$Q$18,MATCH($F106,'MRE'!$B$10:$B$18,0))="","Cell will autofill based on response",INDEX('MRE'!$Q$10:$Q$18,MATCH($F106,'MRE'!$B$10:$B$18,0))),"N/A")</f>
        <v/>
      </c>
      <c r="S106" s="52">
        <f>IFERROR(IF(INDEX('AC&amp;M'!$Q$10:$Q$14,MATCH($F106,'AC&amp;M'!$B$10:$B$14,0))="","Cell will autofill based on response",INDEX('AC&amp;M'!$Q$10:$Q$14,MATCH($F106,'AC&amp;M'!$B$10:$B$14,0))),"N/A")</f>
        <v/>
      </c>
      <c r="T106" s="52">
        <f>IFERROR(IF(INDEX('GCE'!$Q$10:$Q$12,MATCH($F106,'GCE'!$B$10:$B$12,0))="","Cell will autofill based on response",INDEX('GCE'!$Q$10:$Q$12,MATCH($F106,'GCE'!$B$10:$B$12,0))),"N/A")</f>
        <v/>
      </c>
      <c r="U106" s="52">
        <f>IFERROR(IF(INDEX('Education'!$Q$10:$Q$13,MATCH($F106,'Education'!$B$10:$B$13,0))="","Cell will autofill based on response",INDEX('Education'!$Q$10:$Q$13,MATCH($F106,'Education'!$B$10:$B$13,0))),"N/A")</f>
        <v/>
      </c>
      <c r="V106" s="52">
        <f>IFERROR(IF(INDEX('SaSS'!$Q$10:$Q$12,MATCH($F106,'SaSS'!$B$10:$B$12,0))="","Cell will autofill based on response",INDEX('SaSS'!$Q$10:$Q$12,MATCH($F106,'SaSS'!$B$10:$B$12,0))),"N/A")</f>
        <v/>
      </c>
      <c r="W106" s="52">
        <f>IFERROR(IF(INDEX('Indigenous'!$Q$10:$Q$11,MATCH($F106,'Indigenous'!$B$10:$B$11,0))="","Cell will autofill based on response",INDEX('Indigenous'!$Q$10:$Q$11,MATCH($F106,'Indigenous'!$B$10:$B$11,0))),"N/A")</f>
        <v/>
      </c>
      <c r="X106" s="52">
        <f>IFERROR(IF(INDEX('L&amp;R'!$Q$10:$Q$11,MATCH($F106,'L&amp;R'!$B$10:$B$11,0))="","Cell will autofill based on response",INDEX('L&amp;R'!$Q$10:$Q$11,MATCH($F106,'L&amp;R'!$B$10:$B$11,0))),"N/A")</f>
        <v/>
      </c>
    </row>
    <row r="107">
      <c r="A107">
        <f>F107&amp;"|"&amp;G107</f>
        <v/>
      </c>
      <c r="B107" s="7" t="inlineStr">
        <is>
          <t>CL2(a)</t>
        </is>
      </c>
      <c r="C107" s="50" t="inlineStr">
        <is>
          <t>Climate leadership</t>
        </is>
      </c>
      <c r="D107" s="50" t="inlineStr">
        <is>
          <t>By 2028, develop and document institutional mapping of research and education activities that are designed to contribute to global decarbonisation</t>
        </is>
      </c>
      <c r="E107" s="50"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107" s="50" t="inlineStr">
        <is>
          <t>CL2(a)</t>
        </is>
      </c>
      <c r="G107" s="50" t="inlineStr">
        <is>
          <t>Confirm end-2026 target status</t>
        </is>
      </c>
      <c r="H107" s="52">
        <f>IFERROR(IF(INDEX('Faculties'!$L$10:$L$19,MATCH($F107,'Faculties'!$B$10:$B$19,0))="","Cell will autofill based on response",INDEX('Faculties'!$L$10:$L$19,MATCH($F107,'Faculties'!$B$10:$B$19,0))),"N/A")</f>
        <v/>
      </c>
      <c r="I107" s="52">
        <f>IFERROR(IF(INDEX('Faculties'!$L$26:$L$35,MATCH($F107,'Faculties'!$B$26:$B$35,0))="","Cell will autofill based on response",INDEX('Faculties'!$L$26:$L$35,MATCH($F107,'Faculties'!$B$26:$B$35,0))),"N/A")</f>
        <v/>
      </c>
      <c r="J107" s="52">
        <f>IFERROR(IF(INDEX('Faculties'!$L$42:$L$51,MATCH($F107,'Faculties'!$B$42:$B$51,0))="","Cell will autofill based on response",INDEX('Faculties'!$L$42:$L$51,MATCH($F107,'Faculties'!$B$42:$B$51,0))),"N/A")</f>
        <v/>
      </c>
      <c r="K107" s="52">
        <f>IFERROR(IF(INDEX('Faculties'!$L$58:$L$67,MATCH($F107,'Faculties'!$B$58:$B$67,0))="","Cell will autofill based on response",INDEX('Faculties'!$L$58:$L$67,MATCH($F107,'Faculties'!$B$58:$B$67,0))),"N/A")</f>
        <v/>
      </c>
      <c r="L107" s="52">
        <f>IFERROR(IF(INDEX('CI&amp;S'!$L$10:$L$15,MATCH($F107,'CI&amp;S'!$B$10:$B$15,0))="","Cell will autofill based on response",INDEX('CI&amp;S'!$L$10:$L$15,MATCH($F107,'CI&amp;S'!$B$10:$B$15,0))),"N/A")</f>
        <v/>
      </c>
      <c r="M107" s="52">
        <f>IFERROR(IF(INDEX('CI&amp;S'!$L$22:$L$36,MATCH($F107,'CI&amp;S'!$B$22:$B$36,0))="","Cell will autofill based on response",INDEX('CI&amp;S'!$L$22:$L$36,MATCH($F107,'CI&amp;S'!$B$22:$B$36,0))),"N/A")</f>
        <v/>
      </c>
      <c r="N107" s="52">
        <f>IFERROR(IF(INDEX('CFOG'!$L$10:$L$16,MATCH($F107,'CFOG'!$B$10:$B$16,0))="","Cell will autofill based on response",INDEX('CFOG'!$L$10:$L$16,MATCH($F107,'CFOG'!$B$10:$B$16,0))),"N/A")</f>
        <v/>
      </c>
      <c r="O107" s="52">
        <f>IFERROR(IF(INDEX('CFOG'!$L$23:$L$24,MATCH($F107,'CFOG'!$B$23:$B$24,0))="","Cell will autofill based on response",INDEX('CFOG'!$L$23:$L$24,MATCH($F107,'CFOG'!$B$23:$B$24,0))),"N/A")</f>
        <v/>
      </c>
      <c r="P107" s="52">
        <f>IFERROR(IF(INDEX('ESG'!$L$10:$L$17,MATCH($F107,'ESG'!$B$10:$B$17,0))="","Cell will autofill based on response",INDEX('ESG'!$L$10:$L$17,MATCH($F107,'ESG'!$B$10:$B$17,0))),"N/A")</f>
        <v/>
      </c>
      <c r="Q107" s="52">
        <f>IFERROR(IF(INDEX('CIOG'!$L$10:$L$14,MATCH($F107,'CIOG'!$B$10:$B$14,0))="","Cell will autofill based on response",INDEX('CIOG'!$L$10:$L$14,MATCH($F107,'CIOG'!$B$10:$B$14,0))),"N/A")</f>
        <v/>
      </c>
      <c r="R107" s="52">
        <f>IFERROR(IF(INDEX('MRE'!$L$10:$L$18,MATCH($F107,'MRE'!$B$10:$B$18,0))="","Cell will autofill based on response",INDEX('MRE'!$L$10:$L$18,MATCH($F107,'MRE'!$B$10:$B$18,0))),"N/A")</f>
        <v/>
      </c>
      <c r="S107" s="52">
        <f>IFERROR(IF(INDEX('AC&amp;M'!$L$10:$L$14,MATCH($F107,'AC&amp;M'!$B$10:$B$14,0))="","Cell will autofill based on response",INDEX('AC&amp;M'!$L$10:$L$14,MATCH($F107,'AC&amp;M'!$B$10:$B$14,0))),"N/A")</f>
        <v/>
      </c>
      <c r="T107" s="52">
        <f>IFERROR(IF(INDEX('GCE'!$L$10:$L$12,MATCH($F107,'GCE'!$B$10:$B$12,0))="","Cell will autofill based on response",INDEX('GCE'!$L$10:$L$12,MATCH($F107,'GCE'!$B$10:$B$12,0))),"N/A")</f>
        <v/>
      </c>
      <c r="U107" s="52">
        <f>IFERROR(IF(INDEX('Education'!$L$10:$L$13,MATCH($F107,'Education'!$B$10:$B$13,0))="","Cell will autofill based on response",INDEX('Education'!$L$10:$L$13,MATCH($F107,'Education'!$B$10:$B$13,0))),"N/A")</f>
        <v/>
      </c>
      <c r="V107" s="52">
        <f>IFERROR(IF(INDEX('SaSS'!$L$10:$L$12,MATCH($F107,'SaSS'!$B$10:$B$12,0))="","Cell will autofill based on response",INDEX('SaSS'!$L$10:$L$12,MATCH($F107,'SaSS'!$B$10:$B$12,0))),"N/A")</f>
        <v/>
      </c>
      <c r="W107" s="52">
        <f>IFERROR(IF(INDEX('Indigenous'!$L$10:$L$11,MATCH($F107,'Indigenous'!$B$10:$B$11,0))="","Cell will autofill based on response",INDEX('Indigenous'!$L$10:$L$11,MATCH($F107,'Indigenous'!$B$10:$B$11,0))),"N/A")</f>
        <v/>
      </c>
      <c r="X107" s="52">
        <f>IFERROR(IF(INDEX('L&amp;R'!$L$10:$L$11,MATCH($F107,'L&amp;R'!$B$10:$B$11,0))="","Cell will autofill based on response",INDEX('L&amp;R'!$L$10:$L$11,MATCH($F107,'L&amp;R'!$B$10:$B$11,0))),"N/A")</f>
        <v/>
      </c>
      <c r="Z107" s="10">
        <f>COUNTIF($H107:$X107,"Cell will autofill based on response")</f>
        <v/>
      </c>
      <c r="AA107" s="10">
        <f>COUNTIF($H107:$X107,"Not yet started")</f>
        <v/>
      </c>
      <c r="AB107" s="10">
        <f>COUNTIF($H107:$X107,"Not met")</f>
        <v/>
      </c>
      <c r="AC107" s="10">
        <f>COUNTIF($H107:$X107,"Partially met")</f>
        <v/>
      </c>
      <c r="AD107" s="10">
        <f>COUNTIF($H107:$X107,"Met or exceeded")</f>
        <v/>
      </c>
      <c r="AE107" s="10">
        <f>3*AD107+2*AC107+AB107</f>
        <v/>
      </c>
      <c r="AF107" s="10">
        <f>AD107+AC107+AB107+AA107</f>
        <v/>
      </c>
      <c r="AG107" s="53">
        <f>IF(AF107&gt;0,AE107/AF107,"No valid responses to date")</f>
        <v/>
      </c>
      <c r="AH107" s="10">
        <f>IF(ISNUMBER(AG107),INDEX(Lists!$G$2:$G$5,MATCH(ROUND(AG107,0),Lists!$H$2:$H$5,0)),"")</f>
        <v/>
      </c>
      <c r="AI107" s="54">
        <f>IF(AF107&gt;0,AD107/AF107,"")</f>
        <v/>
      </c>
      <c r="AJ107" s="54">
        <f>IF(AF107&gt;0,(AD107+AC107)/AF107,"")</f>
        <v/>
      </c>
      <c r="AK107" s="10">
        <f>IF(AF107=0,"",IF(AI107&gt;0.75,"Met or exceeded",IF(AJ107&gt;=0.5,"Partially met","Not met")))</f>
        <v/>
      </c>
    </row>
    <row r="108">
      <c r="A108">
        <f>F108&amp;"|"&amp;G108</f>
        <v/>
      </c>
      <c r="B108" s="13" t="inlineStr"/>
      <c r="C108" s="8" t="inlineStr"/>
      <c r="D108" s="8" t="inlineStr"/>
      <c r="E108" s="8" t="inlineStr"/>
      <c r="F108" s="8" t="inlineStr">
        <is>
          <t>CL2(a)</t>
        </is>
      </c>
      <c r="G108" s="8" t="inlineStr">
        <is>
          <t>OPTION 1:  Target-level reporting</t>
        </is>
      </c>
      <c r="H108" s="52">
        <f>IFERROR(IF(INDEX('Faculties'!$M$10:$M$19,MATCH($F108,'Faculties'!$B$10:$B$19,0))="","Cell will autofill based on response",INDEX('Faculties'!$M$10:$M$19,MATCH($F108,'Faculties'!$B$10:$B$19,0))),"N/A")</f>
        <v/>
      </c>
      <c r="I108" s="52">
        <f>IFERROR(IF(INDEX('Faculties'!$M$26:$M$35,MATCH($F108,'Faculties'!$B$26:$B$35,0))="","Cell will autofill based on response",INDEX('Faculties'!$M$26:$M$35,MATCH($F108,'Faculties'!$B$26:$B$35,0))),"N/A")</f>
        <v/>
      </c>
      <c r="J108" s="52">
        <f>IFERROR(IF(INDEX('Faculties'!$M$42:$M$51,MATCH($F108,'Faculties'!$B$42:$B$51,0))="","Cell will autofill based on response",INDEX('Faculties'!$M$42:$M$51,MATCH($F108,'Faculties'!$B$42:$B$51,0))),"N/A")</f>
        <v/>
      </c>
      <c r="K108" s="52">
        <f>IFERROR(IF(INDEX('Faculties'!$M$58:$M$67,MATCH($F108,'Faculties'!$B$58:$B$67,0))="","Cell will autofill based on response",INDEX('Faculties'!$M$58:$M$67,MATCH($F108,'Faculties'!$B$58:$B$67,0))),"N/A")</f>
        <v/>
      </c>
      <c r="L108" s="52">
        <f>IFERROR(IF(INDEX('CI&amp;S'!$M$10:$M$15,MATCH($F108,'CI&amp;S'!$B$10:$B$15,0))="","Cell will autofill based on response",INDEX('CI&amp;S'!$M$10:$M$15,MATCH($F108,'CI&amp;S'!$B$10:$B$15,0))),"N/A")</f>
        <v/>
      </c>
      <c r="M108" s="52">
        <f>IFERROR(IF(INDEX('CI&amp;S'!$M$22:$M$36,MATCH($F108,'CI&amp;S'!$B$22:$B$36,0))="","Cell will autofill based on response",INDEX('CI&amp;S'!$M$22:$M$36,MATCH($F108,'CI&amp;S'!$B$22:$B$36,0))),"N/A")</f>
        <v/>
      </c>
      <c r="N108" s="52">
        <f>IFERROR(IF(INDEX('CFOG'!$M$10:$M$16,MATCH($F108,'CFOG'!$B$10:$B$16,0))="","Cell will autofill based on response",INDEX('CFOG'!$M$10:$M$16,MATCH($F108,'CFOG'!$B$10:$B$16,0))),"N/A")</f>
        <v/>
      </c>
      <c r="O108" s="52">
        <f>IFERROR(IF(INDEX('CFOG'!$M$23:$M$24,MATCH($F108,'CFOG'!$B$23:$B$24,0))="","Cell will autofill based on response",INDEX('CFOG'!$M$23:$M$24,MATCH($F108,'CFOG'!$B$23:$B$24,0))),"N/A")</f>
        <v/>
      </c>
      <c r="P108" s="52">
        <f>IFERROR(IF(INDEX('ESG'!$M$10:$M$17,MATCH($F108,'ESG'!$B$10:$B$17,0))="","Cell will autofill based on response",INDEX('ESG'!$M$10:$M$17,MATCH($F108,'ESG'!$B$10:$B$17,0))),"N/A")</f>
        <v/>
      </c>
      <c r="Q108" s="52">
        <f>IFERROR(IF(INDEX('CIOG'!$M$10:$M$14,MATCH($F108,'CIOG'!$B$10:$B$14,0))="","Cell will autofill based on response",INDEX('CIOG'!$M$10:$M$14,MATCH($F108,'CIOG'!$B$10:$B$14,0))),"N/A")</f>
        <v/>
      </c>
      <c r="R108" s="52">
        <f>IFERROR(IF(INDEX('MRE'!$M$10:$M$18,MATCH($F108,'MRE'!$B$10:$B$18,0))="","Cell will autofill based on response",INDEX('MRE'!$M$10:$M$18,MATCH($F108,'MRE'!$B$10:$B$18,0))),"N/A")</f>
        <v/>
      </c>
      <c r="S108" s="52">
        <f>IFERROR(IF(INDEX('AC&amp;M'!$M$10:$M$14,MATCH($F108,'AC&amp;M'!$B$10:$B$14,0))="","Cell will autofill based on response",INDEX('AC&amp;M'!$M$10:$M$14,MATCH($F108,'AC&amp;M'!$B$10:$B$14,0))),"N/A")</f>
        <v/>
      </c>
      <c r="T108" s="52">
        <f>IFERROR(IF(INDEX('GCE'!$M$10:$M$12,MATCH($F108,'GCE'!$B$10:$B$12,0))="","Cell will autofill based on response",INDEX('GCE'!$M$10:$M$12,MATCH($F108,'GCE'!$B$10:$B$12,0))),"N/A")</f>
        <v/>
      </c>
      <c r="U108" s="52">
        <f>IFERROR(IF(INDEX('Education'!$M$10:$M$13,MATCH($F108,'Education'!$B$10:$B$13,0))="","Cell will autofill based on response",INDEX('Education'!$M$10:$M$13,MATCH($F108,'Education'!$B$10:$B$13,0))),"N/A")</f>
        <v/>
      </c>
      <c r="V108" s="52">
        <f>IFERROR(IF(INDEX('SaSS'!$M$10:$M$12,MATCH($F108,'SaSS'!$B$10:$B$12,0))="","Cell will autofill based on response",INDEX('SaSS'!$M$10:$M$12,MATCH($F108,'SaSS'!$B$10:$B$12,0))),"N/A")</f>
        <v/>
      </c>
      <c r="W108" s="52">
        <f>IFERROR(IF(INDEX('Indigenous'!$M$10:$M$11,MATCH($F108,'Indigenous'!$B$10:$B$11,0))="","Cell will autofill based on response",INDEX('Indigenous'!$M$10:$M$11,MATCH($F108,'Indigenous'!$B$10:$B$11,0))),"N/A")</f>
        <v/>
      </c>
      <c r="X108" s="52">
        <f>IFERROR(IF(INDEX('L&amp;R'!$M$10:$M$11,MATCH($F108,'L&amp;R'!$B$10:$B$11,0))="","Cell will autofill based on response",INDEX('L&amp;R'!$M$10:$M$11,MATCH($F108,'L&amp;R'!$B$10:$B$11,0))),"N/A")</f>
        <v/>
      </c>
    </row>
    <row r="109">
      <c r="A109">
        <f>F109&amp;"|"&amp;G109</f>
        <v/>
      </c>
      <c r="B109" s="13" t="inlineStr"/>
      <c r="C109" s="8" t="inlineStr"/>
      <c r="D109" s="8" t="inlineStr"/>
      <c r="E109" s="8" t="inlineStr"/>
      <c r="F109" s="8" t="inlineStr">
        <is>
          <t>CL2(a)</t>
        </is>
      </c>
      <c r="G109" s="8" t="inlineStr">
        <is>
          <t>OPTION 2:  Indicator level reporting</t>
        </is>
      </c>
      <c r="H109" s="52">
        <f>IFERROR(IF(INDEX('Faculties'!$N$10:$N$19,MATCH($F109,'Faculties'!$B$10:$B$19,0))="","Cell will autofill based on response",INDEX('Faculties'!$N$10:$N$19,MATCH($F109,'Faculties'!$B$10:$B$19,0))),"N/A")</f>
        <v/>
      </c>
      <c r="I109" s="52">
        <f>IFERROR(IF(INDEX('Faculties'!$N$26:$N$35,MATCH($F109,'Faculties'!$B$26:$B$35,0))="","Cell will autofill based on response",INDEX('Faculties'!$N$26:$N$35,MATCH($F109,'Faculties'!$B$26:$B$35,0))),"N/A")</f>
        <v/>
      </c>
      <c r="J109" s="52">
        <f>IFERROR(IF(INDEX('Faculties'!$N$42:$N$51,MATCH($F109,'Faculties'!$B$42:$B$51,0))="","Cell will autofill based on response",INDEX('Faculties'!$N$42:$N$51,MATCH($F109,'Faculties'!$B$42:$B$51,0))),"N/A")</f>
        <v/>
      </c>
      <c r="K109" s="52">
        <f>IFERROR(IF(INDEX('Faculties'!$N$58:$N$67,MATCH($F109,'Faculties'!$B$58:$B$67,0))="","Cell will autofill based on response",INDEX('Faculties'!$N$58:$N$67,MATCH($F109,'Faculties'!$B$58:$B$67,0))),"N/A")</f>
        <v/>
      </c>
      <c r="L109" s="52">
        <f>IFERROR(IF(INDEX('CI&amp;S'!$N$10:$N$15,MATCH($F109,'CI&amp;S'!$B$10:$B$15,0))="","Cell will autofill based on response",INDEX('CI&amp;S'!$N$10:$N$15,MATCH($F109,'CI&amp;S'!$B$10:$B$15,0))),"N/A")</f>
        <v/>
      </c>
      <c r="M109" s="52">
        <f>IFERROR(IF(INDEX('CI&amp;S'!$N$22:$N$36,MATCH($F109,'CI&amp;S'!$B$22:$B$36,0))="","Cell will autofill based on response",INDEX('CI&amp;S'!$N$22:$N$36,MATCH($F109,'CI&amp;S'!$B$22:$B$36,0))),"N/A")</f>
        <v/>
      </c>
      <c r="N109" s="52">
        <f>IFERROR(IF(INDEX('CFOG'!$N$10:$N$16,MATCH($F109,'CFOG'!$B$10:$B$16,0))="","Cell will autofill based on response",INDEX('CFOG'!$N$10:$N$16,MATCH($F109,'CFOG'!$B$10:$B$16,0))),"N/A")</f>
        <v/>
      </c>
      <c r="O109" s="52">
        <f>IFERROR(IF(INDEX('CFOG'!$N$23:$N$24,MATCH($F109,'CFOG'!$B$23:$B$24,0))="","Cell will autofill based on response",INDEX('CFOG'!$N$23:$N$24,MATCH($F109,'CFOG'!$B$23:$B$24,0))),"N/A")</f>
        <v/>
      </c>
      <c r="P109" s="52">
        <f>IFERROR(IF(INDEX('ESG'!$N$10:$N$17,MATCH($F109,'ESG'!$B$10:$B$17,0))="","Cell will autofill based on response",INDEX('ESG'!$N$10:$N$17,MATCH($F109,'ESG'!$B$10:$B$17,0))),"N/A")</f>
        <v/>
      </c>
      <c r="Q109" s="52">
        <f>IFERROR(IF(INDEX('CIOG'!$N$10:$N$14,MATCH($F109,'CIOG'!$B$10:$B$14,0))="","Cell will autofill based on response",INDEX('CIOG'!$N$10:$N$14,MATCH($F109,'CIOG'!$B$10:$B$14,0))),"N/A")</f>
        <v/>
      </c>
      <c r="R109" s="52">
        <f>IFERROR(IF(INDEX('MRE'!$N$10:$N$18,MATCH($F109,'MRE'!$B$10:$B$18,0))="","Cell will autofill based on response",INDEX('MRE'!$N$10:$N$18,MATCH($F109,'MRE'!$B$10:$B$18,0))),"N/A")</f>
        <v/>
      </c>
      <c r="S109" s="52">
        <f>IFERROR(IF(INDEX('AC&amp;M'!$N$10:$N$14,MATCH($F109,'AC&amp;M'!$B$10:$B$14,0))="","Cell will autofill based on response",INDEX('AC&amp;M'!$N$10:$N$14,MATCH($F109,'AC&amp;M'!$B$10:$B$14,0))),"N/A")</f>
        <v/>
      </c>
      <c r="T109" s="52">
        <f>IFERROR(IF(INDEX('GCE'!$N$10:$N$12,MATCH($F109,'GCE'!$B$10:$B$12,0))="","Cell will autofill based on response",INDEX('GCE'!$N$10:$N$12,MATCH($F109,'GCE'!$B$10:$B$12,0))),"N/A")</f>
        <v/>
      </c>
      <c r="U109" s="52">
        <f>IFERROR(IF(INDEX('Education'!$N$10:$N$13,MATCH($F109,'Education'!$B$10:$B$13,0))="","Cell will autofill based on response",INDEX('Education'!$N$10:$N$13,MATCH($F109,'Education'!$B$10:$B$13,0))),"N/A")</f>
        <v/>
      </c>
      <c r="V109" s="52">
        <f>IFERROR(IF(INDEX('SaSS'!$N$10:$N$12,MATCH($F109,'SaSS'!$B$10:$B$12,0))="","Cell will autofill based on response",INDEX('SaSS'!$N$10:$N$12,MATCH($F109,'SaSS'!$B$10:$B$12,0))),"N/A")</f>
        <v/>
      </c>
      <c r="W109" s="52">
        <f>IFERROR(IF(INDEX('Indigenous'!$N$10:$N$11,MATCH($F109,'Indigenous'!$B$10:$B$11,0))="","Cell will autofill based on response",INDEX('Indigenous'!$N$10:$N$11,MATCH($F109,'Indigenous'!$B$10:$B$11,0))),"N/A")</f>
        <v/>
      </c>
      <c r="X109" s="52">
        <f>IFERROR(IF(INDEX('L&amp;R'!$N$10:$N$11,MATCH($F109,'L&amp;R'!$B$10:$B$11,0))="","Cell will autofill based on response",INDEX('L&amp;R'!$N$10:$N$11,MATCH($F109,'L&amp;R'!$B$10:$B$11,0))),"N/A")</f>
        <v/>
      </c>
    </row>
    <row r="110">
      <c r="A110">
        <f>F110&amp;"|"&amp;G110</f>
        <v/>
      </c>
      <c r="B110" s="13" t="inlineStr"/>
      <c r="C110" s="8" t="inlineStr"/>
      <c r="D110" s="8" t="inlineStr"/>
      <c r="E110" s="8" t="inlineStr"/>
      <c r="F110" s="8" t="inlineStr">
        <is>
          <t>CL2(a)</t>
        </is>
      </c>
      <c r="G110" s="8" t="inlineStr">
        <is>
          <t>Supporting information/comments</t>
        </is>
      </c>
      <c r="H110" s="52">
        <f>IFERROR(IF(INDEX('Faculties'!$O$10:$O$19,MATCH($F110,'Faculties'!$B$10:$B$19,0))="","Cell will autofill based on response",INDEX('Faculties'!$O$10:$O$19,MATCH($F110,'Faculties'!$B$10:$B$19,0))),"N/A")</f>
        <v/>
      </c>
      <c r="I110" s="52">
        <f>IFERROR(IF(INDEX('Faculties'!$O$26:$O$35,MATCH($F110,'Faculties'!$B$26:$B$35,0))="","Cell will autofill based on response",INDEX('Faculties'!$O$26:$O$35,MATCH($F110,'Faculties'!$B$26:$B$35,0))),"N/A")</f>
        <v/>
      </c>
      <c r="J110" s="52">
        <f>IFERROR(IF(INDEX('Faculties'!$O$42:$O$51,MATCH($F110,'Faculties'!$B$42:$B$51,0))="","Cell will autofill based on response",INDEX('Faculties'!$O$42:$O$51,MATCH($F110,'Faculties'!$B$42:$B$51,0))),"N/A")</f>
        <v/>
      </c>
      <c r="K110" s="52">
        <f>IFERROR(IF(INDEX('Faculties'!$O$58:$O$67,MATCH($F110,'Faculties'!$B$58:$B$67,0))="","Cell will autofill based on response",INDEX('Faculties'!$O$58:$O$67,MATCH($F110,'Faculties'!$B$58:$B$67,0))),"N/A")</f>
        <v/>
      </c>
      <c r="L110" s="52">
        <f>IFERROR(IF(INDEX('CI&amp;S'!$O$10:$O$15,MATCH($F110,'CI&amp;S'!$B$10:$B$15,0))="","Cell will autofill based on response",INDEX('CI&amp;S'!$O$10:$O$15,MATCH($F110,'CI&amp;S'!$B$10:$B$15,0))),"N/A")</f>
        <v/>
      </c>
      <c r="M110" s="52">
        <f>IFERROR(IF(INDEX('CI&amp;S'!$O$22:$O$36,MATCH($F110,'CI&amp;S'!$B$22:$B$36,0))="","Cell will autofill based on response",INDEX('CI&amp;S'!$O$22:$O$36,MATCH($F110,'CI&amp;S'!$B$22:$B$36,0))),"N/A")</f>
        <v/>
      </c>
      <c r="N110" s="52">
        <f>IFERROR(IF(INDEX('CFOG'!$O$10:$O$16,MATCH($F110,'CFOG'!$B$10:$B$16,0))="","Cell will autofill based on response",INDEX('CFOG'!$O$10:$O$16,MATCH($F110,'CFOG'!$B$10:$B$16,0))),"N/A")</f>
        <v/>
      </c>
      <c r="O110" s="52">
        <f>IFERROR(IF(INDEX('CFOG'!$O$23:$O$24,MATCH($F110,'CFOG'!$B$23:$B$24,0))="","Cell will autofill based on response",INDEX('CFOG'!$O$23:$O$24,MATCH($F110,'CFOG'!$B$23:$B$24,0))),"N/A")</f>
        <v/>
      </c>
      <c r="P110" s="52">
        <f>IFERROR(IF(INDEX('ESG'!$O$10:$O$17,MATCH($F110,'ESG'!$B$10:$B$17,0))="","Cell will autofill based on response",INDEX('ESG'!$O$10:$O$17,MATCH($F110,'ESG'!$B$10:$B$17,0))),"N/A")</f>
        <v/>
      </c>
      <c r="Q110" s="52">
        <f>IFERROR(IF(INDEX('CIOG'!$O$10:$O$14,MATCH($F110,'CIOG'!$B$10:$B$14,0))="","Cell will autofill based on response",INDEX('CIOG'!$O$10:$O$14,MATCH($F110,'CIOG'!$B$10:$B$14,0))),"N/A")</f>
        <v/>
      </c>
      <c r="R110" s="52">
        <f>IFERROR(IF(INDEX('MRE'!$O$10:$O$18,MATCH($F110,'MRE'!$B$10:$B$18,0))="","Cell will autofill based on response",INDEX('MRE'!$O$10:$O$18,MATCH($F110,'MRE'!$B$10:$B$18,0))),"N/A")</f>
        <v/>
      </c>
      <c r="S110" s="52">
        <f>IFERROR(IF(INDEX('AC&amp;M'!$O$10:$O$14,MATCH($F110,'AC&amp;M'!$B$10:$B$14,0))="","Cell will autofill based on response",INDEX('AC&amp;M'!$O$10:$O$14,MATCH($F110,'AC&amp;M'!$B$10:$B$14,0))),"N/A")</f>
        <v/>
      </c>
      <c r="T110" s="52">
        <f>IFERROR(IF(INDEX('GCE'!$O$10:$O$12,MATCH($F110,'GCE'!$B$10:$B$12,0))="","Cell will autofill based on response",INDEX('GCE'!$O$10:$O$12,MATCH($F110,'GCE'!$B$10:$B$12,0))),"N/A")</f>
        <v/>
      </c>
      <c r="U110" s="52">
        <f>IFERROR(IF(INDEX('Education'!$O$10:$O$13,MATCH($F110,'Education'!$B$10:$B$13,0))="","Cell will autofill based on response",INDEX('Education'!$O$10:$O$13,MATCH($F110,'Education'!$B$10:$B$13,0))),"N/A")</f>
        <v/>
      </c>
      <c r="V110" s="52">
        <f>IFERROR(IF(INDEX('SaSS'!$O$10:$O$12,MATCH($F110,'SaSS'!$B$10:$B$12,0))="","Cell will autofill based on response",INDEX('SaSS'!$O$10:$O$12,MATCH($F110,'SaSS'!$B$10:$B$12,0))),"N/A")</f>
        <v/>
      </c>
      <c r="W110" s="52">
        <f>IFERROR(IF(INDEX('Indigenous'!$O$10:$O$11,MATCH($F110,'Indigenous'!$B$10:$B$11,0))="","Cell will autofill based on response",INDEX('Indigenous'!$O$10:$O$11,MATCH($F110,'Indigenous'!$B$10:$B$11,0))),"N/A")</f>
        <v/>
      </c>
      <c r="X110" s="52">
        <f>IFERROR(IF(INDEX('L&amp;R'!$O$10:$O$11,MATCH($F110,'L&amp;R'!$B$10:$B$11,0))="","Cell will autofill based on response",INDEX('L&amp;R'!$O$10:$O$11,MATCH($F110,'L&amp;R'!$B$10:$B$11,0))),"N/A")</f>
        <v/>
      </c>
    </row>
    <row r="111">
      <c r="A111">
        <f>F111&amp;"|"&amp;G111</f>
        <v/>
      </c>
      <c r="B111" s="13" t="inlineStr"/>
      <c r="C111" s="8" t="inlineStr"/>
      <c r="D111" s="8" t="inlineStr"/>
      <c r="E111" s="8" t="inlineStr"/>
      <c r="F111" s="8" t="inlineStr">
        <is>
          <t>CL2(a)</t>
        </is>
      </c>
      <c r="G111" s="8" t="inlineStr">
        <is>
          <t>Data source and limitations</t>
        </is>
      </c>
      <c r="H111" s="52">
        <f>IFERROR(IF(INDEX('Faculties'!$P$10:$P$19,MATCH($F111,'Faculties'!$B$10:$B$19,0))="","Cell will autofill based on response",INDEX('Faculties'!$P$10:$P$19,MATCH($F111,'Faculties'!$B$10:$B$19,0))),"N/A")</f>
        <v/>
      </c>
      <c r="I111" s="52">
        <f>IFERROR(IF(INDEX('Faculties'!$P$26:$P$35,MATCH($F111,'Faculties'!$B$26:$B$35,0))="","Cell will autofill based on response",INDEX('Faculties'!$P$26:$P$35,MATCH($F111,'Faculties'!$B$26:$B$35,0))),"N/A")</f>
        <v/>
      </c>
      <c r="J111" s="52">
        <f>IFERROR(IF(INDEX('Faculties'!$P$42:$P$51,MATCH($F111,'Faculties'!$B$42:$B$51,0))="","Cell will autofill based on response",INDEX('Faculties'!$P$42:$P$51,MATCH($F111,'Faculties'!$B$42:$B$51,0))),"N/A")</f>
        <v/>
      </c>
      <c r="K111" s="52">
        <f>IFERROR(IF(INDEX('Faculties'!$P$58:$P$67,MATCH($F111,'Faculties'!$B$58:$B$67,0))="","Cell will autofill based on response",INDEX('Faculties'!$P$58:$P$67,MATCH($F111,'Faculties'!$B$58:$B$67,0))),"N/A")</f>
        <v/>
      </c>
      <c r="L111" s="52">
        <f>IFERROR(IF(INDEX('CI&amp;S'!$P$10:$P$15,MATCH($F111,'CI&amp;S'!$B$10:$B$15,0))="","Cell will autofill based on response",INDEX('CI&amp;S'!$P$10:$P$15,MATCH($F111,'CI&amp;S'!$B$10:$B$15,0))),"N/A")</f>
        <v/>
      </c>
      <c r="M111" s="52">
        <f>IFERROR(IF(INDEX('CI&amp;S'!$P$22:$P$36,MATCH($F111,'CI&amp;S'!$B$22:$B$36,0))="","Cell will autofill based on response",INDEX('CI&amp;S'!$P$22:$P$36,MATCH($F111,'CI&amp;S'!$B$22:$B$36,0))),"N/A")</f>
        <v/>
      </c>
      <c r="N111" s="52">
        <f>IFERROR(IF(INDEX('CFOG'!$P$10:$P$16,MATCH($F111,'CFOG'!$B$10:$B$16,0))="","Cell will autofill based on response",INDEX('CFOG'!$P$10:$P$16,MATCH($F111,'CFOG'!$B$10:$B$16,0))),"N/A")</f>
        <v/>
      </c>
      <c r="O111" s="52">
        <f>IFERROR(IF(INDEX('CFOG'!$P$23:$P$24,MATCH($F111,'CFOG'!$B$23:$B$24,0))="","Cell will autofill based on response",INDEX('CFOG'!$P$23:$P$24,MATCH($F111,'CFOG'!$B$23:$B$24,0))),"N/A")</f>
        <v/>
      </c>
      <c r="P111" s="52">
        <f>IFERROR(IF(INDEX('ESG'!$P$10:$P$17,MATCH($F111,'ESG'!$B$10:$B$17,0))="","Cell will autofill based on response",INDEX('ESG'!$P$10:$P$17,MATCH($F111,'ESG'!$B$10:$B$17,0))),"N/A")</f>
        <v/>
      </c>
      <c r="Q111" s="52">
        <f>IFERROR(IF(INDEX('CIOG'!$P$10:$P$14,MATCH($F111,'CIOG'!$B$10:$B$14,0))="","Cell will autofill based on response",INDEX('CIOG'!$P$10:$P$14,MATCH($F111,'CIOG'!$B$10:$B$14,0))),"N/A")</f>
        <v/>
      </c>
      <c r="R111" s="52">
        <f>IFERROR(IF(INDEX('MRE'!$P$10:$P$18,MATCH($F111,'MRE'!$B$10:$B$18,0))="","Cell will autofill based on response",INDEX('MRE'!$P$10:$P$18,MATCH($F111,'MRE'!$B$10:$B$18,0))),"N/A")</f>
        <v/>
      </c>
      <c r="S111" s="52">
        <f>IFERROR(IF(INDEX('AC&amp;M'!$P$10:$P$14,MATCH($F111,'AC&amp;M'!$B$10:$B$14,0))="","Cell will autofill based on response",INDEX('AC&amp;M'!$P$10:$P$14,MATCH($F111,'AC&amp;M'!$B$10:$B$14,0))),"N/A")</f>
        <v/>
      </c>
      <c r="T111" s="52">
        <f>IFERROR(IF(INDEX('GCE'!$P$10:$P$12,MATCH($F111,'GCE'!$B$10:$B$12,0))="","Cell will autofill based on response",INDEX('GCE'!$P$10:$P$12,MATCH($F111,'GCE'!$B$10:$B$12,0))),"N/A")</f>
        <v/>
      </c>
      <c r="U111" s="52">
        <f>IFERROR(IF(INDEX('Education'!$P$10:$P$13,MATCH($F111,'Education'!$B$10:$B$13,0))="","Cell will autofill based on response",INDEX('Education'!$P$10:$P$13,MATCH($F111,'Education'!$B$10:$B$13,0))),"N/A")</f>
        <v/>
      </c>
      <c r="V111" s="52">
        <f>IFERROR(IF(INDEX('SaSS'!$P$10:$P$12,MATCH($F111,'SaSS'!$B$10:$B$12,0))="","Cell will autofill based on response",INDEX('SaSS'!$P$10:$P$12,MATCH($F111,'SaSS'!$B$10:$B$12,0))),"N/A")</f>
        <v/>
      </c>
      <c r="W111" s="52">
        <f>IFERROR(IF(INDEX('Indigenous'!$P$10:$P$11,MATCH($F111,'Indigenous'!$B$10:$B$11,0))="","Cell will autofill based on response",INDEX('Indigenous'!$P$10:$P$11,MATCH($F111,'Indigenous'!$B$10:$B$11,0))),"N/A")</f>
        <v/>
      </c>
      <c r="X111" s="52">
        <f>IFERROR(IF(INDEX('L&amp;R'!$P$10:$P$11,MATCH($F111,'L&amp;R'!$B$10:$B$11,0))="","Cell will autofill based on response",INDEX('L&amp;R'!$P$10:$P$11,MATCH($F111,'L&amp;R'!$B$10:$B$11,0))),"N/A")</f>
        <v/>
      </c>
    </row>
    <row r="112">
      <c r="A112">
        <f>F112&amp;"|"&amp;G112</f>
        <v/>
      </c>
      <c r="B112" s="13" t="inlineStr"/>
      <c r="C112" s="8" t="inlineStr"/>
      <c r="D112" s="8" t="inlineStr"/>
      <c r="E112" s="8" t="inlineStr"/>
      <c r="F112" s="8" t="inlineStr">
        <is>
          <t>CL2(a)</t>
        </is>
      </c>
      <c r="G112" s="8" t="inlineStr">
        <is>
          <t>Data owner confirms</t>
        </is>
      </c>
      <c r="H112" s="52">
        <f>IFERROR(IF(INDEX('Faculties'!$Q$10:$Q$19,MATCH($F112,'Faculties'!$B$10:$B$19,0))="","Cell will autofill based on response",INDEX('Faculties'!$Q$10:$Q$19,MATCH($F112,'Faculties'!$B$10:$B$19,0))),"N/A")</f>
        <v/>
      </c>
      <c r="I112" s="52">
        <f>IFERROR(IF(INDEX('Faculties'!$Q$26:$Q$35,MATCH($F112,'Faculties'!$B$26:$B$35,0))="","Cell will autofill based on response",INDEX('Faculties'!$Q$26:$Q$35,MATCH($F112,'Faculties'!$B$26:$B$35,0))),"N/A")</f>
        <v/>
      </c>
      <c r="J112" s="52">
        <f>IFERROR(IF(INDEX('Faculties'!$Q$42:$Q$51,MATCH($F112,'Faculties'!$B$42:$B$51,0))="","Cell will autofill based on response",INDEX('Faculties'!$Q$42:$Q$51,MATCH($F112,'Faculties'!$B$42:$B$51,0))),"N/A")</f>
        <v/>
      </c>
      <c r="K112" s="52">
        <f>IFERROR(IF(INDEX('Faculties'!$Q$58:$Q$67,MATCH($F112,'Faculties'!$B$58:$B$67,0))="","Cell will autofill based on response",INDEX('Faculties'!$Q$58:$Q$67,MATCH($F112,'Faculties'!$B$58:$B$67,0))),"N/A")</f>
        <v/>
      </c>
      <c r="L112" s="52">
        <f>IFERROR(IF(INDEX('CI&amp;S'!$Q$10:$Q$15,MATCH($F112,'CI&amp;S'!$B$10:$B$15,0))="","Cell will autofill based on response",INDEX('CI&amp;S'!$Q$10:$Q$15,MATCH($F112,'CI&amp;S'!$B$10:$B$15,0))),"N/A")</f>
        <v/>
      </c>
      <c r="M112" s="52">
        <f>IFERROR(IF(INDEX('CI&amp;S'!$Q$22:$Q$36,MATCH($F112,'CI&amp;S'!$B$22:$B$36,0))="","Cell will autofill based on response",INDEX('CI&amp;S'!$Q$22:$Q$36,MATCH($F112,'CI&amp;S'!$B$22:$B$36,0))),"N/A")</f>
        <v/>
      </c>
      <c r="N112" s="52">
        <f>IFERROR(IF(INDEX('CFOG'!$Q$10:$Q$16,MATCH($F112,'CFOG'!$B$10:$B$16,0))="","Cell will autofill based on response",INDEX('CFOG'!$Q$10:$Q$16,MATCH($F112,'CFOG'!$B$10:$B$16,0))),"N/A")</f>
        <v/>
      </c>
      <c r="O112" s="52">
        <f>IFERROR(IF(INDEX('CFOG'!$Q$23:$Q$24,MATCH($F112,'CFOG'!$B$23:$B$24,0))="","Cell will autofill based on response",INDEX('CFOG'!$Q$23:$Q$24,MATCH($F112,'CFOG'!$B$23:$B$24,0))),"N/A")</f>
        <v/>
      </c>
      <c r="P112" s="52">
        <f>IFERROR(IF(INDEX('ESG'!$Q$10:$Q$17,MATCH($F112,'ESG'!$B$10:$B$17,0))="","Cell will autofill based on response",INDEX('ESG'!$Q$10:$Q$17,MATCH($F112,'ESG'!$B$10:$B$17,0))),"N/A")</f>
        <v/>
      </c>
      <c r="Q112" s="52">
        <f>IFERROR(IF(INDEX('CIOG'!$Q$10:$Q$14,MATCH($F112,'CIOG'!$B$10:$B$14,0))="","Cell will autofill based on response",INDEX('CIOG'!$Q$10:$Q$14,MATCH($F112,'CIOG'!$B$10:$B$14,0))),"N/A")</f>
        <v/>
      </c>
      <c r="R112" s="52">
        <f>IFERROR(IF(INDEX('MRE'!$Q$10:$Q$18,MATCH($F112,'MRE'!$B$10:$B$18,0))="","Cell will autofill based on response",INDEX('MRE'!$Q$10:$Q$18,MATCH($F112,'MRE'!$B$10:$B$18,0))),"N/A")</f>
        <v/>
      </c>
      <c r="S112" s="52">
        <f>IFERROR(IF(INDEX('AC&amp;M'!$Q$10:$Q$14,MATCH($F112,'AC&amp;M'!$B$10:$B$14,0))="","Cell will autofill based on response",INDEX('AC&amp;M'!$Q$10:$Q$14,MATCH($F112,'AC&amp;M'!$B$10:$B$14,0))),"N/A")</f>
        <v/>
      </c>
      <c r="T112" s="52">
        <f>IFERROR(IF(INDEX('GCE'!$Q$10:$Q$12,MATCH($F112,'GCE'!$B$10:$B$12,0))="","Cell will autofill based on response",INDEX('GCE'!$Q$10:$Q$12,MATCH($F112,'GCE'!$B$10:$B$12,0))),"N/A")</f>
        <v/>
      </c>
      <c r="U112" s="52">
        <f>IFERROR(IF(INDEX('Education'!$Q$10:$Q$13,MATCH($F112,'Education'!$B$10:$B$13,0))="","Cell will autofill based on response",INDEX('Education'!$Q$10:$Q$13,MATCH($F112,'Education'!$B$10:$B$13,0))),"N/A")</f>
        <v/>
      </c>
      <c r="V112" s="52">
        <f>IFERROR(IF(INDEX('SaSS'!$Q$10:$Q$12,MATCH($F112,'SaSS'!$B$10:$B$12,0))="","Cell will autofill based on response",INDEX('SaSS'!$Q$10:$Q$12,MATCH($F112,'SaSS'!$B$10:$B$12,0))),"N/A")</f>
        <v/>
      </c>
      <c r="W112" s="52">
        <f>IFERROR(IF(INDEX('Indigenous'!$Q$10:$Q$11,MATCH($F112,'Indigenous'!$B$10:$B$11,0))="","Cell will autofill based on response",INDEX('Indigenous'!$Q$10:$Q$11,MATCH($F112,'Indigenous'!$B$10:$B$11,0))),"N/A")</f>
        <v/>
      </c>
      <c r="X112" s="52">
        <f>IFERROR(IF(INDEX('L&amp;R'!$Q$10:$Q$11,MATCH($F112,'L&amp;R'!$B$10:$B$11,0))="","Cell will autofill based on response",INDEX('L&amp;R'!$Q$10:$Q$11,MATCH($F112,'L&amp;R'!$B$10:$B$11,0))),"N/A")</f>
        <v/>
      </c>
    </row>
    <row r="113">
      <c r="A113">
        <f>F113&amp;"|"&amp;G113</f>
        <v/>
      </c>
      <c r="B113" s="7" t="inlineStr">
        <is>
          <t>CL2(c)</t>
        </is>
      </c>
      <c r="C113" s="50" t="inlineStr">
        <is>
          <t>Climate leadership</t>
        </is>
      </c>
      <c r="D113" s="50" t="inlineStr">
        <is>
          <t>Ongoing communications that evidence the University’s climate action, research and learning to inform policy, sector and community decarbonisation efforts.</t>
        </is>
      </c>
      <c r="E113" s="50" t="inlineStr">
        <is>
          <t>List and describe communications from the faculty in terms of climate action, research and learning to inform policy, sector and community decarbonisation efforts</t>
        </is>
      </c>
      <c r="F113" s="50" t="inlineStr">
        <is>
          <t>CL2(c)</t>
        </is>
      </c>
      <c r="G113" s="50" t="inlineStr">
        <is>
          <t>Confirm end-2026 target status</t>
        </is>
      </c>
      <c r="H113" s="52">
        <f>IFERROR(IF(INDEX('Faculties'!$L$10:$L$19,MATCH($F113,'Faculties'!$B$10:$B$19,0))="","Cell will autofill based on response",INDEX('Faculties'!$L$10:$L$19,MATCH($F113,'Faculties'!$B$10:$B$19,0))),"N/A")</f>
        <v/>
      </c>
      <c r="I113" s="52">
        <f>IFERROR(IF(INDEX('Faculties'!$L$26:$L$35,MATCH($F113,'Faculties'!$B$26:$B$35,0))="","Cell will autofill based on response",INDEX('Faculties'!$L$26:$L$35,MATCH($F113,'Faculties'!$B$26:$B$35,0))),"N/A")</f>
        <v/>
      </c>
      <c r="J113" s="52">
        <f>IFERROR(IF(INDEX('Faculties'!$L$42:$L$51,MATCH($F113,'Faculties'!$B$42:$B$51,0))="","Cell will autofill based on response",INDEX('Faculties'!$L$42:$L$51,MATCH($F113,'Faculties'!$B$42:$B$51,0))),"N/A")</f>
        <v/>
      </c>
      <c r="K113" s="52">
        <f>IFERROR(IF(INDEX('Faculties'!$L$58:$L$67,MATCH($F113,'Faculties'!$B$58:$B$67,0))="","Cell will autofill based on response",INDEX('Faculties'!$L$58:$L$67,MATCH($F113,'Faculties'!$B$58:$B$67,0))),"N/A")</f>
        <v/>
      </c>
      <c r="L113" s="52">
        <f>IFERROR(IF(INDEX('CI&amp;S'!$L$10:$L$15,MATCH($F113,'CI&amp;S'!$B$10:$B$15,0))="","Cell will autofill based on response",INDEX('CI&amp;S'!$L$10:$L$15,MATCH($F113,'CI&amp;S'!$B$10:$B$15,0))),"N/A")</f>
        <v/>
      </c>
      <c r="M113" s="52">
        <f>IFERROR(IF(INDEX('CI&amp;S'!$L$22:$L$36,MATCH($F113,'CI&amp;S'!$B$22:$B$36,0))="","Cell will autofill based on response",INDEX('CI&amp;S'!$L$22:$L$36,MATCH($F113,'CI&amp;S'!$B$22:$B$36,0))),"N/A")</f>
        <v/>
      </c>
      <c r="N113" s="52">
        <f>IFERROR(IF(INDEX('CFOG'!$L$10:$L$16,MATCH($F113,'CFOG'!$B$10:$B$16,0))="","Cell will autofill based on response",INDEX('CFOG'!$L$10:$L$16,MATCH($F113,'CFOG'!$B$10:$B$16,0))),"N/A")</f>
        <v/>
      </c>
      <c r="O113" s="52">
        <f>IFERROR(IF(INDEX('CFOG'!$L$23:$L$24,MATCH($F113,'CFOG'!$B$23:$B$24,0))="","Cell will autofill based on response",INDEX('CFOG'!$L$23:$L$24,MATCH($F113,'CFOG'!$B$23:$B$24,0))),"N/A")</f>
        <v/>
      </c>
      <c r="P113" s="52">
        <f>IFERROR(IF(INDEX('ESG'!$L$10:$L$17,MATCH($F113,'ESG'!$B$10:$B$17,0))="","Cell will autofill based on response",INDEX('ESG'!$L$10:$L$17,MATCH($F113,'ESG'!$B$10:$B$17,0))),"N/A")</f>
        <v/>
      </c>
      <c r="Q113" s="52">
        <f>IFERROR(IF(INDEX('CIOG'!$L$10:$L$14,MATCH($F113,'CIOG'!$B$10:$B$14,0))="","Cell will autofill based on response",INDEX('CIOG'!$L$10:$L$14,MATCH($F113,'CIOG'!$B$10:$B$14,0))),"N/A")</f>
        <v/>
      </c>
      <c r="R113" s="52">
        <f>IFERROR(IF(INDEX('MRE'!$L$10:$L$18,MATCH($F113,'MRE'!$B$10:$B$18,0))="","Cell will autofill based on response",INDEX('MRE'!$L$10:$L$18,MATCH($F113,'MRE'!$B$10:$B$18,0))),"N/A")</f>
        <v/>
      </c>
      <c r="S113" s="52">
        <f>IFERROR(IF(INDEX('AC&amp;M'!$L$10:$L$14,MATCH($F113,'AC&amp;M'!$B$10:$B$14,0))="","Cell will autofill based on response",INDEX('AC&amp;M'!$L$10:$L$14,MATCH($F113,'AC&amp;M'!$B$10:$B$14,0))),"N/A")</f>
        <v/>
      </c>
      <c r="T113" s="52">
        <f>IFERROR(IF(INDEX('GCE'!$L$10:$L$12,MATCH($F113,'GCE'!$B$10:$B$12,0))="","Cell will autofill based on response",INDEX('GCE'!$L$10:$L$12,MATCH($F113,'GCE'!$B$10:$B$12,0))),"N/A")</f>
        <v/>
      </c>
      <c r="U113" s="52">
        <f>IFERROR(IF(INDEX('Education'!$L$10:$L$13,MATCH($F113,'Education'!$B$10:$B$13,0))="","Cell will autofill based on response",INDEX('Education'!$L$10:$L$13,MATCH($F113,'Education'!$B$10:$B$13,0))),"N/A")</f>
        <v/>
      </c>
      <c r="V113" s="52">
        <f>IFERROR(IF(INDEX('SaSS'!$L$10:$L$12,MATCH($F113,'SaSS'!$B$10:$B$12,0))="","Cell will autofill based on response",INDEX('SaSS'!$L$10:$L$12,MATCH($F113,'SaSS'!$B$10:$B$12,0))),"N/A")</f>
        <v/>
      </c>
      <c r="W113" s="52">
        <f>IFERROR(IF(INDEX('Indigenous'!$L$10:$L$11,MATCH($F113,'Indigenous'!$B$10:$B$11,0))="","Cell will autofill based on response",INDEX('Indigenous'!$L$10:$L$11,MATCH($F113,'Indigenous'!$B$10:$B$11,0))),"N/A")</f>
        <v/>
      </c>
      <c r="X113" s="52">
        <f>IFERROR(IF(INDEX('L&amp;R'!$L$10:$L$11,MATCH($F113,'L&amp;R'!$B$10:$B$11,0))="","Cell will autofill based on response",INDEX('L&amp;R'!$L$10:$L$11,MATCH($F113,'L&amp;R'!$B$10:$B$11,0))),"N/A")</f>
        <v/>
      </c>
      <c r="Z113" s="10">
        <f>COUNTIF($H113:$X113,"Cell will autofill based on response")</f>
        <v/>
      </c>
      <c r="AA113" s="10">
        <f>COUNTIF($H113:$X113,"Not yet started")</f>
        <v/>
      </c>
      <c r="AB113" s="10">
        <f>COUNTIF($H113:$X113,"Not met")</f>
        <v/>
      </c>
      <c r="AC113" s="10">
        <f>COUNTIF($H113:$X113,"Partially met")</f>
        <v/>
      </c>
      <c r="AD113" s="10">
        <f>COUNTIF($H113:$X113,"Met or exceeded")</f>
        <v/>
      </c>
      <c r="AE113" s="10">
        <f>3*AD113+2*AC113+AB113</f>
        <v/>
      </c>
      <c r="AF113" s="10">
        <f>AD113+AC113+AB113+AA113</f>
        <v/>
      </c>
      <c r="AG113" s="53">
        <f>IF(AF113&gt;0,AE113/AF113,"No valid responses to date")</f>
        <v/>
      </c>
      <c r="AH113" s="10">
        <f>IF(ISNUMBER(AG113),INDEX(Lists!$G$2:$G$5,MATCH(ROUND(AG113,0),Lists!$H$2:$H$5,0)),"")</f>
        <v/>
      </c>
      <c r="AI113" s="54">
        <f>IF(AF113&gt;0,AD113/AF113,"")</f>
        <v/>
      </c>
      <c r="AJ113" s="54">
        <f>IF(AF113&gt;0,(AD113+AC113)/AF113,"")</f>
        <v/>
      </c>
      <c r="AK113" s="10">
        <f>IF(AF113=0,"",IF(AI113&gt;0.75,"Met or exceeded",IF(AJ113&gt;=0.5,"Partially met","Not met")))</f>
        <v/>
      </c>
    </row>
    <row r="114">
      <c r="A114">
        <f>F114&amp;"|"&amp;G114</f>
        <v/>
      </c>
      <c r="B114" s="13" t="inlineStr"/>
      <c r="C114" s="8" t="inlineStr"/>
      <c r="D114" s="8" t="inlineStr"/>
      <c r="E114" s="8" t="inlineStr"/>
      <c r="F114" s="8" t="inlineStr">
        <is>
          <t>CL2(c)</t>
        </is>
      </c>
      <c r="G114" s="8" t="inlineStr">
        <is>
          <t>OPTION 1:  Target-level reporting</t>
        </is>
      </c>
      <c r="H114" s="52">
        <f>IFERROR(IF(INDEX('Faculties'!$M$10:$M$19,MATCH($F114,'Faculties'!$B$10:$B$19,0))="","Cell will autofill based on response",INDEX('Faculties'!$M$10:$M$19,MATCH($F114,'Faculties'!$B$10:$B$19,0))),"N/A")</f>
        <v/>
      </c>
      <c r="I114" s="52">
        <f>IFERROR(IF(INDEX('Faculties'!$M$26:$M$35,MATCH($F114,'Faculties'!$B$26:$B$35,0))="","Cell will autofill based on response",INDEX('Faculties'!$M$26:$M$35,MATCH($F114,'Faculties'!$B$26:$B$35,0))),"N/A")</f>
        <v/>
      </c>
      <c r="J114" s="52">
        <f>IFERROR(IF(INDEX('Faculties'!$M$42:$M$51,MATCH($F114,'Faculties'!$B$42:$B$51,0))="","Cell will autofill based on response",INDEX('Faculties'!$M$42:$M$51,MATCH($F114,'Faculties'!$B$42:$B$51,0))),"N/A")</f>
        <v/>
      </c>
      <c r="K114" s="52">
        <f>IFERROR(IF(INDEX('Faculties'!$M$58:$M$67,MATCH($F114,'Faculties'!$B$58:$B$67,0))="","Cell will autofill based on response",INDEX('Faculties'!$M$58:$M$67,MATCH($F114,'Faculties'!$B$58:$B$67,0))),"N/A")</f>
        <v/>
      </c>
      <c r="L114" s="52">
        <f>IFERROR(IF(INDEX('CI&amp;S'!$M$10:$M$15,MATCH($F114,'CI&amp;S'!$B$10:$B$15,0))="","Cell will autofill based on response",INDEX('CI&amp;S'!$M$10:$M$15,MATCH($F114,'CI&amp;S'!$B$10:$B$15,0))),"N/A")</f>
        <v/>
      </c>
      <c r="M114" s="52">
        <f>IFERROR(IF(INDEX('CI&amp;S'!$M$22:$M$36,MATCH($F114,'CI&amp;S'!$B$22:$B$36,0))="","Cell will autofill based on response",INDEX('CI&amp;S'!$M$22:$M$36,MATCH($F114,'CI&amp;S'!$B$22:$B$36,0))),"N/A")</f>
        <v/>
      </c>
      <c r="N114" s="52">
        <f>IFERROR(IF(INDEX('CFOG'!$M$10:$M$16,MATCH($F114,'CFOG'!$B$10:$B$16,0))="","Cell will autofill based on response",INDEX('CFOG'!$M$10:$M$16,MATCH($F114,'CFOG'!$B$10:$B$16,0))),"N/A")</f>
        <v/>
      </c>
      <c r="O114" s="52">
        <f>IFERROR(IF(INDEX('CFOG'!$M$23:$M$24,MATCH($F114,'CFOG'!$B$23:$B$24,0))="","Cell will autofill based on response",INDEX('CFOG'!$M$23:$M$24,MATCH($F114,'CFOG'!$B$23:$B$24,0))),"N/A")</f>
        <v/>
      </c>
      <c r="P114" s="52">
        <f>IFERROR(IF(INDEX('ESG'!$M$10:$M$17,MATCH($F114,'ESG'!$B$10:$B$17,0))="","Cell will autofill based on response",INDEX('ESG'!$M$10:$M$17,MATCH($F114,'ESG'!$B$10:$B$17,0))),"N/A")</f>
        <v/>
      </c>
      <c r="Q114" s="52">
        <f>IFERROR(IF(INDEX('CIOG'!$M$10:$M$14,MATCH($F114,'CIOG'!$B$10:$B$14,0))="","Cell will autofill based on response",INDEX('CIOG'!$M$10:$M$14,MATCH($F114,'CIOG'!$B$10:$B$14,0))),"N/A")</f>
        <v/>
      </c>
      <c r="R114" s="52">
        <f>IFERROR(IF(INDEX('MRE'!$M$10:$M$18,MATCH($F114,'MRE'!$B$10:$B$18,0))="","Cell will autofill based on response",INDEX('MRE'!$M$10:$M$18,MATCH($F114,'MRE'!$B$10:$B$18,0))),"N/A")</f>
        <v/>
      </c>
      <c r="S114" s="52">
        <f>IFERROR(IF(INDEX('AC&amp;M'!$M$10:$M$14,MATCH($F114,'AC&amp;M'!$B$10:$B$14,0))="","Cell will autofill based on response",INDEX('AC&amp;M'!$M$10:$M$14,MATCH($F114,'AC&amp;M'!$B$10:$B$14,0))),"N/A")</f>
        <v/>
      </c>
      <c r="T114" s="52">
        <f>IFERROR(IF(INDEX('GCE'!$M$10:$M$12,MATCH($F114,'GCE'!$B$10:$B$12,0))="","Cell will autofill based on response",INDEX('GCE'!$M$10:$M$12,MATCH($F114,'GCE'!$B$10:$B$12,0))),"N/A")</f>
        <v/>
      </c>
      <c r="U114" s="52">
        <f>IFERROR(IF(INDEX('Education'!$M$10:$M$13,MATCH($F114,'Education'!$B$10:$B$13,0))="","Cell will autofill based on response",INDEX('Education'!$M$10:$M$13,MATCH($F114,'Education'!$B$10:$B$13,0))),"N/A")</f>
        <v/>
      </c>
      <c r="V114" s="52">
        <f>IFERROR(IF(INDEX('SaSS'!$M$10:$M$12,MATCH($F114,'SaSS'!$B$10:$B$12,0))="","Cell will autofill based on response",INDEX('SaSS'!$M$10:$M$12,MATCH($F114,'SaSS'!$B$10:$B$12,0))),"N/A")</f>
        <v/>
      </c>
      <c r="W114" s="52">
        <f>IFERROR(IF(INDEX('Indigenous'!$M$10:$M$11,MATCH($F114,'Indigenous'!$B$10:$B$11,0))="","Cell will autofill based on response",INDEX('Indigenous'!$M$10:$M$11,MATCH($F114,'Indigenous'!$B$10:$B$11,0))),"N/A")</f>
        <v/>
      </c>
      <c r="X114" s="52">
        <f>IFERROR(IF(INDEX('L&amp;R'!$M$10:$M$11,MATCH($F114,'L&amp;R'!$B$10:$B$11,0))="","Cell will autofill based on response",INDEX('L&amp;R'!$M$10:$M$11,MATCH($F114,'L&amp;R'!$B$10:$B$11,0))),"N/A")</f>
        <v/>
      </c>
    </row>
    <row r="115">
      <c r="A115">
        <f>F115&amp;"|"&amp;G115</f>
        <v/>
      </c>
      <c r="B115" s="13" t="inlineStr"/>
      <c r="C115" s="8" t="inlineStr"/>
      <c r="D115" s="8" t="inlineStr"/>
      <c r="E115" s="8" t="inlineStr"/>
      <c r="F115" s="8" t="inlineStr">
        <is>
          <t>CL2(c)</t>
        </is>
      </c>
      <c r="G115" s="8" t="inlineStr">
        <is>
          <t>OPTION 2:  Indicator level reporting</t>
        </is>
      </c>
      <c r="H115" s="52">
        <f>IFERROR(IF(INDEX('Faculties'!$N$10:$N$19,MATCH($F115,'Faculties'!$B$10:$B$19,0))="","Cell will autofill based on response",INDEX('Faculties'!$N$10:$N$19,MATCH($F115,'Faculties'!$B$10:$B$19,0))),"N/A")</f>
        <v/>
      </c>
      <c r="I115" s="52">
        <f>IFERROR(IF(INDEX('Faculties'!$N$26:$N$35,MATCH($F115,'Faculties'!$B$26:$B$35,0))="","Cell will autofill based on response",INDEX('Faculties'!$N$26:$N$35,MATCH($F115,'Faculties'!$B$26:$B$35,0))),"N/A")</f>
        <v/>
      </c>
      <c r="J115" s="52">
        <f>IFERROR(IF(INDEX('Faculties'!$N$42:$N$51,MATCH($F115,'Faculties'!$B$42:$B$51,0))="","Cell will autofill based on response",INDEX('Faculties'!$N$42:$N$51,MATCH($F115,'Faculties'!$B$42:$B$51,0))),"N/A")</f>
        <v/>
      </c>
      <c r="K115" s="52">
        <f>IFERROR(IF(INDEX('Faculties'!$N$58:$N$67,MATCH($F115,'Faculties'!$B$58:$B$67,0))="","Cell will autofill based on response",INDEX('Faculties'!$N$58:$N$67,MATCH($F115,'Faculties'!$B$58:$B$67,0))),"N/A")</f>
        <v/>
      </c>
      <c r="L115" s="52">
        <f>IFERROR(IF(INDEX('CI&amp;S'!$N$10:$N$15,MATCH($F115,'CI&amp;S'!$B$10:$B$15,0))="","Cell will autofill based on response",INDEX('CI&amp;S'!$N$10:$N$15,MATCH($F115,'CI&amp;S'!$B$10:$B$15,0))),"N/A")</f>
        <v/>
      </c>
      <c r="M115" s="52">
        <f>IFERROR(IF(INDEX('CI&amp;S'!$N$22:$N$36,MATCH($F115,'CI&amp;S'!$B$22:$B$36,0))="","Cell will autofill based on response",INDEX('CI&amp;S'!$N$22:$N$36,MATCH($F115,'CI&amp;S'!$B$22:$B$36,0))),"N/A")</f>
        <v/>
      </c>
      <c r="N115" s="52">
        <f>IFERROR(IF(INDEX('CFOG'!$N$10:$N$16,MATCH($F115,'CFOG'!$B$10:$B$16,0))="","Cell will autofill based on response",INDEX('CFOG'!$N$10:$N$16,MATCH($F115,'CFOG'!$B$10:$B$16,0))),"N/A")</f>
        <v/>
      </c>
      <c r="O115" s="52">
        <f>IFERROR(IF(INDEX('CFOG'!$N$23:$N$24,MATCH($F115,'CFOG'!$B$23:$B$24,0))="","Cell will autofill based on response",INDEX('CFOG'!$N$23:$N$24,MATCH($F115,'CFOG'!$B$23:$B$24,0))),"N/A")</f>
        <v/>
      </c>
      <c r="P115" s="52">
        <f>IFERROR(IF(INDEX('ESG'!$N$10:$N$17,MATCH($F115,'ESG'!$B$10:$B$17,0))="","Cell will autofill based on response",INDEX('ESG'!$N$10:$N$17,MATCH($F115,'ESG'!$B$10:$B$17,0))),"N/A")</f>
        <v/>
      </c>
      <c r="Q115" s="52">
        <f>IFERROR(IF(INDEX('CIOG'!$N$10:$N$14,MATCH($F115,'CIOG'!$B$10:$B$14,0))="","Cell will autofill based on response",INDEX('CIOG'!$N$10:$N$14,MATCH($F115,'CIOG'!$B$10:$B$14,0))),"N/A")</f>
        <v/>
      </c>
      <c r="R115" s="52">
        <f>IFERROR(IF(INDEX('MRE'!$N$10:$N$18,MATCH($F115,'MRE'!$B$10:$B$18,0))="","Cell will autofill based on response",INDEX('MRE'!$N$10:$N$18,MATCH($F115,'MRE'!$B$10:$B$18,0))),"N/A")</f>
        <v/>
      </c>
      <c r="S115" s="52">
        <f>IFERROR(IF(INDEX('AC&amp;M'!$N$10:$N$14,MATCH($F115,'AC&amp;M'!$B$10:$B$14,0))="","Cell will autofill based on response",INDEX('AC&amp;M'!$N$10:$N$14,MATCH($F115,'AC&amp;M'!$B$10:$B$14,0))),"N/A")</f>
        <v/>
      </c>
      <c r="T115" s="52">
        <f>IFERROR(IF(INDEX('GCE'!$N$10:$N$12,MATCH($F115,'GCE'!$B$10:$B$12,0))="","Cell will autofill based on response",INDEX('GCE'!$N$10:$N$12,MATCH($F115,'GCE'!$B$10:$B$12,0))),"N/A")</f>
        <v/>
      </c>
      <c r="U115" s="52">
        <f>IFERROR(IF(INDEX('Education'!$N$10:$N$13,MATCH($F115,'Education'!$B$10:$B$13,0))="","Cell will autofill based on response",INDEX('Education'!$N$10:$N$13,MATCH($F115,'Education'!$B$10:$B$13,0))),"N/A")</f>
        <v/>
      </c>
      <c r="V115" s="52">
        <f>IFERROR(IF(INDEX('SaSS'!$N$10:$N$12,MATCH($F115,'SaSS'!$B$10:$B$12,0))="","Cell will autofill based on response",INDEX('SaSS'!$N$10:$N$12,MATCH($F115,'SaSS'!$B$10:$B$12,0))),"N/A")</f>
        <v/>
      </c>
      <c r="W115" s="52">
        <f>IFERROR(IF(INDEX('Indigenous'!$N$10:$N$11,MATCH($F115,'Indigenous'!$B$10:$B$11,0))="","Cell will autofill based on response",INDEX('Indigenous'!$N$10:$N$11,MATCH($F115,'Indigenous'!$B$10:$B$11,0))),"N/A")</f>
        <v/>
      </c>
      <c r="X115" s="52">
        <f>IFERROR(IF(INDEX('L&amp;R'!$N$10:$N$11,MATCH($F115,'L&amp;R'!$B$10:$B$11,0))="","Cell will autofill based on response",INDEX('L&amp;R'!$N$10:$N$11,MATCH($F115,'L&amp;R'!$B$10:$B$11,0))),"N/A")</f>
        <v/>
      </c>
    </row>
    <row r="116">
      <c r="A116">
        <f>F116&amp;"|"&amp;G116</f>
        <v/>
      </c>
      <c r="B116" s="13" t="inlineStr"/>
      <c r="C116" s="8" t="inlineStr"/>
      <c r="D116" s="8" t="inlineStr"/>
      <c r="E116" s="8" t="inlineStr"/>
      <c r="F116" s="8" t="inlineStr">
        <is>
          <t>CL2(c)</t>
        </is>
      </c>
      <c r="G116" s="8" t="inlineStr">
        <is>
          <t>Supporting information/comments</t>
        </is>
      </c>
      <c r="H116" s="52">
        <f>IFERROR(IF(INDEX('Faculties'!$O$10:$O$19,MATCH($F116,'Faculties'!$B$10:$B$19,0))="","Cell will autofill based on response",INDEX('Faculties'!$O$10:$O$19,MATCH($F116,'Faculties'!$B$10:$B$19,0))),"N/A")</f>
        <v/>
      </c>
      <c r="I116" s="52">
        <f>IFERROR(IF(INDEX('Faculties'!$O$26:$O$35,MATCH($F116,'Faculties'!$B$26:$B$35,0))="","Cell will autofill based on response",INDEX('Faculties'!$O$26:$O$35,MATCH($F116,'Faculties'!$B$26:$B$35,0))),"N/A")</f>
        <v/>
      </c>
      <c r="J116" s="52">
        <f>IFERROR(IF(INDEX('Faculties'!$O$42:$O$51,MATCH($F116,'Faculties'!$B$42:$B$51,0))="","Cell will autofill based on response",INDEX('Faculties'!$O$42:$O$51,MATCH($F116,'Faculties'!$B$42:$B$51,0))),"N/A")</f>
        <v/>
      </c>
      <c r="K116" s="52">
        <f>IFERROR(IF(INDEX('Faculties'!$O$58:$O$67,MATCH($F116,'Faculties'!$B$58:$B$67,0))="","Cell will autofill based on response",INDEX('Faculties'!$O$58:$O$67,MATCH($F116,'Faculties'!$B$58:$B$67,0))),"N/A")</f>
        <v/>
      </c>
      <c r="L116" s="52">
        <f>IFERROR(IF(INDEX('CI&amp;S'!$O$10:$O$15,MATCH($F116,'CI&amp;S'!$B$10:$B$15,0))="","Cell will autofill based on response",INDEX('CI&amp;S'!$O$10:$O$15,MATCH($F116,'CI&amp;S'!$B$10:$B$15,0))),"N/A")</f>
        <v/>
      </c>
      <c r="M116" s="52">
        <f>IFERROR(IF(INDEX('CI&amp;S'!$O$22:$O$36,MATCH($F116,'CI&amp;S'!$B$22:$B$36,0))="","Cell will autofill based on response",INDEX('CI&amp;S'!$O$22:$O$36,MATCH($F116,'CI&amp;S'!$B$22:$B$36,0))),"N/A")</f>
        <v/>
      </c>
      <c r="N116" s="52">
        <f>IFERROR(IF(INDEX('CFOG'!$O$10:$O$16,MATCH($F116,'CFOG'!$B$10:$B$16,0))="","Cell will autofill based on response",INDEX('CFOG'!$O$10:$O$16,MATCH($F116,'CFOG'!$B$10:$B$16,0))),"N/A")</f>
        <v/>
      </c>
      <c r="O116" s="52">
        <f>IFERROR(IF(INDEX('CFOG'!$O$23:$O$24,MATCH($F116,'CFOG'!$B$23:$B$24,0))="","Cell will autofill based on response",INDEX('CFOG'!$O$23:$O$24,MATCH($F116,'CFOG'!$B$23:$B$24,0))),"N/A")</f>
        <v/>
      </c>
      <c r="P116" s="52">
        <f>IFERROR(IF(INDEX('ESG'!$O$10:$O$17,MATCH($F116,'ESG'!$B$10:$B$17,0))="","Cell will autofill based on response",INDEX('ESG'!$O$10:$O$17,MATCH($F116,'ESG'!$B$10:$B$17,0))),"N/A")</f>
        <v/>
      </c>
      <c r="Q116" s="52">
        <f>IFERROR(IF(INDEX('CIOG'!$O$10:$O$14,MATCH($F116,'CIOG'!$B$10:$B$14,0))="","Cell will autofill based on response",INDEX('CIOG'!$O$10:$O$14,MATCH($F116,'CIOG'!$B$10:$B$14,0))),"N/A")</f>
        <v/>
      </c>
      <c r="R116" s="52">
        <f>IFERROR(IF(INDEX('MRE'!$O$10:$O$18,MATCH($F116,'MRE'!$B$10:$B$18,0))="","Cell will autofill based on response",INDEX('MRE'!$O$10:$O$18,MATCH($F116,'MRE'!$B$10:$B$18,0))),"N/A")</f>
        <v/>
      </c>
      <c r="S116" s="52">
        <f>IFERROR(IF(INDEX('AC&amp;M'!$O$10:$O$14,MATCH($F116,'AC&amp;M'!$B$10:$B$14,0))="","Cell will autofill based on response",INDEX('AC&amp;M'!$O$10:$O$14,MATCH($F116,'AC&amp;M'!$B$10:$B$14,0))),"N/A")</f>
        <v/>
      </c>
      <c r="T116" s="52">
        <f>IFERROR(IF(INDEX('GCE'!$O$10:$O$12,MATCH($F116,'GCE'!$B$10:$B$12,0))="","Cell will autofill based on response",INDEX('GCE'!$O$10:$O$12,MATCH($F116,'GCE'!$B$10:$B$12,0))),"N/A")</f>
        <v/>
      </c>
      <c r="U116" s="52">
        <f>IFERROR(IF(INDEX('Education'!$O$10:$O$13,MATCH($F116,'Education'!$B$10:$B$13,0))="","Cell will autofill based on response",INDEX('Education'!$O$10:$O$13,MATCH($F116,'Education'!$B$10:$B$13,0))),"N/A")</f>
        <v/>
      </c>
      <c r="V116" s="52">
        <f>IFERROR(IF(INDEX('SaSS'!$O$10:$O$12,MATCH($F116,'SaSS'!$B$10:$B$12,0))="","Cell will autofill based on response",INDEX('SaSS'!$O$10:$O$12,MATCH($F116,'SaSS'!$B$10:$B$12,0))),"N/A")</f>
        <v/>
      </c>
      <c r="W116" s="52">
        <f>IFERROR(IF(INDEX('Indigenous'!$O$10:$O$11,MATCH($F116,'Indigenous'!$B$10:$B$11,0))="","Cell will autofill based on response",INDEX('Indigenous'!$O$10:$O$11,MATCH($F116,'Indigenous'!$B$10:$B$11,0))),"N/A")</f>
        <v/>
      </c>
      <c r="X116" s="52">
        <f>IFERROR(IF(INDEX('L&amp;R'!$O$10:$O$11,MATCH($F116,'L&amp;R'!$B$10:$B$11,0))="","Cell will autofill based on response",INDEX('L&amp;R'!$O$10:$O$11,MATCH($F116,'L&amp;R'!$B$10:$B$11,0))),"N/A")</f>
        <v/>
      </c>
    </row>
    <row r="117">
      <c r="A117">
        <f>F117&amp;"|"&amp;G117</f>
        <v/>
      </c>
      <c r="B117" s="13" t="inlineStr"/>
      <c r="C117" s="8" t="inlineStr"/>
      <c r="D117" s="8" t="inlineStr"/>
      <c r="E117" s="8" t="inlineStr"/>
      <c r="F117" s="8" t="inlineStr">
        <is>
          <t>CL2(c)</t>
        </is>
      </c>
      <c r="G117" s="8" t="inlineStr">
        <is>
          <t>Data source and limitations</t>
        </is>
      </c>
      <c r="H117" s="52">
        <f>IFERROR(IF(INDEX('Faculties'!$P$10:$P$19,MATCH($F117,'Faculties'!$B$10:$B$19,0))="","Cell will autofill based on response",INDEX('Faculties'!$P$10:$P$19,MATCH($F117,'Faculties'!$B$10:$B$19,0))),"N/A")</f>
        <v/>
      </c>
      <c r="I117" s="52">
        <f>IFERROR(IF(INDEX('Faculties'!$P$26:$P$35,MATCH($F117,'Faculties'!$B$26:$B$35,0))="","Cell will autofill based on response",INDEX('Faculties'!$P$26:$P$35,MATCH($F117,'Faculties'!$B$26:$B$35,0))),"N/A")</f>
        <v/>
      </c>
      <c r="J117" s="52">
        <f>IFERROR(IF(INDEX('Faculties'!$P$42:$P$51,MATCH($F117,'Faculties'!$B$42:$B$51,0))="","Cell will autofill based on response",INDEX('Faculties'!$P$42:$P$51,MATCH($F117,'Faculties'!$B$42:$B$51,0))),"N/A")</f>
        <v/>
      </c>
      <c r="K117" s="52">
        <f>IFERROR(IF(INDEX('Faculties'!$P$58:$P$67,MATCH($F117,'Faculties'!$B$58:$B$67,0))="","Cell will autofill based on response",INDEX('Faculties'!$P$58:$P$67,MATCH($F117,'Faculties'!$B$58:$B$67,0))),"N/A")</f>
        <v/>
      </c>
      <c r="L117" s="52">
        <f>IFERROR(IF(INDEX('CI&amp;S'!$P$10:$P$15,MATCH($F117,'CI&amp;S'!$B$10:$B$15,0))="","Cell will autofill based on response",INDEX('CI&amp;S'!$P$10:$P$15,MATCH($F117,'CI&amp;S'!$B$10:$B$15,0))),"N/A")</f>
        <v/>
      </c>
      <c r="M117" s="52">
        <f>IFERROR(IF(INDEX('CI&amp;S'!$P$22:$P$36,MATCH($F117,'CI&amp;S'!$B$22:$B$36,0))="","Cell will autofill based on response",INDEX('CI&amp;S'!$P$22:$P$36,MATCH($F117,'CI&amp;S'!$B$22:$B$36,0))),"N/A")</f>
        <v/>
      </c>
      <c r="N117" s="52">
        <f>IFERROR(IF(INDEX('CFOG'!$P$10:$P$16,MATCH($F117,'CFOG'!$B$10:$B$16,0))="","Cell will autofill based on response",INDEX('CFOG'!$P$10:$P$16,MATCH($F117,'CFOG'!$B$10:$B$16,0))),"N/A")</f>
        <v/>
      </c>
      <c r="O117" s="52">
        <f>IFERROR(IF(INDEX('CFOG'!$P$23:$P$24,MATCH($F117,'CFOG'!$B$23:$B$24,0))="","Cell will autofill based on response",INDEX('CFOG'!$P$23:$P$24,MATCH($F117,'CFOG'!$B$23:$B$24,0))),"N/A")</f>
        <v/>
      </c>
      <c r="P117" s="52">
        <f>IFERROR(IF(INDEX('ESG'!$P$10:$P$17,MATCH($F117,'ESG'!$B$10:$B$17,0))="","Cell will autofill based on response",INDEX('ESG'!$P$10:$P$17,MATCH($F117,'ESG'!$B$10:$B$17,0))),"N/A")</f>
        <v/>
      </c>
      <c r="Q117" s="52">
        <f>IFERROR(IF(INDEX('CIOG'!$P$10:$P$14,MATCH($F117,'CIOG'!$B$10:$B$14,0))="","Cell will autofill based on response",INDEX('CIOG'!$P$10:$P$14,MATCH($F117,'CIOG'!$B$10:$B$14,0))),"N/A")</f>
        <v/>
      </c>
      <c r="R117" s="52">
        <f>IFERROR(IF(INDEX('MRE'!$P$10:$P$18,MATCH($F117,'MRE'!$B$10:$B$18,0))="","Cell will autofill based on response",INDEX('MRE'!$P$10:$P$18,MATCH($F117,'MRE'!$B$10:$B$18,0))),"N/A")</f>
        <v/>
      </c>
      <c r="S117" s="52">
        <f>IFERROR(IF(INDEX('AC&amp;M'!$P$10:$P$14,MATCH($F117,'AC&amp;M'!$B$10:$B$14,0))="","Cell will autofill based on response",INDEX('AC&amp;M'!$P$10:$P$14,MATCH($F117,'AC&amp;M'!$B$10:$B$14,0))),"N/A")</f>
        <v/>
      </c>
      <c r="T117" s="52">
        <f>IFERROR(IF(INDEX('GCE'!$P$10:$P$12,MATCH($F117,'GCE'!$B$10:$B$12,0))="","Cell will autofill based on response",INDEX('GCE'!$P$10:$P$12,MATCH($F117,'GCE'!$B$10:$B$12,0))),"N/A")</f>
        <v/>
      </c>
      <c r="U117" s="52">
        <f>IFERROR(IF(INDEX('Education'!$P$10:$P$13,MATCH($F117,'Education'!$B$10:$B$13,0))="","Cell will autofill based on response",INDEX('Education'!$P$10:$P$13,MATCH($F117,'Education'!$B$10:$B$13,0))),"N/A")</f>
        <v/>
      </c>
      <c r="V117" s="52">
        <f>IFERROR(IF(INDEX('SaSS'!$P$10:$P$12,MATCH($F117,'SaSS'!$B$10:$B$12,0))="","Cell will autofill based on response",INDEX('SaSS'!$P$10:$P$12,MATCH($F117,'SaSS'!$B$10:$B$12,0))),"N/A")</f>
        <v/>
      </c>
      <c r="W117" s="52">
        <f>IFERROR(IF(INDEX('Indigenous'!$P$10:$P$11,MATCH($F117,'Indigenous'!$B$10:$B$11,0))="","Cell will autofill based on response",INDEX('Indigenous'!$P$10:$P$11,MATCH($F117,'Indigenous'!$B$10:$B$11,0))),"N/A")</f>
        <v/>
      </c>
      <c r="X117" s="52">
        <f>IFERROR(IF(INDEX('L&amp;R'!$P$10:$P$11,MATCH($F117,'L&amp;R'!$B$10:$B$11,0))="","Cell will autofill based on response",INDEX('L&amp;R'!$P$10:$P$11,MATCH($F117,'L&amp;R'!$B$10:$B$11,0))),"N/A")</f>
        <v/>
      </c>
    </row>
    <row r="118">
      <c r="A118">
        <f>F118&amp;"|"&amp;G118</f>
        <v/>
      </c>
      <c r="B118" s="13" t="inlineStr"/>
      <c r="C118" s="8" t="inlineStr"/>
      <c r="D118" s="8" t="inlineStr"/>
      <c r="E118" s="8" t="inlineStr"/>
      <c r="F118" s="8" t="inlineStr">
        <is>
          <t>CL2(c)</t>
        </is>
      </c>
      <c r="G118" s="8" t="inlineStr">
        <is>
          <t>Data owner confirms</t>
        </is>
      </c>
      <c r="H118" s="52">
        <f>IFERROR(IF(INDEX('Faculties'!$Q$10:$Q$19,MATCH($F118,'Faculties'!$B$10:$B$19,0))="","Cell will autofill based on response",INDEX('Faculties'!$Q$10:$Q$19,MATCH($F118,'Faculties'!$B$10:$B$19,0))),"N/A")</f>
        <v/>
      </c>
      <c r="I118" s="52">
        <f>IFERROR(IF(INDEX('Faculties'!$Q$26:$Q$35,MATCH($F118,'Faculties'!$B$26:$B$35,0))="","Cell will autofill based on response",INDEX('Faculties'!$Q$26:$Q$35,MATCH($F118,'Faculties'!$B$26:$B$35,0))),"N/A")</f>
        <v/>
      </c>
      <c r="J118" s="52">
        <f>IFERROR(IF(INDEX('Faculties'!$Q$42:$Q$51,MATCH($F118,'Faculties'!$B$42:$B$51,0))="","Cell will autofill based on response",INDEX('Faculties'!$Q$42:$Q$51,MATCH($F118,'Faculties'!$B$42:$B$51,0))),"N/A")</f>
        <v/>
      </c>
      <c r="K118" s="52">
        <f>IFERROR(IF(INDEX('Faculties'!$Q$58:$Q$67,MATCH($F118,'Faculties'!$B$58:$B$67,0))="","Cell will autofill based on response",INDEX('Faculties'!$Q$58:$Q$67,MATCH($F118,'Faculties'!$B$58:$B$67,0))),"N/A")</f>
        <v/>
      </c>
      <c r="L118" s="52">
        <f>IFERROR(IF(INDEX('CI&amp;S'!$Q$10:$Q$15,MATCH($F118,'CI&amp;S'!$B$10:$B$15,0))="","Cell will autofill based on response",INDEX('CI&amp;S'!$Q$10:$Q$15,MATCH($F118,'CI&amp;S'!$B$10:$B$15,0))),"N/A")</f>
        <v/>
      </c>
      <c r="M118" s="52">
        <f>IFERROR(IF(INDEX('CI&amp;S'!$Q$22:$Q$36,MATCH($F118,'CI&amp;S'!$B$22:$B$36,0))="","Cell will autofill based on response",INDEX('CI&amp;S'!$Q$22:$Q$36,MATCH($F118,'CI&amp;S'!$B$22:$B$36,0))),"N/A")</f>
        <v/>
      </c>
      <c r="N118" s="52">
        <f>IFERROR(IF(INDEX('CFOG'!$Q$10:$Q$16,MATCH($F118,'CFOG'!$B$10:$B$16,0))="","Cell will autofill based on response",INDEX('CFOG'!$Q$10:$Q$16,MATCH($F118,'CFOG'!$B$10:$B$16,0))),"N/A")</f>
        <v/>
      </c>
      <c r="O118" s="52">
        <f>IFERROR(IF(INDEX('CFOG'!$Q$23:$Q$24,MATCH($F118,'CFOG'!$B$23:$B$24,0))="","Cell will autofill based on response",INDEX('CFOG'!$Q$23:$Q$24,MATCH($F118,'CFOG'!$B$23:$B$24,0))),"N/A")</f>
        <v/>
      </c>
      <c r="P118" s="52">
        <f>IFERROR(IF(INDEX('ESG'!$Q$10:$Q$17,MATCH($F118,'ESG'!$B$10:$B$17,0))="","Cell will autofill based on response",INDEX('ESG'!$Q$10:$Q$17,MATCH($F118,'ESG'!$B$10:$B$17,0))),"N/A")</f>
        <v/>
      </c>
      <c r="Q118" s="52">
        <f>IFERROR(IF(INDEX('CIOG'!$Q$10:$Q$14,MATCH($F118,'CIOG'!$B$10:$B$14,0))="","Cell will autofill based on response",INDEX('CIOG'!$Q$10:$Q$14,MATCH($F118,'CIOG'!$B$10:$B$14,0))),"N/A")</f>
        <v/>
      </c>
      <c r="R118" s="52">
        <f>IFERROR(IF(INDEX('MRE'!$Q$10:$Q$18,MATCH($F118,'MRE'!$B$10:$B$18,0))="","Cell will autofill based on response",INDEX('MRE'!$Q$10:$Q$18,MATCH($F118,'MRE'!$B$10:$B$18,0))),"N/A")</f>
        <v/>
      </c>
      <c r="S118" s="52">
        <f>IFERROR(IF(INDEX('AC&amp;M'!$Q$10:$Q$14,MATCH($F118,'AC&amp;M'!$B$10:$B$14,0))="","Cell will autofill based on response",INDEX('AC&amp;M'!$Q$10:$Q$14,MATCH($F118,'AC&amp;M'!$B$10:$B$14,0))),"N/A")</f>
        <v/>
      </c>
      <c r="T118" s="52">
        <f>IFERROR(IF(INDEX('GCE'!$Q$10:$Q$12,MATCH($F118,'GCE'!$B$10:$B$12,0))="","Cell will autofill based on response",INDEX('GCE'!$Q$10:$Q$12,MATCH($F118,'GCE'!$B$10:$B$12,0))),"N/A")</f>
        <v/>
      </c>
      <c r="U118" s="52">
        <f>IFERROR(IF(INDEX('Education'!$Q$10:$Q$13,MATCH($F118,'Education'!$B$10:$B$13,0))="","Cell will autofill based on response",INDEX('Education'!$Q$10:$Q$13,MATCH($F118,'Education'!$B$10:$B$13,0))),"N/A")</f>
        <v/>
      </c>
      <c r="V118" s="52">
        <f>IFERROR(IF(INDEX('SaSS'!$Q$10:$Q$12,MATCH($F118,'SaSS'!$B$10:$B$12,0))="","Cell will autofill based on response",INDEX('SaSS'!$Q$10:$Q$12,MATCH($F118,'SaSS'!$B$10:$B$12,0))),"N/A")</f>
        <v/>
      </c>
      <c r="W118" s="52">
        <f>IFERROR(IF(INDEX('Indigenous'!$Q$10:$Q$11,MATCH($F118,'Indigenous'!$B$10:$B$11,0))="","Cell will autofill based on response",INDEX('Indigenous'!$Q$10:$Q$11,MATCH($F118,'Indigenous'!$B$10:$B$11,0))),"N/A")</f>
        <v/>
      </c>
      <c r="X118" s="52">
        <f>IFERROR(IF(INDEX('L&amp;R'!$Q$10:$Q$11,MATCH($F118,'L&amp;R'!$B$10:$B$11,0))="","Cell will autofill based on response",INDEX('L&amp;R'!$Q$10:$Q$11,MATCH($F118,'L&amp;R'!$B$10:$B$11,0))),"N/A")</f>
        <v/>
      </c>
    </row>
    <row r="119">
      <c r="A119">
        <f>F119&amp;"|"&amp;G119</f>
        <v/>
      </c>
      <c r="B119" s="7" t="inlineStr">
        <is>
          <t>CL3(a)</t>
        </is>
      </c>
      <c r="C119" s="50" t="inlineStr">
        <is>
          <t>Climate leadership</t>
        </is>
      </c>
      <c r="D119"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19" s="50" t="inlineStr">
        <is>
          <t>Provide update of University maturity assesment. Include maturity ratings, key gaps and priority improvement actions.when available</t>
        </is>
      </c>
      <c r="F119" s="50" t="inlineStr">
        <is>
          <t>CL3(a)</t>
        </is>
      </c>
      <c r="G119" s="50" t="inlineStr">
        <is>
          <t>Confirm end-2026 target status</t>
        </is>
      </c>
      <c r="H119" s="52">
        <f>IFERROR(IF(INDEX('Faculties'!$L$10:$L$19,MATCH($F119,'Faculties'!$B$10:$B$19,0))="","Cell will autofill based on response",INDEX('Faculties'!$L$10:$L$19,MATCH($F119,'Faculties'!$B$10:$B$19,0))),"N/A")</f>
        <v/>
      </c>
      <c r="I119" s="52">
        <f>IFERROR(IF(INDEX('Faculties'!$L$26:$L$35,MATCH($F119,'Faculties'!$B$26:$B$35,0))="","Cell will autofill based on response",INDEX('Faculties'!$L$26:$L$35,MATCH($F119,'Faculties'!$B$26:$B$35,0))),"N/A")</f>
        <v/>
      </c>
      <c r="J119" s="52">
        <f>IFERROR(IF(INDEX('Faculties'!$L$42:$L$51,MATCH($F119,'Faculties'!$B$42:$B$51,0))="","Cell will autofill based on response",INDEX('Faculties'!$L$42:$L$51,MATCH($F119,'Faculties'!$B$42:$B$51,0))),"N/A")</f>
        <v/>
      </c>
      <c r="K119" s="52">
        <f>IFERROR(IF(INDEX('Faculties'!$L$58:$L$67,MATCH($F119,'Faculties'!$B$58:$B$67,0))="","Cell will autofill based on response",INDEX('Faculties'!$L$58:$L$67,MATCH($F119,'Faculties'!$B$58:$B$67,0))),"N/A")</f>
        <v/>
      </c>
      <c r="L119" s="52">
        <f>IFERROR(IF(INDEX('CI&amp;S'!$L$10:$L$15,MATCH($F119,'CI&amp;S'!$B$10:$B$15,0))="","Cell will autofill based on response",INDEX('CI&amp;S'!$L$10:$L$15,MATCH($F119,'CI&amp;S'!$B$10:$B$15,0))),"N/A")</f>
        <v/>
      </c>
      <c r="M119" s="52">
        <f>IFERROR(IF(INDEX('CI&amp;S'!$L$22:$L$36,MATCH($F119,'CI&amp;S'!$B$22:$B$36,0))="","Cell will autofill based on response",INDEX('CI&amp;S'!$L$22:$L$36,MATCH($F119,'CI&amp;S'!$B$22:$B$36,0))),"N/A")</f>
        <v/>
      </c>
      <c r="N119" s="52">
        <f>IFERROR(IF(INDEX('CFOG'!$L$10:$L$16,MATCH($F119,'CFOG'!$B$10:$B$16,0))="","Cell will autofill based on response",INDEX('CFOG'!$L$10:$L$16,MATCH($F119,'CFOG'!$B$10:$B$16,0))),"N/A")</f>
        <v/>
      </c>
      <c r="O119" s="52">
        <f>IFERROR(IF(INDEX('CFOG'!$L$23:$L$24,MATCH($F119,'CFOG'!$B$23:$B$24,0))="","Cell will autofill based on response",INDEX('CFOG'!$L$23:$L$24,MATCH($F119,'CFOG'!$B$23:$B$24,0))),"N/A")</f>
        <v/>
      </c>
      <c r="P119" s="52">
        <f>IFERROR(IF(INDEX('ESG'!$L$10:$L$17,MATCH($F119,'ESG'!$B$10:$B$17,0))="","Cell will autofill based on response",INDEX('ESG'!$L$10:$L$17,MATCH($F119,'ESG'!$B$10:$B$17,0))),"N/A")</f>
        <v/>
      </c>
      <c r="Q119" s="52">
        <f>IFERROR(IF(INDEX('CIOG'!$L$10:$L$14,MATCH($F119,'CIOG'!$B$10:$B$14,0))="","Cell will autofill based on response",INDEX('CIOG'!$L$10:$L$14,MATCH($F119,'CIOG'!$B$10:$B$14,0))),"N/A")</f>
        <v/>
      </c>
      <c r="R119" s="52">
        <f>IFERROR(IF(INDEX('MRE'!$L$10:$L$18,MATCH($F119,'MRE'!$B$10:$B$18,0))="","Cell will autofill based on response",INDEX('MRE'!$L$10:$L$18,MATCH($F119,'MRE'!$B$10:$B$18,0))),"N/A")</f>
        <v/>
      </c>
      <c r="S119" s="52">
        <f>IFERROR(IF(INDEX('AC&amp;M'!$L$10:$L$14,MATCH($F119,'AC&amp;M'!$B$10:$B$14,0))="","Cell will autofill based on response",INDEX('AC&amp;M'!$L$10:$L$14,MATCH($F119,'AC&amp;M'!$B$10:$B$14,0))),"N/A")</f>
        <v/>
      </c>
      <c r="T119" s="52">
        <f>IFERROR(IF(INDEX('GCE'!$L$10:$L$12,MATCH($F119,'GCE'!$B$10:$B$12,0))="","Cell will autofill based on response",INDEX('GCE'!$L$10:$L$12,MATCH($F119,'GCE'!$B$10:$B$12,0))),"N/A")</f>
        <v/>
      </c>
      <c r="U119" s="52">
        <f>IFERROR(IF(INDEX('Education'!$L$10:$L$13,MATCH($F119,'Education'!$B$10:$B$13,0))="","Cell will autofill based on response",INDEX('Education'!$L$10:$L$13,MATCH($F119,'Education'!$B$10:$B$13,0))),"N/A")</f>
        <v/>
      </c>
      <c r="V119" s="52">
        <f>IFERROR(IF(INDEX('SaSS'!$L$10:$L$12,MATCH($F119,'SaSS'!$B$10:$B$12,0))="","Cell will autofill based on response",INDEX('SaSS'!$L$10:$L$12,MATCH($F119,'SaSS'!$B$10:$B$12,0))),"N/A")</f>
        <v/>
      </c>
      <c r="W119" s="52">
        <f>IFERROR(IF(INDEX('Indigenous'!$L$10:$L$11,MATCH($F119,'Indigenous'!$B$10:$B$11,0))="","Cell will autofill based on response",INDEX('Indigenous'!$L$10:$L$11,MATCH($F119,'Indigenous'!$B$10:$B$11,0))),"N/A")</f>
        <v/>
      </c>
      <c r="X119" s="52">
        <f>IFERROR(IF(INDEX('L&amp;R'!$L$10:$L$11,MATCH($F119,'L&amp;R'!$B$10:$B$11,0))="","Cell will autofill based on response",INDEX('L&amp;R'!$L$10:$L$11,MATCH($F119,'L&amp;R'!$B$10:$B$11,0))),"N/A")</f>
        <v/>
      </c>
      <c r="Z119" s="10">
        <f>COUNTIF($H119:$X119,"Cell will autofill based on response")</f>
        <v/>
      </c>
      <c r="AA119" s="10">
        <f>COUNTIF($H119:$X119,"Not yet started")</f>
        <v/>
      </c>
      <c r="AB119" s="10">
        <f>COUNTIF($H119:$X119,"Not met")</f>
        <v/>
      </c>
      <c r="AC119" s="10">
        <f>COUNTIF($H119:$X119,"Partially met")</f>
        <v/>
      </c>
      <c r="AD119" s="10">
        <f>COUNTIF($H119:$X119,"Met or exceeded")</f>
        <v/>
      </c>
      <c r="AE119" s="10">
        <f>3*AD119+2*AC119+AB119</f>
        <v/>
      </c>
      <c r="AF119" s="10">
        <f>AD119+AC119+AB119+AA119</f>
        <v/>
      </c>
      <c r="AG119" s="53">
        <f>IF(AF119&gt;0,AE119/AF119,"No valid responses to date")</f>
        <v/>
      </c>
      <c r="AH119" s="10">
        <f>IF(ISNUMBER(AG119),INDEX(Lists!$G$2:$G$5,MATCH(ROUND(AG119,0),Lists!$H$2:$H$5,0)),"")</f>
        <v/>
      </c>
      <c r="AI119" s="54">
        <f>IF(AF119&gt;0,AD119/AF119,"")</f>
        <v/>
      </c>
      <c r="AJ119" s="54">
        <f>IF(AF119&gt;0,(AD119+AC119)/AF119,"")</f>
        <v/>
      </c>
      <c r="AK119" s="10">
        <f>IF(AF119=0,"",IF(AI119&gt;0.75,"Met or exceeded",IF(AJ119&gt;=0.5,"Partially met","Not met")))</f>
        <v/>
      </c>
    </row>
    <row r="120">
      <c r="A120">
        <f>F120&amp;"|"&amp;G120</f>
        <v/>
      </c>
      <c r="B120" s="13" t="inlineStr"/>
      <c r="C120" s="8" t="inlineStr"/>
      <c r="D120" s="8" t="inlineStr"/>
      <c r="E120" s="8" t="inlineStr"/>
      <c r="F120" s="8" t="inlineStr">
        <is>
          <t>CL3(a)</t>
        </is>
      </c>
      <c r="G120" s="8" t="inlineStr">
        <is>
          <t>OPTION 1:  Target-level reporting</t>
        </is>
      </c>
      <c r="H120" s="52">
        <f>IFERROR(IF(INDEX('Faculties'!$M$10:$M$19,MATCH($F120,'Faculties'!$B$10:$B$19,0))="","Cell will autofill based on response",INDEX('Faculties'!$M$10:$M$19,MATCH($F120,'Faculties'!$B$10:$B$19,0))),"N/A")</f>
        <v/>
      </c>
      <c r="I120" s="52">
        <f>IFERROR(IF(INDEX('Faculties'!$M$26:$M$35,MATCH($F120,'Faculties'!$B$26:$B$35,0))="","Cell will autofill based on response",INDEX('Faculties'!$M$26:$M$35,MATCH($F120,'Faculties'!$B$26:$B$35,0))),"N/A")</f>
        <v/>
      </c>
      <c r="J120" s="52">
        <f>IFERROR(IF(INDEX('Faculties'!$M$42:$M$51,MATCH($F120,'Faculties'!$B$42:$B$51,0))="","Cell will autofill based on response",INDEX('Faculties'!$M$42:$M$51,MATCH($F120,'Faculties'!$B$42:$B$51,0))),"N/A")</f>
        <v/>
      </c>
      <c r="K120" s="52">
        <f>IFERROR(IF(INDEX('Faculties'!$M$58:$M$67,MATCH($F120,'Faculties'!$B$58:$B$67,0))="","Cell will autofill based on response",INDEX('Faculties'!$M$58:$M$67,MATCH($F120,'Faculties'!$B$58:$B$67,0))),"N/A")</f>
        <v/>
      </c>
      <c r="L120" s="52">
        <f>IFERROR(IF(INDEX('CI&amp;S'!$M$10:$M$15,MATCH($F120,'CI&amp;S'!$B$10:$B$15,0))="","Cell will autofill based on response",INDEX('CI&amp;S'!$M$10:$M$15,MATCH($F120,'CI&amp;S'!$B$10:$B$15,0))),"N/A")</f>
        <v/>
      </c>
      <c r="M120" s="52">
        <f>IFERROR(IF(INDEX('CI&amp;S'!$M$22:$M$36,MATCH($F120,'CI&amp;S'!$B$22:$B$36,0))="","Cell will autofill based on response",INDEX('CI&amp;S'!$M$22:$M$36,MATCH($F120,'CI&amp;S'!$B$22:$B$36,0))),"N/A")</f>
        <v/>
      </c>
      <c r="N120" s="52">
        <f>IFERROR(IF(INDEX('CFOG'!$M$10:$M$16,MATCH($F120,'CFOG'!$B$10:$B$16,0))="","Cell will autofill based on response",INDEX('CFOG'!$M$10:$M$16,MATCH($F120,'CFOG'!$B$10:$B$16,0))),"N/A")</f>
        <v/>
      </c>
      <c r="O120" s="52">
        <f>IFERROR(IF(INDEX('CFOG'!$M$23:$M$24,MATCH($F120,'CFOG'!$B$23:$B$24,0))="","Cell will autofill based on response",INDEX('CFOG'!$M$23:$M$24,MATCH($F120,'CFOG'!$B$23:$B$24,0))),"N/A")</f>
        <v/>
      </c>
      <c r="P120" s="52">
        <f>IFERROR(IF(INDEX('ESG'!$M$10:$M$17,MATCH($F120,'ESG'!$B$10:$B$17,0))="","Cell will autofill based on response",INDEX('ESG'!$M$10:$M$17,MATCH($F120,'ESG'!$B$10:$B$17,0))),"N/A")</f>
        <v/>
      </c>
      <c r="Q120" s="52">
        <f>IFERROR(IF(INDEX('CIOG'!$M$10:$M$14,MATCH($F120,'CIOG'!$B$10:$B$14,0))="","Cell will autofill based on response",INDEX('CIOG'!$M$10:$M$14,MATCH($F120,'CIOG'!$B$10:$B$14,0))),"N/A")</f>
        <v/>
      </c>
      <c r="R120" s="52">
        <f>IFERROR(IF(INDEX('MRE'!$M$10:$M$18,MATCH($F120,'MRE'!$B$10:$B$18,0))="","Cell will autofill based on response",INDEX('MRE'!$M$10:$M$18,MATCH($F120,'MRE'!$B$10:$B$18,0))),"N/A")</f>
        <v/>
      </c>
      <c r="S120" s="52">
        <f>IFERROR(IF(INDEX('AC&amp;M'!$M$10:$M$14,MATCH($F120,'AC&amp;M'!$B$10:$B$14,0))="","Cell will autofill based on response",INDEX('AC&amp;M'!$M$10:$M$14,MATCH($F120,'AC&amp;M'!$B$10:$B$14,0))),"N/A")</f>
        <v/>
      </c>
      <c r="T120" s="52">
        <f>IFERROR(IF(INDEX('GCE'!$M$10:$M$12,MATCH($F120,'GCE'!$B$10:$B$12,0))="","Cell will autofill based on response",INDEX('GCE'!$M$10:$M$12,MATCH($F120,'GCE'!$B$10:$B$12,0))),"N/A")</f>
        <v/>
      </c>
      <c r="U120" s="52">
        <f>IFERROR(IF(INDEX('Education'!$M$10:$M$13,MATCH($F120,'Education'!$B$10:$B$13,0))="","Cell will autofill based on response",INDEX('Education'!$M$10:$M$13,MATCH($F120,'Education'!$B$10:$B$13,0))),"N/A")</f>
        <v/>
      </c>
      <c r="V120" s="52">
        <f>IFERROR(IF(INDEX('SaSS'!$M$10:$M$12,MATCH($F120,'SaSS'!$B$10:$B$12,0))="","Cell will autofill based on response",INDEX('SaSS'!$M$10:$M$12,MATCH($F120,'SaSS'!$B$10:$B$12,0))),"N/A")</f>
        <v/>
      </c>
      <c r="W120" s="52">
        <f>IFERROR(IF(INDEX('Indigenous'!$M$10:$M$11,MATCH($F120,'Indigenous'!$B$10:$B$11,0))="","Cell will autofill based on response",INDEX('Indigenous'!$M$10:$M$11,MATCH($F120,'Indigenous'!$B$10:$B$11,0))),"N/A")</f>
        <v/>
      </c>
      <c r="X120" s="52">
        <f>IFERROR(IF(INDEX('L&amp;R'!$M$10:$M$11,MATCH($F120,'L&amp;R'!$B$10:$B$11,0))="","Cell will autofill based on response",INDEX('L&amp;R'!$M$10:$M$11,MATCH($F120,'L&amp;R'!$B$10:$B$11,0))),"N/A")</f>
        <v/>
      </c>
    </row>
    <row r="121">
      <c r="A121">
        <f>F121&amp;"|"&amp;G121</f>
        <v/>
      </c>
      <c r="B121" s="13" t="inlineStr"/>
      <c r="C121" s="8" t="inlineStr"/>
      <c r="D121" s="8" t="inlineStr"/>
      <c r="E121" s="8" t="inlineStr"/>
      <c r="F121" s="8" t="inlineStr">
        <is>
          <t>CL3(a)</t>
        </is>
      </c>
      <c r="G121" s="8" t="inlineStr">
        <is>
          <t>OPTION 2:  Indicator level reporting</t>
        </is>
      </c>
      <c r="H121" s="52">
        <f>IFERROR(IF(INDEX('Faculties'!$N$10:$N$19,MATCH($F121,'Faculties'!$B$10:$B$19,0))="","Cell will autofill based on response",INDEX('Faculties'!$N$10:$N$19,MATCH($F121,'Faculties'!$B$10:$B$19,0))),"N/A")</f>
        <v/>
      </c>
      <c r="I121" s="52">
        <f>IFERROR(IF(INDEX('Faculties'!$N$26:$N$35,MATCH($F121,'Faculties'!$B$26:$B$35,0))="","Cell will autofill based on response",INDEX('Faculties'!$N$26:$N$35,MATCH($F121,'Faculties'!$B$26:$B$35,0))),"N/A")</f>
        <v/>
      </c>
      <c r="J121" s="52">
        <f>IFERROR(IF(INDEX('Faculties'!$N$42:$N$51,MATCH($F121,'Faculties'!$B$42:$B$51,0))="","Cell will autofill based on response",INDEX('Faculties'!$N$42:$N$51,MATCH($F121,'Faculties'!$B$42:$B$51,0))),"N/A")</f>
        <v/>
      </c>
      <c r="K121" s="52">
        <f>IFERROR(IF(INDEX('Faculties'!$N$58:$N$67,MATCH($F121,'Faculties'!$B$58:$B$67,0))="","Cell will autofill based on response",INDEX('Faculties'!$N$58:$N$67,MATCH($F121,'Faculties'!$B$58:$B$67,0))),"N/A")</f>
        <v/>
      </c>
      <c r="L121" s="52">
        <f>IFERROR(IF(INDEX('CI&amp;S'!$N$10:$N$15,MATCH($F121,'CI&amp;S'!$B$10:$B$15,0))="","Cell will autofill based on response",INDEX('CI&amp;S'!$N$10:$N$15,MATCH($F121,'CI&amp;S'!$B$10:$B$15,0))),"N/A")</f>
        <v/>
      </c>
      <c r="M121" s="52">
        <f>IFERROR(IF(INDEX('CI&amp;S'!$N$22:$N$36,MATCH($F121,'CI&amp;S'!$B$22:$B$36,0))="","Cell will autofill based on response",INDEX('CI&amp;S'!$N$22:$N$36,MATCH($F121,'CI&amp;S'!$B$22:$B$36,0))),"N/A")</f>
        <v/>
      </c>
      <c r="N121" s="52">
        <f>IFERROR(IF(INDEX('CFOG'!$N$10:$N$16,MATCH($F121,'CFOG'!$B$10:$B$16,0))="","Cell will autofill based on response",INDEX('CFOG'!$N$10:$N$16,MATCH($F121,'CFOG'!$B$10:$B$16,0))),"N/A")</f>
        <v/>
      </c>
      <c r="O121" s="52">
        <f>IFERROR(IF(INDEX('CFOG'!$N$23:$N$24,MATCH($F121,'CFOG'!$B$23:$B$24,0))="","Cell will autofill based on response",INDEX('CFOG'!$N$23:$N$24,MATCH($F121,'CFOG'!$B$23:$B$24,0))),"N/A")</f>
        <v/>
      </c>
      <c r="P121" s="52">
        <f>IFERROR(IF(INDEX('ESG'!$N$10:$N$17,MATCH($F121,'ESG'!$B$10:$B$17,0))="","Cell will autofill based on response",INDEX('ESG'!$N$10:$N$17,MATCH($F121,'ESG'!$B$10:$B$17,0))),"N/A")</f>
        <v/>
      </c>
      <c r="Q121" s="52">
        <f>IFERROR(IF(INDEX('CIOG'!$N$10:$N$14,MATCH($F121,'CIOG'!$B$10:$B$14,0))="","Cell will autofill based on response",INDEX('CIOG'!$N$10:$N$14,MATCH($F121,'CIOG'!$B$10:$B$14,0))),"N/A")</f>
        <v/>
      </c>
      <c r="R121" s="52">
        <f>IFERROR(IF(INDEX('MRE'!$N$10:$N$18,MATCH($F121,'MRE'!$B$10:$B$18,0))="","Cell will autofill based on response",INDEX('MRE'!$N$10:$N$18,MATCH($F121,'MRE'!$B$10:$B$18,0))),"N/A")</f>
        <v/>
      </c>
      <c r="S121" s="52">
        <f>IFERROR(IF(INDEX('AC&amp;M'!$N$10:$N$14,MATCH($F121,'AC&amp;M'!$B$10:$B$14,0))="","Cell will autofill based on response",INDEX('AC&amp;M'!$N$10:$N$14,MATCH($F121,'AC&amp;M'!$B$10:$B$14,0))),"N/A")</f>
        <v/>
      </c>
      <c r="T121" s="52">
        <f>IFERROR(IF(INDEX('GCE'!$N$10:$N$12,MATCH($F121,'GCE'!$B$10:$B$12,0))="","Cell will autofill based on response",INDEX('GCE'!$N$10:$N$12,MATCH($F121,'GCE'!$B$10:$B$12,0))),"N/A")</f>
        <v/>
      </c>
      <c r="U121" s="52">
        <f>IFERROR(IF(INDEX('Education'!$N$10:$N$13,MATCH($F121,'Education'!$B$10:$B$13,0))="","Cell will autofill based on response",INDEX('Education'!$N$10:$N$13,MATCH($F121,'Education'!$B$10:$B$13,0))),"N/A")</f>
        <v/>
      </c>
      <c r="V121" s="52">
        <f>IFERROR(IF(INDEX('SaSS'!$N$10:$N$12,MATCH($F121,'SaSS'!$B$10:$B$12,0))="","Cell will autofill based on response",INDEX('SaSS'!$N$10:$N$12,MATCH($F121,'SaSS'!$B$10:$B$12,0))),"N/A")</f>
        <v/>
      </c>
      <c r="W121" s="52">
        <f>IFERROR(IF(INDEX('Indigenous'!$N$10:$N$11,MATCH($F121,'Indigenous'!$B$10:$B$11,0))="","Cell will autofill based on response",INDEX('Indigenous'!$N$10:$N$11,MATCH($F121,'Indigenous'!$B$10:$B$11,0))),"N/A")</f>
        <v/>
      </c>
      <c r="X121" s="52">
        <f>IFERROR(IF(INDEX('L&amp;R'!$N$10:$N$11,MATCH($F121,'L&amp;R'!$B$10:$B$11,0))="","Cell will autofill based on response",INDEX('L&amp;R'!$N$10:$N$11,MATCH($F121,'L&amp;R'!$B$10:$B$11,0))),"N/A")</f>
        <v/>
      </c>
    </row>
    <row r="122">
      <c r="A122">
        <f>F122&amp;"|"&amp;G122</f>
        <v/>
      </c>
      <c r="B122" s="13" t="inlineStr"/>
      <c r="C122" s="8" t="inlineStr"/>
      <c r="D122" s="8" t="inlineStr"/>
      <c r="E122" s="8" t="inlineStr"/>
      <c r="F122" s="8" t="inlineStr">
        <is>
          <t>CL3(a)</t>
        </is>
      </c>
      <c r="G122" s="8" t="inlineStr">
        <is>
          <t>Supporting information/comments</t>
        </is>
      </c>
      <c r="H122" s="52">
        <f>IFERROR(IF(INDEX('Faculties'!$O$10:$O$19,MATCH($F122,'Faculties'!$B$10:$B$19,0))="","Cell will autofill based on response",INDEX('Faculties'!$O$10:$O$19,MATCH($F122,'Faculties'!$B$10:$B$19,0))),"N/A")</f>
        <v/>
      </c>
      <c r="I122" s="52">
        <f>IFERROR(IF(INDEX('Faculties'!$O$26:$O$35,MATCH($F122,'Faculties'!$B$26:$B$35,0))="","Cell will autofill based on response",INDEX('Faculties'!$O$26:$O$35,MATCH($F122,'Faculties'!$B$26:$B$35,0))),"N/A")</f>
        <v/>
      </c>
      <c r="J122" s="52">
        <f>IFERROR(IF(INDEX('Faculties'!$O$42:$O$51,MATCH($F122,'Faculties'!$B$42:$B$51,0))="","Cell will autofill based on response",INDEX('Faculties'!$O$42:$O$51,MATCH($F122,'Faculties'!$B$42:$B$51,0))),"N/A")</f>
        <v/>
      </c>
      <c r="K122" s="52">
        <f>IFERROR(IF(INDEX('Faculties'!$O$58:$O$67,MATCH($F122,'Faculties'!$B$58:$B$67,0))="","Cell will autofill based on response",INDEX('Faculties'!$O$58:$O$67,MATCH($F122,'Faculties'!$B$58:$B$67,0))),"N/A")</f>
        <v/>
      </c>
      <c r="L122" s="52">
        <f>IFERROR(IF(INDEX('CI&amp;S'!$O$10:$O$15,MATCH($F122,'CI&amp;S'!$B$10:$B$15,0))="","Cell will autofill based on response",INDEX('CI&amp;S'!$O$10:$O$15,MATCH($F122,'CI&amp;S'!$B$10:$B$15,0))),"N/A")</f>
        <v/>
      </c>
      <c r="M122" s="52">
        <f>IFERROR(IF(INDEX('CI&amp;S'!$O$22:$O$36,MATCH($F122,'CI&amp;S'!$B$22:$B$36,0))="","Cell will autofill based on response",INDEX('CI&amp;S'!$O$22:$O$36,MATCH($F122,'CI&amp;S'!$B$22:$B$36,0))),"N/A")</f>
        <v/>
      </c>
      <c r="N122" s="52">
        <f>IFERROR(IF(INDEX('CFOG'!$O$10:$O$16,MATCH($F122,'CFOG'!$B$10:$B$16,0))="","Cell will autofill based on response",INDEX('CFOG'!$O$10:$O$16,MATCH($F122,'CFOG'!$B$10:$B$16,0))),"N/A")</f>
        <v/>
      </c>
      <c r="O122" s="52">
        <f>IFERROR(IF(INDEX('CFOG'!$O$23:$O$24,MATCH($F122,'CFOG'!$B$23:$B$24,0))="","Cell will autofill based on response",INDEX('CFOG'!$O$23:$O$24,MATCH($F122,'CFOG'!$B$23:$B$24,0))),"N/A")</f>
        <v/>
      </c>
      <c r="P122" s="52">
        <f>IFERROR(IF(INDEX('ESG'!$O$10:$O$17,MATCH($F122,'ESG'!$B$10:$B$17,0))="","Cell will autofill based on response",INDEX('ESG'!$O$10:$O$17,MATCH($F122,'ESG'!$B$10:$B$17,0))),"N/A")</f>
        <v/>
      </c>
      <c r="Q122" s="52">
        <f>IFERROR(IF(INDEX('CIOG'!$O$10:$O$14,MATCH($F122,'CIOG'!$B$10:$B$14,0))="","Cell will autofill based on response",INDEX('CIOG'!$O$10:$O$14,MATCH($F122,'CIOG'!$B$10:$B$14,0))),"N/A")</f>
        <v/>
      </c>
      <c r="R122" s="52">
        <f>IFERROR(IF(INDEX('MRE'!$O$10:$O$18,MATCH($F122,'MRE'!$B$10:$B$18,0))="","Cell will autofill based on response",INDEX('MRE'!$O$10:$O$18,MATCH($F122,'MRE'!$B$10:$B$18,0))),"N/A")</f>
        <v/>
      </c>
      <c r="S122" s="52">
        <f>IFERROR(IF(INDEX('AC&amp;M'!$O$10:$O$14,MATCH($F122,'AC&amp;M'!$B$10:$B$14,0))="","Cell will autofill based on response",INDEX('AC&amp;M'!$O$10:$O$14,MATCH($F122,'AC&amp;M'!$B$10:$B$14,0))),"N/A")</f>
        <v/>
      </c>
      <c r="T122" s="52">
        <f>IFERROR(IF(INDEX('GCE'!$O$10:$O$12,MATCH($F122,'GCE'!$B$10:$B$12,0))="","Cell will autofill based on response",INDEX('GCE'!$O$10:$O$12,MATCH($F122,'GCE'!$B$10:$B$12,0))),"N/A")</f>
        <v/>
      </c>
      <c r="U122" s="52">
        <f>IFERROR(IF(INDEX('Education'!$O$10:$O$13,MATCH($F122,'Education'!$B$10:$B$13,0))="","Cell will autofill based on response",INDEX('Education'!$O$10:$O$13,MATCH($F122,'Education'!$B$10:$B$13,0))),"N/A")</f>
        <v/>
      </c>
      <c r="V122" s="52">
        <f>IFERROR(IF(INDEX('SaSS'!$O$10:$O$12,MATCH($F122,'SaSS'!$B$10:$B$12,0))="","Cell will autofill based on response",INDEX('SaSS'!$O$10:$O$12,MATCH($F122,'SaSS'!$B$10:$B$12,0))),"N/A")</f>
        <v/>
      </c>
      <c r="W122" s="52">
        <f>IFERROR(IF(INDEX('Indigenous'!$O$10:$O$11,MATCH($F122,'Indigenous'!$B$10:$B$11,0))="","Cell will autofill based on response",INDEX('Indigenous'!$O$10:$O$11,MATCH($F122,'Indigenous'!$B$10:$B$11,0))),"N/A")</f>
        <v/>
      </c>
      <c r="X122" s="52">
        <f>IFERROR(IF(INDEX('L&amp;R'!$O$10:$O$11,MATCH($F122,'L&amp;R'!$B$10:$B$11,0))="","Cell will autofill based on response",INDEX('L&amp;R'!$O$10:$O$11,MATCH($F122,'L&amp;R'!$B$10:$B$11,0))),"N/A")</f>
        <v/>
      </c>
    </row>
    <row r="123">
      <c r="A123">
        <f>F123&amp;"|"&amp;G123</f>
        <v/>
      </c>
      <c r="B123" s="13" t="inlineStr"/>
      <c r="C123" s="8" t="inlineStr"/>
      <c r="D123" s="8" t="inlineStr"/>
      <c r="E123" s="8" t="inlineStr"/>
      <c r="F123" s="8" t="inlineStr">
        <is>
          <t>CL3(a)</t>
        </is>
      </c>
      <c r="G123" s="8" t="inlineStr">
        <is>
          <t>Data source and limitations</t>
        </is>
      </c>
      <c r="H123" s="52">
        <f>IFERROR(IF(INDEX('Faculties'!$P$10:$P$19,MATCH($F123,'Faculties'!$B$10:$B$19,0))="","Cell will autofill based on response",INDEX('Faculties'!$P$10:$P$19,MATCH($F123,'Faculties'!$B$10:$B$19,0))),"N/A")</f>
        <v/>
      </c>
      <c r="I123" s="52">
        <f>IFERROR(IF(INDEX('Faculties'!$P$26:$P$35,MATCH($F123,'Faculties'!$B$26:$B$35,0))="","Cell will autofill based on response",INDEX('Faculties'!$P$26:$P$35,MATCH($F123,'Faculties'!$B$26:$B$35,0))),"N/A")</f>
        <v/>
      </c>
      <c r="J123" s="52">
        <f>IFERROR(IF(INDEX('Faculties'!$P$42:$P$51,MATCH($F123,'Faculties'!$B$42:$B$51,0))="","Cell will autofill based on response",INDEX('Faculties'!$P$42:$P$51,MATCH($F123,'Faculties'!$B$42:$B$51,0))),"N/A")</f>
        <v/>
      </c>
      <c r="K123" s="52">
        <f>IFERROR(IF(INDEX('Faculties'!$P$58:$P$67,MATCH($F123,'Faculties'!$B$58:$B$67,0))="","Cell will autofill based on response",INDEX('Faculties'!$P$58:$P$67,MATCH($F123,'Faculties'!$B$58:$B$67,0))),"N/A")</f>
        <v/>
      </c>
      <c r="L123" s="52">
        <f>IFERROR(IF(INDEX('CI&amp;S'!$P$10:$P$15,MATCH($F123,'CI&amp;S'!$B$10:$B$15,0))="","Cell will autofill based on response",INDEX('CI&amp;S'!$P$10:$P$15,MATCH($F123,'CI&amp;S'!$B$10:$B$15,0))),"N/A")</f>
        <v/>
      </c>
      <c r="M123" s="52">
        <f>IFERROR(IF(INDEX('CI&amp;S'!$P$22:$P$36,MATCH($F123,'CI&amp;S'!$B$22:$B$36,0))="","Cell will autofill based on response",INDEX('CI&amp;S'!$P$22:$P$36,MATCH($F123,'CI&amp;S'!$B$22:$B$36,0))),"N/A")</f>
        <v/>
      </c>
      <c r="N123" s="52">
        <f>IFERROR(IF(INDEX('CFOG'!$P$10:$P$16,MATCH($F123,'CFOG'!$B$10:$B$16,0))="","Cell will autofill based on response",INDEX('CFOG'!$P$10:$P$16,MATCH($F123,'CFOG'!$B$10:$B$16,0))),"N/A")</f>
        <v/>
      </c>
      <c r="O123" s="52">
        <f>IFERROR(IF(INDEX('CFOG'!$P$23:$P$24,MATCH($F123,'CFOG'!$B$23:$B$24,0))="","Cell will autofill based on response",INDEX('CFOG'!$P$23:$P$24,MATCH($F123,'CFOG'!$B$23:$B$24,0))),"N/A")</f>
        <v/>
      </c>
      <c r="P123" s="52">
        <f>IFERROR(IF(INDEX('ESG'!$P$10:$P$17,MATCH($F123,'ESG'!$B$10:$B$17,0))="","Cell will autofill based on response",INDEX('ESG'!$P$10:$P$17,MATCH($F123,'ESG'!$B$10:$B$17,0))),"N/A")</f>
        <v/>
      </c>
      <c r="Q123" s="52">
        <f>IFERROR(IF(INDEX('CIOG'!$P$10:$P$14,MATCH($F123,'CIOG'!$B$10:$B$14,0))="","Cell will autofill based on response",INDEX('CIOG'!$P$10:$P$14,MATCH($F123,'CIOG'!$B$10:$B$14,0))),"N/A")</f>
        <v/>
      </c>
      <c r="R123" s="52">
        <f>IFERROR(IF(INDEX('MRE'!$P$10:$P$18,MATCH($F123,'MRE'!$B$10:$B$18,0))="","Cell will autofill based on response",INDEX('MRE'!$P$10:$P$18,MATCH($F123,'MRE'!$B$10:$B$18,0))),"N/A")</f>
        <v/>
      </c>
      <c r="S123" s="52">
        <f>IFERROR(IF(INDEX('AC&amp;M'!$P$10:$P$14,MATCH($F123,'AC&amp;M'!$B$10:$B$14,0))="","Cell will autofill based on response",INDEX('AC&amp;M'!$P$10:$P$14,MATCH($F123,'AC&amp;M'!$B$10:$B$14,0))),"N/A")</f>
        <v/>
      </c>
      <c r="T123" s="52">
        <f>IFERROR(IF(INDEX('GCE'!$P$10:$P$12,MATCH($F123,'GCE'!$B$10:$B$12,0))="","Cell will autofill based on response",INDEX('GCE'!$P$10:$P$12,MATCH($F123,'GCE'!$B$10:$B$12,0))),"N/A")</f>
        <v/>
      </c>
      <c r="U123" s="52">
        <f>IFERROR(IF(INDEX('Education'!$P$10:$P$13,MATCH($F123,'Education'!$B$10:$B$13,0))="","Cell will autofill based on response",INDEX('Education'!$P$10:$P$13,MATCH($F123,'Education'!$B$10:$B$13,0))),"N/A")</f>
        <v/>
      </c>
      <c r="V123" s="52">
        <f>IFERROR(IF(INDEX('SaSS'!$P$10:$P$12,MATCH($F123,'SaSS'!$B$10:$B$12,0))="","Cell will autofill based on response",INDEX('SaSS'!$P$10:$P$12,MATCH($F123,'SaSS'!$B$10:$B$12,0))),"N/A")</f>
        <v/>
      </c>
      <c r="W123" s="52">
        <f>IFERROR(IF(INDEX('Indigenous'!$P$10:$P$11,MATCH($F123,'Indigenous'!$B$10:$B$11,0))="","Cell will autofill based on response",INDEX('Indigenous'!$P$10:$P$11,MATCH($F123,'Indigenous'!$B$10:$B$11,0))),"N/A")</f>
        <v/>
      </c>
      <c r="X123" s="52">
        <f>IFERROR(IF(INDEX('L&amp;R'!$P$10:$P$11,MATCH($F123,'L&amp;R'!$B$10:$B$11,0))="","Cell will autofill based on response",INDEX('L&amp;R'!$P$10:$P$11,MATCH($F123,'L&amp;R'!$B$10:$B$11,0))),"N/A")</f>
        <v/>
      </c>
    </row>
    <row r="124">
      <c r="A124">
        <f>F124&amp;"|"&amp;G124</f>
        <v/>
      </c>
      <c r="B124" s="13" t="inlineStr"/>
      <c r="C124" s="8" t="inlineStr"/>
      <c r="D124" s="8" t="inlineStr"/>
      <c r="E124" s="8" t="inlineStr"/>
      <c r="F124" s="8" t="inlineStr">
        <is>
          <t>CL3(a)</t>
        </is>
      </c>
      <c r="G124" s="8" t="inlineStr">
        <is>
          <t>Data owner confirms</t>
        </is>
      </c>
      <c r="H124" s="52">
        <f>IFERROR(IF(INDEX('Faculties'!$Q$10:$Q$19,MATCH($F124,'Faculties'!$B$10:$B$19,0))="","Cell will autofill based on response",INDEX('Faculties'!$Q$10:$Q$19,MATCH($F124,'Faculties'!$B$10:$B$19,0))),"N/A")</f>
        <v/>
      </c>
      <c r="I124" s="52">
        <f>IFERROR(IF(INDEX('Faculties'!$Q$26:$Q$35,MATCH($F124,'Faculties'!$B$26:$B$35,0))="","Cell will autofill based on response",INDEX('Faculties'!$Q$26:$Q$35,MATCH($F124,'Faculties'!$B$26:$B$35,0))),"N/A")</f>
        <v/>
      </c>
      <c r="J124" s="52">
        <f>IFERROR(IF(INDEX('Faculties'!$Q$42:$Q$51,MATCH($F124,'Faculties'!$B$42:$B$51,0))="","Cell will autofill based on response",INDEX('Faculties'!$Q$42:$Q$51,MATCH($F124,'Faculties'!$B$42:$B$51,0))),"N/A")</f>
        <v/>
      </c>
      <c r="K124" s="52">
        <f>IFERROR(IF(INDEX('Faculties'!$Q$58:$Q$67,MATCH($F124,'Faculties'!$B$58:$B$67,0))="","Cell will autofill based on response",INDEX('Faculties'!$Q$58:$Q$67,MATCH($F124,'Faculties'!$B$58:$B$67,0))),"N/A")</f>
        <v/>
      </c>
      <c r="L124" s="52">
        <f>IFERROR(IF(INDEX('CI&amp;S'!$Q$10:$Q$15,MATCH($F124,'CI&amp;S'!$B$10:$B$15,0))="","Cell will autofill based on response",INDEX('CI&amp;S'!$Q$10:$Q$15,MATCH($F124,'CI&amp;S'!$B$10:$B$15,0))),"N/A")</f>
        <v/>
      </c>
      <c r="M124" s="52">
        <f>IFERROR(IF(INDEX('CI&amp;S'!$Q$22:$Q$36,MATCH($F124,'CI&amp;S'!$B$22:$B$36,0))="","Cell will autofill based on response",INDEX('CI&amp;S'!$Q$22:$Q$36,MATCH($F124,'CI&amp;S'!$B$22:$B$36,0))),"N/A")</f>
        <v/>
      </c>
      <c r="N124" s="52">
        <f>IFERROR(IF(INDEX('CFOG'!$Q$10:$Q$16,MATCH($F124,'CFOG'!$B$10:$B$16,0))="","Cell will autofill based on response",INDEX('CFOG'!$Q$10:$Q$16,MATCH($F124,'CFOG'!$B$10:$B$16,0))),"N/A")</f>
        <v/>
      </c>
      <c r="O124" s="52">
        <f>IFERROR(IF(INDEX('CFOG'!$Q$23:$Q$24,MATCH($F124,'CFOG'!$B$23:$B$24,0))="","Cell will autofill based on response",INDEX('CFOG'!$Q$23:$Q$24,MATCH($F124,'CFOG'!$B$23:$B$24,0))),"N/A")</f>
        <v/>
      </c>
      <c r="P124" s="52">
        <f>IFERROR(IF(INDEX('ESG'!$Q$10:$Q$17,MATCH($F124,'ESG'!$B$10:$B$17,0))="","Cell will autofill based on response",INDEX('ESG'!$Q$10:$Q$17,MATCH($F124,'ESG'!$B$10:$B$17,0))),"N/A")</f>
        <v/>
      </c>
      <c r="Q124" s="52">
        <f>IFERROR(IF(INDEX('CIOG'!$Q$10:$Q$14,MATCH($F124,'CIOG'!$B$10:$B$14,0))="","Cell will autofill based on response",INDEX('CIOG'!$Q$10:$Q$14,MATCH($F124,'CIOG'!$B$10:$B$14,0))),"N/A")</f>
        <v/>
      </c>
      <c r="R124" s="52">
        <f>IFERROR(IF(INDEX('MRE'!$Q$10:$Q$18,MATCH($F124,'MRE'!$B$10:$B$18,0))="","Cell will autofill based on response",INDEX('MRE'!$Q$10:$Q$18,MATCH($F124,'MRE'!$B$10:$B$18,0))),"N/A")</f>
        <v/>
      </c>
      <c r="S124" s="52">
        <f>IFERROR(IF(INDEX('AC&amp;M'!$Q$10:$Q$14,MATCH($F124,'AC&amp;M'!$B$10:$B$14,0))="","Cell will autofill based on response",INDEX('AC&amp;M'!$Q$10:$Q$14,MATCH($F124,'AC&amp;M'!$B$10:$B$14,0))),"N/A")</f>
        <v/>
      </c>
      <c r="T124" s="52">
        <f>IFERROR(IF(INDEX('GCE'!$Q$10:$Q$12,MATCH($F124,'GCE'!$B$10:$B$12,0))="","Cell will autofill based on response",INDEX('GCE'!$Q$10:$Q$12,MATCH($F124,'GCE'!$B$10:$B$12,0))),"N/A")</f>
        <v/>
      </c>
      <c r="U124" s="52">
        <f>IFERROR(IF(INDEX('Education'!$Q$10:$Q$13,MATCH($F124,'Education'!$B$10:$B$13,0))="","Cell will autofill based on response",INDEX('Education'!$Q$10:$Q$13,MATCH($F124,'Education'!$B$10:$B$13,0))),"N/A")</f>
        <v/>
      </c>
      <c r="V124" s="52">
        <f>IFERROR(IF(INDEX('SaSS'!$Q$10:$Q$12,MATCH($F124,'SaSS'!$B$10:$B$12,0))="","Cell will autofill based on response",INDEX('SaSS'!$Q$10:$Q$12,MATCH($F124,'SaSS'!$B$10:$B$12,0))),"N/A")</f>
        <v/>
      </c>
      <c r="W124" s="52">
        <f>IFERROR(IF(INDEX('Indigenous'!$Q$10:$Q$11,MATCH($F124,'Indigenous'!$B$10:$B$11,0))="","Cell will autofill based on response",INDEX('Indigenous'!$Q$10:$Q$11,MATCH($F124,'Indigenous'!$B$10:$B$11,0))),"N/A")</f>
        <v/>
      </c>
      <c r="X124" s="52">
        <f>IFERROR(IF(INDEX('L&amp;R'!$Q$10:$Q$11,MATCH($F124,'L&amp;R'!$B$10:$B$11,0))="","Cell will autofill based on response",INDEX('L&amp;R'!$Q$10:$Q$11,MATCH($F124,'L&amp;R'!$B$10:$B$11,0))),"N/A")</f>
        <v/>
      </c>
    </row>
    <row r="125">
      <c r="A125">
        <f>F125&amp;"|"&amp;G125</f>
        <v/>
      </c>
      <c r="B125" s="7" t="inlineStr">
        <is>
          <t>NB1(b)</t>
        </is>
      </c>
      <c r="C125" s="50" t="inlineStr">
        <is>
          <t>Nature and biodiversity</t>
        </is>
      </c>
      <c r="D125" s="50" t="inlineStr">
        <is>
          <t>Size, health and diversity of remnant vegetation at the Dookie and Creswick campuses</t>
        </is>
      </c>
      <c r="E125" s="50" t="inlineStr"/>
      <c r="F125" s="50" t="inlineStr">
        <is>
          <t>NB1(b)</t>
        </is>
      </c>
      <c r="G125" s="50" t="inlineStr">
        <is>
          <t>Confirm end-2026 target status</t>
        </is>
      </c>
      <c r="H125" s="52">
        <f>IFERROR(IF(INDEX('Faculties'!$L$10:$L$19,MATCH($F125,'Faculties'!$B$10:$B$19,0))="","Cell will autofill based on response",INDEX('Faculties'!$L$10:$L$19,MATCH($F125,'Faculties'!$B$10:$B$19,0))),"N/A")</f>
        <v/>
      </c>
      <c r="I125" s="52">
        <f>IFERROR(IF(INDEX('Faculties'!$L$26:$L$35,MATCH($F125,'Faculties'!$B$26:$B$35,0))="","Cell will autofill based on response",INDEX('Faculties'!$L$26:$L$35,MATCH($F125,'Faculties'!$B$26:$B$35,0))),"N/A")</f>
        <v/>
      </c>
      <c r="J125" s="52">
        <f>IFERROR(IF(INDEX('Faculties'!$L$42:$L$51,MATCH($F125,'Faculties'!$B$42:$B$51,0))="","Cell will autofill based on response",INDEX('Faculties'!$L$42:$L$51,MATCH($F125,'Faculties'!$B$42:$B$51,0))),"N/A")</f>
        <v/>
      </c>
      <c r="K125" s="52">
        <f>IFERROR(IF(INDEX('Faculties'!$L$58:$L$67,MATCH($F125,'Faculties'!$B$58:$B$67,0))="","Cell will autofill based on response",INDEX('Faculties'!$L$58:$L$67,MATCH($F125,'Faculties'!$B$58:$B$67,0))),"N/A")</f>
        <v/>
      </c>
      <c r="L125" s="52">
        <f>IFERROR(IF(INDEX('CI&amp;S'!$L$10:$L$15,MATCH($F125,'CI&amp;S'!$B$10:$B$15,0))="","Cell will autofill based on response",INDEX('CI&amp;S'!$L$10:$L$15,MATCH($F125,'CI&amp;S'!$B$10:$B$15,0))),"N/A")</f>
        <v/>
      </c>
      <c r="M125" s="52">
        <f>IFERROR(IF(INDEX('CI&amp;S'!$L$22:$L$36,MATCH($F125,'CI&amp;S'!$B$22:$B$36,0))="","Cell will autofill based on response",INDEX('CI&amp;S'!$L$22:$L$36,MATCH($F125,'CI&amp;S'!$B$22:$B$36,0))),"N/A")</f>
        <v/>
      </c>
      <c r="N125" s="52">
        <f>IFERROR(IF(INDEX('CFOG'!$L$10:$L$16,MATCH($F125,'CFOG'!$B$10:$B$16,0))="","Cell will autofill based on response",INDEX('CFOG'!$L$10:$L$16,MATCH($F125,'CFOG'!$B$10:$B$16,0))),"N/A")</f>
        <v/>
      </c>
      <c r="O125" s="52">
        <f>IFERROR(IF(INDEX('CFOG'!$L$23:$L$24,MATCH($F125,'CFOG'!$B$23:$B$24,0))="","Cell will autofill based on response",INDEX('CFOG'!$L$23:$L$24,MATCH($F125,'CFOG'!$B$23:$B$24,0))),"N/A")</f>
        <v/>
      </c>
      <c r="P125" s="52">
        <f>IFERROR(IF(INDEX('ESG'!$L$10:$L$17,MATCH($F125,'ESG'!$B$10:$B$17,0))="","Cell will autofill based on response",INDEX('ESG'!$L$10:$L$17,MATCH($F125,'ESG'!$B$10:$B$17,0))),"N/A")</f>
        <v/>
      </c>
      <c r="Q125" s="52">
        <f>IFERROR(IF(INDEX('CIOG'!$L$10:$L$14,MATCH($F125,'CIOG'!$B$10:$B$14,0))="","Cell will autofill based on response",INDEX('CIOG'!$L$10:$L$14,MATCH($F125,'CIOG'!$B$10:$B$14,0))),"N/A")</f>
        <v/>
      </c>
      <c r="R125" s="52">
        <f>IFERROR(IF(INDEX('MRE'!$L$10:$L$18,MATCH($F125,'MRE'!$B$10:$B$18,0))="","Cell will autofill based on response",INDEX('MRE'!$L$10:$L$18,MATCH($F125,'MRE'!$B$10:$B$18,0))),"N/A")</f>
        <v/>
      </c>
      <c r="S125" s="52">
        <f>IFERROR(IF(INDEX('AC&amp;M'!$L$10:$L$14,MATCH($F125,'AC&amp;M'!$B$10:$B$14,0))="","Cell will autofill based on response",INDEX('AC&amp;M'!$L$10:$L$14,MATCH($F125,'AC&amp;M'!$B$10:$B$14,0))),"N/A")</f>
        <v/>
      </c>
      <c r="T125" s="52">
        <f>IFERROR(IF(INDEX('GCE'!$L$10:$L$12,MATCH($F125,'GCE'!$B$10:$B$12,0))="","Cell will autofill based on response",INDEX('GCE'!$L$10:$L$12,MATCH($F125,'GCE'!$B$10:$B$12,0))),"N/A")</f>
        <v/>
      </c>
      <c r="U125" s="52">
        <f>IFERROR(IF(INDEX('Education'!$L$10:$L$13,MATCH($F125,'Education'!$B$10:$B$13,0))="","Cell will autofill based on response",INDEX('Education'!$L$10:$L$13,MATCH($F125,'Education'!$B$10:$B$13,0))),"N/A")</f>
        <v/>
      </c>
      <c r="V125" s="52">
        <f>IFERROR(IF(INDEX('SaSS'!$L$10:$L$12,MATCH($F125,'SaSS'!$B$10:$B$12,0))="","Cell will autofill based on response",INDEX('SaSS'!$L$10:$L$12,MATCH($F125,'SaSS'!$B$10:$B$12,0))),"N/A")</f>
        <v/>
      </c>
      <c r="W125" s="52">
        <f>IFERROR(IF(INDEX('Indigenous'!$L$10:$L$11,MATCH($F125,'Indigenous'!$B$10:$B$11,0))="","Cell will autofill based on response",INDEX('Indigenous'!$L$10:$L$11,MATCH($F125,'Indigenous'!$B$10:$B$11,0))),"N/A")</f>
        <v/>
      </c>
      <c r="X125" s="52">
        <f>IFERROR(IF(INDEX('L&amp;R'!$L$10:$L$11,MATCH($F125,'L&amp;R'!$B$10:$B$11,0))="","Cell will autofill based on response",INDEX('L&amp;R'!$L$10:$L$11,MATCH($F125,'L&amp;R'!$B$10:$B$11,0))),"N/A")</f>
        <v/>
      </c>
      <c r="Z125" s="10">
        <f>COUNTIF($H125:$X125,"Cell will autofill based on response")</f>
        <v/>
      </c>
      <c r="AA125" s="10">
        <f>COUNTIF($H125:$X125,"Not yet started")</f>
        <v/>
      </c>
      <c r="AB125" s="10">
        <f>COUNTIF($H125:$X125,"Not met")</f>
        <v/>
      </c>
      <c r="AC125" s="10">
        <f>COUNTIF($H125:$X125,"Partially met")</f>
        <v/>
      </c>
      <c r="AD125" s="10">
        <f>COUNTIF($H125:$X125,"Met or exceeded")</f>
        <v/>
      </c>
      <c r="AE125" s="10">
        <f>3*AD125+2*AC125+AB125</f>
        <v/>
      </c>
      <c r="AF125" s="10">
        <f>AD125+AC125+AB125+AA125</f>
        <v/>
      </c>
      <c r="AG125" s="53">
        <f>IF(AF125&gt;0,AE125/AF125,"No valid responses to date")</f>
        <v/>
      </c>
      <c r="AH125" s="10">
        <f>IF(ISNUMBER(AG125),INDEX(Lists!$G$2:$G$5,MATCH(ROUND(AG125,0),Lists!$H$2:$H$5,0)),"")</f>
        <v/>
      </c>
      <c r="AI125" s="54">
        <f>IF(AF125&gt;0,AD125/AF125,"")</f>
        <v/>
      </c>
      <c r="AJ125" s="54">
        <f>IF(AF125&gt;0,(AD125+AC125)/AF125,"")</f>
        <v/>
      </c>
      <c r="AK125" s="10">
        <f>IF(AF125=0,"",IF(AI125&gt;0.75,"Met or exceeded",IF(AJ125&gt;=0.5,"Partially met","Not met")))</f>
        <v/>
      </c>
    </row>
    <row r="126">
      <c r="A126">
        <f>F126&amp;"|"&amp;G126</f>
        <v/>
      </c>
      <c r="B126" s="13" t="inlineStr"/>
      <c r="C126" s="8" t="inlineStr"/>
      <c r="D126" s="8" t="inlineStr"/>
      <c r="E126" s="8" t="inlineStr"/>
      <c r="F126" s="8" t="inlineStr">
        <is>
          <t>NB1(b)</t>
        </is>
      </c>
      <c r="G126" s="8" t="inlineStr">
        <is>
          <t>OPTION 1:  Target-level reporting</t>
        </is>
      </c>
      <c r="H126" s="52">
        <f>IFERROR(IF(INDEX('Faculties'!$M$10:$M$19,MATCH($F126,'Faculties'!$B$10:$B$19,0))="","Cell will autofill based on response",INDEX('Faculties'!$M$10:$M$19,MATCH($F126,'Faculties'!$B$10:$B$19,0))),"N/A")</f>
        <v/>
      </c>
      <c r="I126" s="52">
        <f>IFERROR(IF(INDEX('Faculties'!$M$26:$M$35,MATCH($F126,'Faculties'!$B$26:$B$35,0))="","Cell will autofill based on response",INDEX('Faculties'!$M$26:$M$35,MATCH($F126,'Faculties'!$B$26:$B$35,0))),"N/A")</f>
        <v/>
      </c>
      <c r="J126" s="52">
        <f>IFERROR(IF(INDEX('Faculties'!$M$42:$M$51,MATCH($F126,'Faculties'!$B$42:$B$51,0))="","Cell will autofill based on response",INDEX('Faculties'!$M$42:$M$51,MATCH($F126,'Faculties'!$B$42:$B$51,0))),"N/A")</f>
        <v/>
      </c>
      <c r="K126" s="52">
        <f>IFERROR(IF(INDEX('Faculties'!$M$58:$M$67,MATCH($F126,'Faculties'!$B$58:$B$67,0))="","Cell will autofill based on response",INDEX('Faculties'!$M$58:$M$67,MATCH($F126,'Faculties'!$B$58:$B$67,0))),"N/A")</f>
        <v/>
      </c>
      <c r="L126" s="52">
        <f>IFERROR(IF(INDEX('CI&amp;S'!$M$10:$M$15,MATCH($F126,'CI&amp;S'!$B$10:$B$15,0))="","Cell will autofill based on response",INDEX('CI&amp;S'!$M$10:$M$15,MATCH($F126,'CI&amp;S'!$B$10:$B$15,0))),"N/A")</f>
        <v/>
      </c>
      <c r="M126" s="52">
        <f>IFERROR(IF(INDEX('CI&amp;S'!$M$22:$M$36,MATCH($F126,'CI&amp;S'!$B$22:$B$36,0))="","Cell will autofill based on response",INDEX('CI&amp;S'!$M$22:$M$36,MATCH($F126,'CI&amp;S'!$B$22:$B$36,0))),"N/A")</f>
        <v/>
      </c>
      <c r="N126" s="52">
        <f>IFERROR(IF(INDEX('CFOG'!$M$10:$M$16,MATCH($F126,'CFOG'!$B$10:$B$16,0))="","Cell will autofill based on response",INDEX('CFOG'!$M$10:$M$16,MATCH($F126,'CFOG'!$B$10:$B$16,0))),"N/A")</f>
        <v/>
      </c>
      <c r="O126" s="52">
        <f>IFERROR(IF(INDEX('CFOG'!$M$23:$M$24,MATCH($F126,'CFOG'!$B$23:$B$24,0))="","Cell will autofill based on response",INDEX('CFOG'!$M$23:$M$24,MATCH($F126,'CFOG'!$B$23:$B$24,0))),"N/A")</f>
        <v/>
      </c>
      <c r="P126" s="52">
        <f>IFERROR(IF(INDEX('ESG'!$M$10:$M$17,MATCH($F126,'ESG'!$B$10:$B$17,0))="","Cell will autofill based on response",INDEX('ESG'!$M$10:$M$17,MATCH($F126,'ESG'!$B$10:$B$17,0))),"N/A")</f>
        <v/>
      </c>
      <c r="Q126" s="52">
        <f>IFERROR(IF(INDEX('CIOG'!$M$10:$M$14,MATCH($F126,'CIOG'!$B$10:$B$14,0))="","Cell will autofill based on response",INDEX('CIOG'!$M$10:$M$14,MATCH($F126,'CIOG'!$B$10:$B$14,0))),"N/A")</f>
        <v/>
      </c>
      <c r="R126" s="52">
        <f>IFERROR(IF(INDEX('MRE'!$M$10:$M$18,MATCH($F126,'MRE'!$B$10:$B$18,0))="","Cell will autofill based on response",INDEX('MRE'!$M$10:$M$18,MATCH($F126,'MRE'!$B$10:$B$18,0))),"N/A")</f>
        <v/>
      </c>
      <c r="S126" s="52">
        <f>IFERROR(IF(INDEX('AC&amp;M'!$M$10:$M$14,MATCH($F126,'AC&amp;M'!$B$10:$B$14,0))="","Cell will autofill based on response",INDEX('AC&amp;M'!$M$10:$M$14,MATCH($F126,'AC&amp;M'!$B$10:$B$14,0))),"N/A")</f>
        <v/>
      </c>
      <c r="T126" s="52">
        <f>IFERROR(IF(INDEX('GCE'!$M$10:$M$12,MATCH($F126,'GCE'!$B$10:$B$12,0))="","Cell will autofill based on response",INDEX('GCE'!$M$10:$M$12,MATCH($F126,'GCE'!$B$10:$B$12,0))),"N/A")</f>
        <v/>
      </c>
      <c r="U126" s="52">
        <f>IFERROR(IF(INDEX('Education'!$M$10:$M$13,MATCH($F126,'Education'!$B$10:$B$13,0))="","Cell will autofill based on response",INDEX('Education'!$M$10:$M$13,MATCH($F126,'Education'!$B$10:$B$13,0))),"N/A")</f>
        <v/>
      </c>
      <c r="V126" s="52">
        <f>IFERROR(IF(INDEX('SaSS'!$M$10:$M$12,MATCH($F126,'SaSS'!$B$10:$B$12,0))="","Cell will autofill based on response",INDEX('SaSS'!$M$10:$M$12,MATCH($F126,'SaSS'!$B$10:$B$12,0))),"N/A")</f>
        <v/>
      </c>
      <c r="W126" s="52">
        <f>IFERROR(IF(INDEX('Indigenous'!$M$10:$M$11,MATCH($F126,'Indigenous'!$B$10:$B$11,0))="","Cell will autofill based on response",INDEX('Indigenous'!$M$10:$M$11,MATCH($F126,'Indigenous'!$B$10:$B$11,0))),"N/A")</f>
        <v/>
      </c>
      <c r="X126" s="52">
        <f>IFERROR(IF(INDEX('L&amp;R'!$M$10:$M$11,MATCH($F126,'L&amp;R'!$B$10:$B$11,0))="","Cell will autofill based on response",INDEX('L&amp;R'!$M$10:$M$11,MATCH($F126,'L&amp;R'!$B$10:$B$11,0))),"N/A")</f>
        <v/>
      </c>
    </row>
    <row r="127">
      <c r="A127">
        <f>F127&amp;"|"&amp;G127</f>
        <v/>
      </c>
      <c r="B127" s="13" t="inlineStr"/>
      <c r="C127" s="8" t="inlineStr"/>
      <c r="D127" s="8" t="inlineStr"/>
      <c r="E127" s="8" t="inlineStr"/>
      <c r="F127" s="8" t="inlineStr">
        <is>
          <t>NB1(b)</t>
        </is>
      </c>
      <c r="G127" s="8" t="inlineStr">
        <is>
          <t>OPTION 2:  Indicator level reporting</t>
        </is>
      </c>
      <c r="H127" s="52">
        <f>IFERROR(IF(INDEX('Faculties'!$N$10:$N$19,MATCH($F127,'Faculties'!$B$10:$B$19,0))="","Cell will autofill based on response",INDEX('Faculties'!$N$10:$N$19,MATCH($F127,'Faculties'!$B$10:$B$19,0))),"N/A")</f>
        <v/>
      </c>
      <c r="I127" s="52">
        <f>IFERROR(IF(INDEX('Faculties'!$N$26:$N$35,MATCH($F127,'Faculties'!$B$26:$B$35,0))="","Cell will autofill based on response",INDEX('Faculties'!$N$26:$N$35,MATCH($F127,'Faculties'!$B$26:$B$35,0))),"N/A")</f>
        <v/>
      </c>
      <c r="J127" s="52">
        <f>IFERROR(IF(INDEX('Faculties'!$N$42:$N$51,MATCH($F127,'Faculties'!$B$42:$B$51,0))="","Cell will autofill based on response",INDEX('Faculties'!$N$42:$N$51,MATCH($F127,'Faculties'!$B$42:$B$51,0))),"N/A")</f>
        <v/>
      </c>
      <c r="K127" s="52">
        <f>IFERROR(IF(INDEX('Faculties'!$N$58:$N$67,MATCH($F127,'Faculties'!$B$58:$B$67,0))="","Cell will autofill based on response",INDEX('Faculties'!$N$58:$N$67,MATCH($F127,'Faculties'!$B$58:$B$67,0))),"N/A")</f>
        <v/>
      </c>
      <c r="L127" s="52">
        <f>IFERROR(IF(INDEX('CI&amp;S'!$N$10:$N$15,MATCH($F127,'CI&amp;S'!$B$10:$B$15,0))="","Cell will autofill based on response",INDEX('CI&amp;S'!$N$10:$N$15,MATCH($F127,'CI&amp;S'!$B$10:$B$15,0))),"N/A")</f>
        <v/>
      </c>
      <c r="M127" s="52">
        <f>IFERROR(IF(INDEX('CI&amp;S'!$N$22:$N$36,MATCH($F127,'CI&amp;S'!$B$22:$B$36,0))="","Cell will autofill based on response",INDEX('CI&amp;S'!$N$22:$N$36,MATCH($F127,'CI&amp;S'!$B$22:$B$36,0))),"N/A")</f>
        <v/>
      </c>
      <c r="N127" s="52">
        <f>IFERROR(IF(INDEX('CFOG'!$N$10:$N$16,MATCH($F127,'CFOG'!$B$10:$B$16,0))="","Cell will autofill based on response",INDEX('CFOG'!$N$10:$N$16,MATCH($F127,'CFOG'!$B$10:$B$16,0))),"N/A")</f>
        <v/>
      </c>
      <c r="O127" s="52">
        <f>IFERROR(IF(INDEX('CFOG'!$N$23:$N$24,MATCH($F127,'CFOG'!$B$23:$B$24,0))="","Cell will autofill based on response",INDEX('CFOG'!$N$23:$N$24,MATCH($F127,'CFOG'!$B$23:$B$24,0))),"N/A")</f>
        <v/>
      </c>
      <c r="P127" s="52">
        <f>IFERROR(IF(INDEX('ESG'!$N$10:$N$17,MATCH($F127,'ESG'!$B$10:$B$17,0))="","Cell will autofill based on response",INDEX('ESG'!$N$10:$N$17,MATCH($F127,'ESG'!$B$10:$B$17,0))),"N/A")</f>
        <v/>
      </c>
      <c r="Q127" s="52">
        <f>IFERROR(IF(INDEX('CIOG'!$N$10:$N$14,MATCH($F127,'CIOG'!$B$10:$B$14,0))="","Cell will autofill based on response",INDEX('CIOG'!$N$10:$N$14,MATCH($F127,'CIOG'!$B$10:$B$14,0))),"N/A")</f>
        <v/>
      </c>
      <c r="R127" s="52">
        <f>IFERROR(IF(INDEX('MRE'!$N$10:$N$18,MATCH($F127,'MRE'!$B$10:$B$18,0))="","Cell will autofill based on response",INDEX('MRE'!$N$10:$N$18,MATCH($F127,'MRE'!$B$10:$B$18,0))),"N/A")</f>
        <v/>
      </c>
      <c r="S127" s="52">
        <f>IFERROR(IF(INDEX('AC&amp;M'!$N$10:$N$14,MATCH($F127,'AC&amp;M'!$B$10:$B$14,0))="","Cell will autofill based on response",INDEX('AC&amp;M'!$N$10:$N$14,MATCH($F127,'AC&amp;M'!$B$10:$B$14,0))),"N/A")</f>
        <v/>
      </c>
      <c r="T127" s="52">
        <f>IFERROR(IF(INDEX('GCE'!$N$10:$N$12,MATCH($F127,'GCE'!$B$10:$B$12,0))="","Cell will autofill based on response",INDEX('GCE'!$N$10:$N$12,MATCH($F127,'GCE'!$B$10:$B$12,0))),"N/A")</f>
        <v/>
      </c>
      <c r="U127" s="52">
        <f>IFERROR(IF(INDEX('Education'!$N$10:$N$13,MATCH($F127,'Education'!$B$10:$B$13,0))="","Cell will autofill based on response",INDEX('Education'!$N$10:$N$13,MATCH($F127,'Education'!$B$10:$B$13,0))),"N/A")</f>
        <v/>
      </c>
      <c r="V127" s="52">
        <f>IFERROR(IF(INDEX('SaSS'!$N$10:$N$12,MATCH($F127,'SaSS'!$B$10:$B$12,0))="","Cell will autofill based on response",INDEX('SaSS'!$N$10:$N$12,MATCH($F127,'SaSS'!$B$10:$B$12,0))),"N/A")</f>
        <v/>
      </c>
      <c r="W127" s="52">
        <f>IFERROR(IF(INDEX('Indigenous'!$N$10:$N$11,MATCH($F127,'Indigenous'!$B$10:$B$11,0))="","Cell will autofill based on response",INDEX('Indigenous'!$N$10:$N$11,MATCH($F127,'Indigenous'!$B$10:$B$11,0))),"N/A")</f>
        <v/>
      </c>
      <c r="X127" s="52">
        <f>IFERROR(IF(INDEX('L&amp;R'!$N$10:$N$11,MATCH($F127,'L&amp;R'!$B$10:$B$11,0))="","Cell will autofill based on response",INDEX('L&amp;R'!$N$10:$N$11,MATCH($F127,'L&amp;R'!$B$10:$B$11,0))),"N/A")</f>
        <v/>
      </c>
    </row>
    <row r="128">
      <c r="A128">
        <f>F128&amp;"|"&amp;G128</f>
        <v/>
      </c>
      <c r="B128" s="13" t="inlineStr"/>
      <c r="C128" s="8" t="inlineStr"/>
      <c r="D128" s="8" t="inlineStr"/>
      <c r="E128" s="8" t="inlineStr"/>
      <c r="F128" s="8" t="inlineStr">
        <is>
          <t>NB1(b)</t>
        </is>
      </c>
      <c r="G128" s="8" t="inlineStr">
        <is>
          <t>Supporting information/comments</t>
        </is>
      </c>
      <c r="H128" s="52">
        <f>IFERROR(IF(INDEX('Faculties'!$O$10:$O$19,MATCH($F128,'Faculties'!$B$10:$B$19,0))="","Cell will autofill based on response",INDEX('Faculties'!$O$10:$O$19,MATCH($F128,'Faculties'!$B$10:$B$19,0))),"N/A")</f>
        <v/>
      </c>
      <c r="I128" s="52">
        <f>IFERROR(IF(INDEX('Faculties'!$O$26:$O$35,MATCH($F128,'Faculties'!$B$26:$B$35,0))="","Cell will autofill based on response",INDEX('Faculties'!$O$26:$O$35,MATCH($F128,'Faculties'!$B$26:$B$35,0))),"N/A")</f>
        <v/>
      </c>
      <c r="J128" s="52">
        <f>IFERROR(IF(INDEX('Faculties'!$O$42:$O$51,MATCH($F128,'Faculties'!$B$42:$B$51,0))="","Cell will autofill based on response",INDEX('Faculties'!$O$42:$O$51,MATCH($F128,'Faculties'!$B$42:$B$51,0))),"N/A")</f>
        <v/>
      </c>
      <c r="K128" s="52">
        <f>IFERROR(IF(INDEX('Faculties'!$O$58:$O$67,MATCH($F128,'Faculties'!$B$58:$B$67,0))="","Cell will autofill based on response",INDEX('Faculties'!$O$58:$O$67,MATCH($F128,'Faculties'!$B$58:$B$67,0))),"N/A")</f>
        <v/>
      </c>
      <c r="L128" s="52">
        <f>IFERROR(IF(INDEX('CI&amp;S'!$O$10:$O$15,MATCH($F128,'CI&amp;S'!$B$10:$B$15,0))="","Cell will autofill based on response",INDEX('CI&amp;S'!$O$10:$O$15,MATCH($F128,'CI&amp;S'!$B$10:$B$15,0))),"N/A")</f>
        <v/>
      </c>
      <c r="M128" s="52">
        <f>IFERROR(IF(INDEX('CI&amp;S'!$O$22:$O$36,MATCH($F128,'CI&amp;S'!$B$22:$B$36,0))="","Cell will autofill based on response",INDEX('CI&amp;S'!$O$22:$O$36,MATCH($F128,'CI&amp;S'!$B$22:$B$36,0))),"N/A")</f>
        <v/>
      </c>
      <c r="N128" s="52">
        <f>IFERROR(IF(INDEX('CFOG'!$O$10:$O$16,MATCH($F128,'CFOG'!$B$10:$B$16,0))="","Cell will autofill based on response",INDEX('CFOG'!$O$10:$O$16,MATCH($F128,'CFOG'!$B$10:$B$16,0))),"N/A")</f>
        <v/>
      </c>
      <c r="O128" s="52">
        <f>IFERROR(IF(INDEX('CFOG'!$O$23:$O$24,MATCH($F128,'CFOG'!$B$23:$B$24,0))="","Cell will autofill based on response",INDEX('CFOG'!$O$23:$O$24,MATCH($F128,'CFOG'!$B$23:$B$24,0))),"N/A")</f>
        <v/>
      </c>
      <c r="P128" s="52">
        <f>IFERROR(IF(INDEX('ESG'!$O$10:$O$17,MATCH($F128,'ESG'!$B$10:$B$17,0))="","Cell will autofill based on response",INDEX('ESG'!$O$10:$O$17,MATCH($F128,'ESG'!$B$10:$B$17,0))),"N/A")</f>
        <v/>
      </c>
      <c r="Q128" s="52">
        <f>IFERROR(IF(INDEX('CIOG'!$O$10:$O$14,MATCH($F128,'CIOG'!$B$10:$B$14,0))="","Cell will autofill based on response",INDEX('CIOG'!$O$10:$O$14,MATCH($F128,'CIOG'!$B$10:$B$14,0))),"N/A")</f>
        <v/>
      </c>
      <c r="R128" s="52">
        <f>IFERROR(IF(INDEX('MRE'!$O$10:$O$18,MATCH($F128,'MRE'!$B$10:$B$18,0))="","Cell will autofill based on response",INDEX('MRE'!$O$10:$O$18,MATCH($F128,'MRE'!$B$10:$B$18,0))),"N/A")</f>
        <v/>
      </c>
      <c r="S128" s="52">
        <f>IFERROR(IF(INDEX('AC&amp;M'!$O$10:$O$14,MATCH($F128,'AC&amp;M'!$B$10:$B$14,0))="","Cell will autofill based on response",INDEX('AC&amp;M'!$O$10:$O$14,MATCH($F128,'AC&amp;M'!$B$10:$B$14,0))),"N/A")</f>
        <v/>
      </c>
      <c r="T128" s="52">
        <f>IFERROR(IF(INDEX('GCE'!$O$10:$O$12,MATCH($F128,'GCE'!$B$10:$B$12,0))="","Cell will autofill based on response",INDEX('GCE'!$O$10:$O$12,MATCH($F128,'GCE'!$B$10:$B$12,0))),"N/A")</f>
        <v/>
      </c>
      <c r="U128" s="52">
        <f>IFERROR(IF(INDEX('Education'!$O$10:$O$13,MATCH($F128,'Education'!$B$10:$B$13,0))="","Cell will autofill based on response",INDEX('Education'!$O$10:$O$13,MATCH($F128,'Education'!$B$10:$B$13,0))),"N/A")</f>
        <v/>
      </c>
      <c r="V128" s="52">
        <f>IFERROR(IF(INDEX('SaSS'!$O$10:$O$12,MATCH($F128,'SaSS'!$B$10:$B$12,0))="","Cell will autofill based on response",INDEX('SaSS'!$O$10:$O$12,MATCH($F128,'SaSS'!$B$10:$B$12,0))),"N/A")</f>
        <v/>
      </c>
      <c r="W128" s="52">
        <f>IFERROR(IF(INDEX('Indigenous'!$O$10:$O$11,MATCH($F128,'Indigenous'!$B$10:$B$11,0))="","Cell will autofill based on response",INDEX('Indigenous'!$O$10:$O$11,MATCH($F128,'Indigenous'!$B$10:$B$11,0))),"N/A")</f>
        <v/>
      </c>
      <c r="X128" s="52">
        <f>IFERROR(IF(INDEX('L&amp;R'!$O$10:$O$11,MATCH($F128,'L&amp;R'!$B$10:$B$11,0))="","Cell will autofill based on response",INDEX('L&amp;R'!$O$10:$O$11,MATCH($F128,'L&amp;R'!$B$10:$B$11,0))),"N/A")</f>
        <v/>
      </c>
    </row>
    <row r="129">
      <c r="A129">
        <f>F129&amp;"|"&amp;G129</f>
        <v/>
      </c>
      <c r="B129" s="13" t="inlineStr"/>
      <c r="C129" s="8" t="inlineStr"/>
      <c r="D129" s="8" t="inlineStr"/>
      <c r="E129" s="8" t="inlineStr"/>
      <c r="F129" s="8" t="inlineStr">
        <is>
          <t>NB1(b)</t>
        </is>
      </c>
      <c r="G129" s="8" t="inlineStr">
        <is>
          <t>Data source and limitations</t>
        </is>
      </c>
      <c r="H129" s="52">
        <f>IFERROR(IF(INDEX('Faculties'!$P$10:$P$19,MATCH($F129,'Faculties'!$B$10:$B$19,0))="","Cell will autofill based on response",INDEX('Faculties'!$P$10:$P$19,MATCH($F129,'Faculties'!$B$10:$B$19,0))),"N/A")</f>
        <v/>
      </c>
      <c r="I129" s="52">
        <f>IFERROR(IF(INDEX('Faculties'!$P$26:$P$35,MATCH($F129,'Faculties'!$B$26:$B$35,0))="","Cell will autofill based on response",INDEX('Faculties'!$P$26:$P$35,MATCH($F129,'Faculties'!$B$26:$B$35,0))),"N/A")</f>
        <v/>
      </c>
      <c r="J129" s="52">
        <f>IFERROR(IF(INDEX('Faculties'!$P$42:$P$51,MATCH($F129,'Faculties'!$B$42:$B$51,0))="","Cell will autofill based on response",INDEX('Faculties'!$P$42:$P$51,MATCH($F129,'Faculties'!$B$42:$B$51,0))),"N/A")</f>
        <v/>
      </c>
      <c r="K129" s="52">
        <f>IFERROR(IF(INDEX('Faculties'!$P$58:$P$67,MATCH($F129,'Faculties'!$B$58:$B$67,0))="","Cell will autofill based on response",INDEX('Faculties'!$P$58:$P$67,MATCH($F129,'Faculties'!$B$58:$B$67,0))),"N/A")</f>
        <v/>
      </c>
      <c r="L129" s="52">
        <f>IFERROR(IF(INDEX('CI&amp;S'!$P$10:$P$15,MATCH($F129,'CI&amp;S'!$B$10:$B$15,0))="","Cell will autofill based on response",INDEX('CI&amp;S'!$P$10:$P$15,MATCH($F129,'CI&amp;S'!$B$10:$B$15,0))),"N/A")</f>
        <v/>
      </c>
      <c r="M129" s="52">
        <f>IFERROR(IF(INDEX('CI&amp;S'!$P$22:$P$36,MATCH($F129,'CI&amp;S'!$B$22:$B$36,0))="","Cell will autofill based on response",INDEX('CI&amp;S'!$P$22:$P$36,MATCH($F129,'CI&amp;S'!$B$22:$B$36,0))),"N/A")</f>
        <v/>
      </c>
      <c r="N129" s="52">
        <f>IFERROR(IF(INDEX('CFOG'!$P$10:$P$16,MATCH($F129,'CFOG'!$B$10:$B$16,0))="","Cell will autofill based on response",INDEX('CFOG'!$P$10:$P$16,MATCH($F129,'CFOG'!$B$10:$B$16,0))),"N/A")</f>
        <v/>
      </c>
      <c r="O129" s="52">
        <f>IFERROR(IF(INDEX('CFOG'!$P$23:$P$24,MATCH($F129,'CFOG'!$B$23:$B$24,0))="","Cell will autofill based on response",INDEX('CFOG'!$P$23:$P$24,MATCH($F129,'CFOG'!$B$23:$B$24,0))),"N/A")</f>
        <v/>
      </c>
      <c r="P129" s="52">
        <f>IFERROR(IF(INDEX('ESG'!$P$10:$P$17,MATCH($F129,'ESG'!$B$10:$B$17,0))="","Cell will autofill based on response",INDEX('ESG'!$P$10:$P$17,MATCH($F129,'ESG'!$B$10:$B$17,0))),"N/A")</f>
        <v/>
      </c>
      <c r="Q129" s="52">
        <f>IFERROR(IF(INDEX('CIOG'!$P$10:$P$14,MATCH($F129,'CIOG'!$B$10:$B$14,0))="","Cell will autofill based on response",INDEX('CIOG'!$P$10:$P$14,MATCH($F129,'CIOG'!$B$10:$B$14,0))),"N/A")</f>
        <v/>
      </c>
      <c r="R129" s="52">
        <f>IFERROR(IF(INDEX('MRE'!$P$10:$P$18,MATCH($F129,'MRE'!$B$10:$B$18,0))="","Cell will autofill based on response",INDEX('MRE'!$P$10:$P$18,MATCH($F129,'MRE'!$B$10:$B$18,0))),"N/A")</f>
        <v/>
      </c>
      <c r="S129" s="52">
        <f>IFERROR(IF(INDEX('AC&amp;M'!$P$10:$P$14,MATCH($F129,'AC&amp;M'!$B$10:$B$14,0))="","Cell will autofill based on response",INDEX('AC&amp;M'!$P$10:$P$14,MATCH($F129,'AC&amp;M'!$B$10:$B$14,0))),"N/A")</f>
        <v/>
      </c>
      <c r="T129" s="52">
        <f>IFERROR(IF(INDEX('GCE'!$P$10:$P$12,MATCH($F129,'GCE'!$B$10:$B$12,0))="","Cell will autofill based on response",INDEX('GCE'!$P$10:$P$12,MATCH($F129,'GCE'!$B$10:$B$12,0))),"N/A")</f>
        <v/>
      </c>
      <c r="U129" s="52">
        <f>IFERROR(IF(INDEX('Education'!$P$10:$P$13,MATCH($F129,'Education'!$B$10:$B$13,0))="","Cell will autofill based on response",INDEX('Education'!$P$10:$P$13,MATCH($F129,'Education'!$B$10:$B$13,0))),"N/A")</f>
        <v/>
      </c>
      <c r="V129" s="52">
        <f>IFERROR(IF(INDEX('SaSS'!$P$10:$P$12,MATCH($F129,'SaSS'!$B$10:$B$12,0))="","Cell will autofill based on response",INDEX('SaSS'!$P$10:$P$12,MATCH($F129,'SaSS'!$B$10:$B$12,0))),"N/A")</f>
        <v/>
      </c>
      <c r="W129" s="52">
        <f>IFERROR(IF(INDEX('Indigenous'!$P$10:$P$11,MATCH($F129,'Indigenous'!$B$10:$B$11,0))="","Cell will autofill based on response",INDEX('Indigenous'!$P$10:$P$11,MATCH($F129,'Indigenous'!$B$10:$B$11,0))),"N/A")</f>
        <v/>
      </c>
      <c r="X129" s="52">
        <f>IFERROR(IF(INDEX('L&amp;R'!$P$10:$P$11,MATCH($F129,'L&amp;R'!$B$10:$B$11,0))="","Cell will autofill based on response",INDEX('L&amp;R'!$P$10:$P$11,MATCH($F129,'L&amp;R'!$B$10:$B$11,0))),"N/A")</f>
        <v/>
      </c>
    </row>
    <row r="130">
      <c r="A130">
        <f>F130&amp;"|"&amp;G130</f>
        <v/>
      </c>
      <c r="B130" s="13" t="inlineStr"/>
      <c r="C130" s="8" t="inlineStr"/>
      <c r="D130" s="8" t="inlineStr"/>
      <c r="E130" s="8" t="inlineStr"/>
      <c r="F130" s="8" t="inlineStr">
        <is>
          <t>NB1(b)</t>
        </is>
      </c>
      <c r="G130" s="8" t="inlineStr">
        <is>
          <t>Data owner confirms</t>
        </is>
      </c>
      <c r="H130" s="52">
        <f>IFERROR(IF(INDEX('Faculties'!$Q$10:$Q$19,MATCH($F130,'Faculties'!$B$10:$B$19,0))="","Cell will autofill based on response",INDEX('Faculties'!$Q$10:$Q$19,MATCH($F130,'Faculties'!$B$10:$B$19,0))),"N/A")</f>
        <v/>
      </c>
      <c r="I130" s="52">
        <f>IFERROR(IF(INDEX('Faculties'!$Q$26:$Q$35,MATCH($F130,'Faculties'!$B$26:$B$35,0))="","Cell will autofill based on response",INDEX('Faculties'!$Q$26:$Q$35,MATCH($F130,'Faculties'!$B$26:$B$35,0))),"N/A")</f>
        <v/>
      </c>
      <c r="J130" s="52">
        <f>IFERROR(IF(INDEX('Faculties'!$Q$42:$Q$51,MATCH($F130,'Faculties'!$B$42:$B$51,0))="","Cell will autofill based on response",INDEX('Faculties'!$Q$42:$Q$51,MATCH($F130,'Faculties'!$B$42:$B$51,0))),"N/A")</f>
        <v/>
      </c>
      <c r="K130" s="52">
        <f>IFERROR(IF(INDEX('Faculties'!$Q$58:$Q$67,MATCH($F130,'Faculties'!$B$58:$B$67,0))="","Cell will autofill based on response",INDEX('Faculties'!$Q$58:$Q$67,MATCH($F130,'Faculties'!$B$58:$B$67,0))),"N/A")</f>
        <v/>
      </c>
      <c r="L130" s="52">
        <f>IFERROR(IF(INDEX('CI&amp;S'!$Q$10:$Q$15,MATCH($F130,'CI&amp;S'!$B$10:$B$15,0))="","Cell will autofill based on response",INDEX('CI&amp;S'!$Q$10:$Q$15,MATCH($F130,'CI&amp;S'!$B$10:$B$15,0))),"N/A")</f>
        <v/>
      </c>
      <c r="M130" s="52">
        <f>IFERROR(IF(INDEX('CI&amp;S'!$Q$22:$Q$36,MATCH($F130,'CI&amp;S'!$B$22:$B$36,0))="","Cell will autofill based on response",INDEX('CI&amp;S'!$Q$22:$Q$36,MATCH($F130,'CI&amp;S'!$B$22:$B$36,0))),"N/A")</f>
        <v/>
      </c>
      <c r="N130" s="52">
        <f>IFERROR(IF(INDEX('CFOG'!$Q$10:$Q$16,MATCH($F130,'CFOG'!$B$10:$B$16,0))="","Cell will autofill based on response",INDEX('CFOG'!$Q$10:$Q$16,MATCH($F130,'CFOG'!$B$10:$B$16,0))),"N/A")</f>
        <v/>
      </c>
      <c r="O130" s="52">
        <f>IFERROR(IF(INDEX('CFOG'!$Q$23:$Q$24,MATCH($F130,'CFOG'!$B$23:$B$24,0))="","Cell will autofill based on response",INDEX('CFOG'!$Q$23:$Q$24,MATCH($F130,'CFOG'!$B$23:$B$24,0))),"N/A")</f>
        <v/>
      </c>
      <c r="P130" s="52">
        <f>IFERROR(IF(INDEX('ESG'!$Q$10:$Q$17,MATCH($F130,'ESG'!$B$10:$B$17,0))="","Cell will autofill based on response",INDEX('ESG'!$Q$10:$Q$17,MATCH($F130,'ESG'!$B$10:$B$17,0))),"N/A")</f>
        <v/>
      </c>
      <c r="Q130" s="52">
        <f>IFERROR(IF(INDEX('CIOG'!$Q$10:$Q$14,MATCH($F130,'CIOG'!$B$10:$B$14,0))="","Cell will autofill based on response",INDEX('CIOG'!$Q$10:$Q$14,MATCH($F130,'CIOG'!$B$10:$B$14,0))),"N/A")</f>
        <v/>
      </c>
      <c r="R130" s="52">
        <f>IFERROR(IF(INDEX('MRE'!$Q$10:$Q$18,MATCH($F130,'MRE'!$B$10:$B$18,0))="","Cell will autofill based on response",INDEX('MRE'!$Q$10:$Q$18,MATCH($F130,'MRE'!$B$10:$B$18,0))),"N/A")</f>
        <v/>
      </c>
      <c r="S130" s="52">
        <f>IFERROR(IF(INDEX('AC&amp;M'!$Q$10:$Q$14,MATCH($F130,'AC&amp;M'!$B$10:$B$14,0))="","Cell will autofill based on response",INDEX('AC&amp;M'!$Q$10:$Q$14,MATCH($F130,'AC&amp;M'!$B$10:$B$14,0))),"N/A")</f>
        <v/>
      </c>
      <c r="T130" s="52">
        <f>IFERROR(IF(INDEX('GCE'!$Q$10:$Q$12,MATCH($F130,'GCE'!$B$10:$B$12,0))="","Cell will autofill based on response",INDEX('GCE'!$Q$10:$Q$12,MATCH($F130,'GCE'!$B$10:$B$12,0))),"N/A")</f>
        <v/>
      </c>
      <c r="U130" s="52">
        <f>IFERROR(IF(INDEX('Education'!$Q$10:$Q$13,MATCH($F130,'Education'!$B$10:$B$13,0))="","Cell will autofill based on response",INDEX('Education'!$Q$10:$Q$13,MATCH($F130,'Education'!$B$10:$B$13,0))),"N/A")</f>
        <v/>
      </c>
      <c r="V130" s="52">
        <f>IFERROR(IF(INDEX('SaSS'!$Q$10:$Q$12,MATCH($F130,'SaSS'!$B$10:$B$12,0))="","Cell will autofill based on response",INDEX('SaSS'!$Q$10:$Q$12,MATCH($F130,'SaSS'!$B$10:$B$12,0))),"N/A")</f>
        <v/>
      </c>
      <c r="W130" s="52">
        <f>IFERROR(IF(INDEX('Indigenous'!$Q$10:$Q$11,MATCH($F130,'Indigenous'!$B$10:$B$11,0))="","Cell will autofill based on response",INDEX('Indigenous'!$Q$10:$Q$11,MATCH($F130,'Indigenous'!$B$10:$B$11,0))),"N/A")</f>
        <v/>
      </c>
      <c r="X130" s="52">
        <f>IFERROR(IF(INDEX('L&amp;R'!$Q$10:$Q$11,MATCH($F130,'L&amp;R'!$B$10:$B$11,0))="","Cell will autofill based on response",INDEX('L&amp;R'!$Q$10:$Q$11,MATCH($F130,'L&amp;R'!$B$10:$B$11,0))),"N/A")</f>
        <v/>
      </c>
    </row>
    <row r="131">
      <c r="A131">
        <f>F131&amp;"|"&amp;G131</f>
        <v/>
      </c>
      <c r="B131" s="7" t="inlineStr">
        <is>
          <t>NB1(c)</t>
        </is>
      </c>
      <c r="C131" s="50" t="inlineStr">
        <is>
          <t>Nature and biodiversity</t>
        </is>
      </c>
      <c r="D131" s="50" t="inlineStr">
        <is>
          <t>Defined quality measurement framework</t>
        </is>
      </c>
      <c r="E131" s="50" t="inlineStr"/>
      <c r="F131" s="50" t="inlineStr">
        <is>
          <t>NB1(c)</t>
        </is>
      </c>
      <c r="G131" s="50" t="inlineStr">
        <is>
          <t>Confirm end-2026 target status</t>
        </is>
      </c>
      <c r="H131" s="52">
        <f>IFERROR(IF(INDEX('Faculties'!$L$10:$L$19,MATCH($F131,'Faculties'!$B$10:$B$19,0))="","Cell will autofill based on response",INDEX('Faculties'!$L$10:$L$19,MATCH($F131,'Faculties'!$B$10:$B$19,0))),"N/A")</f>
        <v/>
      </c>
      <c r="I131" s="52">
        <f>IFERROR(IF(INDEX('Faculties'!$L$26:$L$35,MATCH($F131,'Faculties'!$B$26:$B$35,0))="","Cell will autofill based on response",INDEX('Faculties'!$L$26:$L$35,MATCH($F131,'Faculties'!$B$26:$B$35,0))),"N/A")</f>
        <v/>
      </c>
      <c r="J131" s="52">
        <f>IFERROR(IF(INDEX('Faculties'!$L$42:$L$51,MATCH($F131,'Faculties'!$B$42:$B$51,0))="","Cell will autofill based on response",INDEX('Faculties'!$L$42:$L$51,MATCH($F131,'Faculties'!$B$42:$B$51,0))),"N/A")</f>
        <v/>
      </c>
      <c r="K131" s="52">
        <f>IFERROR(IF(INDEX('Faculties'!$L$58:$L$67,MATCH($F131,'Faculties'!$B$58:$B$67,0))="","Cell will autofill based on response",INDEX('Faculties'!$L$58:$L$67,MATCH($F131,'Faculties'!$B$58:$B$67,0))),"N/A")</f>
        <v/>
      </c>
      <c r="L131" s="52">
        <f>IFERROR(IF(INDEX('CI&amp;S'!$L$10:$L$15,MATCH($F131,'CI&amp;S'!$B$10:$B$15,0))="","Cell will autofill based on response",INDEX('CI&amp;S'!$L$10:$L$15,MATCH($F131,'CI&amp;S'!$B$10:$B$15,0))),"N/A")</f>
        <v/>
      </c>
      <c r="M131" s="52">
        <f>IFERROR(IF(INDEX('CI&amp;S'!$L$22:$L$36,MATCH($F131,'CI&amp;S'!$B$22:$B$36,0))="","Cell will autofill based on response",INDEX('CI&amp;S'!$L$22:$L$36,MATCH($F131,'CI&amp;S'!$B$22:$B$36,0))),"N/A")</f>
        <v/>
      </c>
      <c r="N131" s="52">
        <f>IFERROR(IF(INDEX('CFOG'!$L$10:$L$16,MATCH($F131,'CFOG'!$B$10:$B$16,0))="","Cell will autofill based on response",INDEX('CFOG'!$L$10:$L$16,MATCH($F131,'CFOG'!$B$10:$B$16,0))),"N/A")</f>
        <v/>
      </c>
      <c r="O131" s="52">
        <f>IFERROR(IF(INDEX('CFOG'!$L$23:$L$24,MATCH($F131,'CFOG'!$B$23:$B$24,0))="","Cell will autofill based on response",INDEX('CFOG'!$L$23:$L$24,MATCH($F131,'CFOG'!$B$23:$B$24,0))),"N/A")</f>
        <v/>
      </c>
      <c r="P131" s="52">
        <f>IFERROR(IF(INDEX('ESG'!$L$10:$L$17,MATCH($F131,'ESG'!$B$10:$B$17,0))="","Cell will autofill based on response",INDEX('ESG'!$L$10:$L$17,MATCH($F131,'ESG'!$B$10:$B$17,0))),"N/A")</f>
        <v/>
      </c>
      <c r="Q131" s="52">
        <f>IFERROR(IF(INDEX('CIOG'!$L$10:$L$14,MATCH($F131,'CIOG'!$B$10:$B$14,0))="","Cell will autofill based on response",INDEX('CIOG'!$L$10:$L$14,MATCH($F131,'CIOG'!$B$10:$B$14,0))),"N/A")</f>
        <v/>
      </c>
      <c r="R131" s="52">
        <f>IFERROR(IF(INDEX('MRE'!$L$10:$L$18,MATCH($F131,'MRE'!$B$10:$B$18,0))="","Cell will autofill based on response",INDEX('MRE'!$L$10:$L$18,MATCH($F131,'MRE'!$B$10:$B$18,0))),"N/A")</f>
        <v/>
      </c>
      <c r="S131" s="52">
        <f>IFERROR(IF(INDEX('AC&amp;M'!$L$10:$L$14,MATCH($F131,'AC&amp;M'!$B$10:$B$14,0))="","Cell will autofill based on response",INDEX('AC&amp;M'!$L$10:$L$14,MATCH($F131,'AC&amp;M'!$B$10:$B$14,0))),"N/A")</f>
        <v/>
      </c>
      <c r="T131" s="52">
        <f>IFERROR(IF(INDEX('GCE'!$L$10:$L$12,MATCH($F131,'GCE'!$B$10:$B$12,0))="","Cell will autofill based on response",INDEX('GCE'!$L$10:$L$12,MATCH($F131,'GCE'!$B$10:$B$12,0))),"N/A")</f>
        <v/>
      </c>
      <c r="U131" s="52">
        <f>IFERROR(IF(INDEX('Education'!$L$10:$L$13,MATCH($F131,'Education'!$B$10:$B$13,0))="","Cell will autofill based on response",INDEX('Education'!$L$10:$L$13,MATCH($F131,'Education'!$B$10:$B$13,0))),"N/A")</f>
        <v/>
      </c>
      <c r="V131" s="52">
        <f>IFERROR(IF(INDEX('SaSS'!$L$10:$L$12,MATCH($F131,'SaSS'!$B$10:$B$12,0))="","Cell will autofill based on response",INDEX('SaSS'!$L$10:$L$12,MATCH($F131,'SaSS'!$B$10:$B$12,0))),"N/A")</f>
        <v/>
      </c>
      <c r="W131" s="52">
        <f>IFERROR(IF(INDEX('Indigenous'!$L$10:$L$11,MATCH($F131,'Indigenous'!$B$10:$B$11,0))="","Cell will autofill based on response",INDEX('Indigenous'!$L$10:$L$11,MATCH($F131,'Indigenous'!$B$10:$B$11,0))),"N/A")</f>
        <v/>
      </c>
      <c r="X131" s="52">
        <f>IFERROR(IF(INDEX('L&amp;R'!$L$10:$L$11,MATCH($F131,'L&amp;R'!$B$10:$B$11,0))="","Cell will autofill based on response",INDEX('L&amp;R'!$L$10:$L$11,MATCH($F131,'L&amp;R'!$B$10:$B$11,0))),"N/A")</f>
        <v/>
      </c>
      <c r="Z131" s="10">
        <f>COUNTIF($H131:$X131,"Cell will autofill based on response")</f>
        <v/>
      </c>
      <c r="AA131" s="10">
        <f>COUNTIF($H131:$X131,"Not yet started")</f>
        <v/>
      </c>
      <c r="AB131" s="10">
        <f>COUNTIF($H131:$X131,"Not met")</f>
        <v/>
      </c>
      <c r="AC131" s="10">
        <f>COUNTIF($H131:$X131,"Partially met")</f>
        <v/>
      </c>
      <c r="AD131" s="10">
        <f>COUNTIF($H131:$X131,"Met or exceeded")</f>
        <v/>
      </c>
      <c r="AE131" s="10">
        <f>3*AD131+2*AC131+AB131</f>
        <v/>
      </c>
      <c r="AF131" s="10">
        <f>AD131+AC131+AB131+AA131</f>
        <v/>
      </c>
      <c r="AG131" s="53">
        <f>IF(AF131&gt;0,AE131/AF131,"No valid responses to date")</f>
        <v/>
      </c>
      <c r="AH131" s="10">
        <f>IF(ISNUMBER(AG131),INDEX(Lists!$G$2:$G$5,MATCH(ROUND(AG131,0),Lists!$H$2:$H$5,0)),"")</f>
        <v/>
      </c>
      <c r="AI131" s="54">
        <f>IF(AF131&gt;0,AD131/AF131,"")</f>
        <v/>
      </c>
      <c r="AJ131" s="54">
        <f>IF(AF131&gt;0,(AD131+AC131)/AF131,"")</f>
        <v/>
      </c>
      <c r="AK131" s="10">
        <f>IF(AF131=0,"",IF(AI131&gt;0.75,"Met or exceeded",IF(AJ131&gt;=0.5,"Partially met","Not met")))</f>
        <v/>
      </c>
    </row>
    <row r="132">
      <c r="A132">
        <f>F132&amp;"|"&amp;G132</f>
        <v/>
      </c>
      <c r="B132" s="13" t="inlineStr"/>
      <c r="C132" s="8" t="inlineStr"/>
      <c r="D132" s="8" t="inlineStr"/>
      <c r="E132" s="8" t="inlineStr"/>
      <c r="F132" s="8" t="inlineStr">
        <is>
          <t>NB1(c)</t>
        </is>
      </c>
      <c r="G132" s="8" t="inlineStr">
        <is>
          <t>OPTION 1:  Target-level reporting</t>
        </is>
      </c>
      <c r="H132" s="52">
        <f>IFERROR(IF(INDEX('Faculties'!$M$10:$M$19,MATCH($F132,'Faculties'!$B$10:$B$19,0))="","Cell will autofill based on response",INDEX('Faculties'!$M$10:$M$19,MATCH($F132,'Faculties'!$B$10:$B$19,0))),"N/A")</f>
        <v/>
      </c>
      <c r="I132" s="52">
        <f>IFERROR(IF(INDEX('Faculties'!$M$26:$M$35,MATCH($F132,'Faculties'!$B$26:$B$35,0))="","Cell will autofill based on response",INDEX('Faculties'!$M$26:$M$35,MATCH($F132,'Faculties'!$B$26:$B$35,0))),"N/A")</f>
        <v/>
      </c>
      <c r="J132" s="52">
        <f>IFERROR(IF(INDEX('Faculties'!$M$42:$M$51,MATCH($F132,'Faculties'!$B$42:$B$51,0))="","Cell will autofill based on response",INDEX('Faculties'!$M$42:$M$51,MATCH($F132,'Faculties'!$B$42:$B$51,0))),"N/A")</f>
        <v/>
      </c>
      <c r="K132" s="52">
        <f>IFERROR(IF(INDEX('Faculties'!$M$58:$M$67,MATCH($F132,'Faculties'!$B$58:$B$67,0))="","Cell will autofill based on response",INDEX('Faculties'!$M$58:$M$67,MATCH($F132,'Faculties'!$B$58:$B$67,0))),"N/A")</f>
        <v/>
      </c>
      <c r="L132" s="52">
        <f>IFERROR(IF(INDEX('CI&amp;S'!$M$10:$M$15,MATCH($F132,'CI&amp;S'!$B$10:$B$15,0))="","Cell will autofill based on response",INDEX('CI&amp;S'!$M$10:$M$15,MATCH($F132,'CI&amp;S'!$B$10:$B$15,0))),"N/A")</f>
        <v/>
      </c>
      <c r="M132" s="52">
        <f>IFERROR(IF(INDEX('CI&amp;S'!$M$22:$M$36,MATCH($F132,'CI&amp;S'!$B$22:$B$36,0))="","Cell will autofill based on response",INDEX('CI&amp;S'!$M$22:$M$36,MATCH($F132,'CI&amp;S'!$B$22:$B$36,0))),"N/A")</f>
        <v/>
      </c>
      <c r="N132" s="52">
        <f>IFERROR(IF(INDEX('CFOG'!$M$10:$M$16,MATCH($F132,'CFOG'!$B$10:$B$16,0))="","Cell will autofill based on response",INDEX('CFOG'!$M$10:$M$16,MATCH($F132,'CFOG'!$B$10:$B$16,0))),"N/A")</f>
        <v/>
      </c>
      <c r="O132" s="52">
        <f>IFERROR(IF(INDEX('CFOG'!$M$23:$M$24,MATCH($F132,'CFOG'!$B$23:$B$24,0))="","Cell will autofill based on response",INDEX('CFOG'!$M$23:$M$24,MATCH($F132,'CFOG'!$B$23:$B$24,0))),"N/A")</f>
        <v/>
      </c>
      <c r="P132" s="52">
        <f>IFERROR(IF(INDEX('ESG'!$M$10:$M$17,MATCH($F132,'ESG'!$B$10:$B$17,0))="","Cell will autofill based on response",INDEX('ESG'!$M$10:$M$17,MATCH($F132,'ESG'!$B$10:$B$17,0))),"N/A")</f>
        <v/>
      </c>
      <c r="Q132" s="52">
        <f>IFERROR(IF(INDEX('CIOG'!$M$10:$M$14,MATCH($F132,'CIOG'!$B$10:$B$14,0))="","Cell will autofill based on response",INDEX('CIOG'!$M$10:$M$14,MATCH($F132,'CIOG'!$B$10:$B$14,0))),"N/A")</f>
        <v/>
      </c>
      <c r="R132" s="52">
        <f>IFERROR(IF(INDEX('MRE'!$M$10:$M$18,MATCH($F132,'MRE'!$B$10:$B$18,0))="","Cell will autofill based on response",INDEX('MRE'!$M$10:$M$18,MATCH($F132,'MRE'!$B$10:$B$18,0))),"N/A")</f>
        <v/>
      </c>
      <c r="S132" s="52">
        <f>IFERROR(IF(INDEX('AC&amp;M'!$M$10:$M$14,MATCH($F132,'AC&amp;M'!$B$10:$B$14,0))="","Cell will autofill based on response",INDEX('AC&amp;M'!$M$10:$M$14,MATCH($F132,'AC&amp;M'!$B$10:$B$14,0))),"N/A")</f>
        <v/>
      </c>
      <c r="T132" s="52">
        <f>IFERROR(IF(INDEX('GCE'!$M$10:$M$12,MATCH($F132,'GCE'!$B$10:$B$12,0))="","Cell will autofill based on response",INDEX('GCE'!$M$10:$M$12,MATCH($F132,'GCE'!$B$10:$B$12,0))),"N/A")</f>
        <v/>
      </c>
      <c r="U132" s="52">
        <f>IFERROR(IF(INDEX('Education'!$M$10:$M$13,MATCH($F132,'Education'!$B$10:$B$13,0))="","Cell will autofill based on response",INDEX('Education'!$M$10:$M$13,MATCH($F132,'Education'!$B$10:$B$13,0))),"N/A")</f>
        <v/>
      </c>
      <c r="V132" s="52">
        <f>IFERROR(IF(INDEX('SaSS'!$M$10:$M$12,MATCH($F132,'SaSS'!$B$10:$B$12,0))="","Cell will autofill based on response",INDEX('SaSS'!$M$10:$M$12,MATCH($F132,'SaSS'!$B$10:$B$12,0))),"N/A")</f>
        <v/>
      </c>
      <c r="W132" s="52">
        <f>IFERROR(IF(INDEX('Indigenous'!$M$10:$M$11,MATCH($F132,'Indigenous'!$B$10:$B$11,0))="","Cell will autofill based on response",INDEX('Indigenous'!$M$10:$M$11,MATCH($F132,'Indigenous'!$B$10:$B$11,0))),"N/A")</f>
        <v/>
      </c>
      <c r="X132" s="52">
        <f>IFERROR(IF(INDEX('L&amp;R'!$M$10:$M$11,MATCH($F132,'L&amp;R'!$B$10:$B$11,0))="","Cell will autofill based on response",INDEX('L&amp;R'!$M$10:$M$11,MATCH($F132,'L&amp;R'!$B$10:$B$11,0))),"N/A")</f>
        <v/>
      </c>
    </row>
    <row r="133">
      <c r="A133">
        <f>F133&amp;"|"&amp;G133</f>
        <v/>
      </c>
      <c r="B133" s="13" t="inlineStr"/>
      <c r="C133" s="8" t="inlineStr"/>
      <c r="D133" s="8" t="inlineStr"/>
      <c r="E133" s="8" t="inlineStr"/>
      <c r="F133" s="8" t="inlineStr">
        <is>
          <t>NB1(c)</t>
        </is>
      </c>
      <c r="G133" s="8" t="inlineStr">
        <is>
          <t>OPTION 2:  Indicator level reporting</t>
        </is>
      </c>
      <c r="H133" s="52">
        <f>IFERROR(IF(INDEX('Faculties'!$N$10:$N$19,MATCH($F133,'Faculties'!$B$10:$B$19,0))="","Cell will autofill based on response",INDEX('Faculties'!$N$10:$N$19,MATCH($F133,'Faculties'!$B$10:$B$19,0))),"N/A")</f>
        <v/>
      </c>
      <c r="I133" s="52">
        <f>IFERROR(IF(INDEX('Faculties'!$N$26:$N$35,MATCH($F133,'Faculties'!$B$26:$B$35,0))="","Cell will autofill based on response",INDEX('Faculties'!$N$26:$N$35,MATCH($F133,'Faculties'!$B$26:$B$35,0))),"N/A")</f>
        <v/>
      </c>
      <c r="J133" s="52">
        <f>IFERROR(IF(INDEX('Faculties'!$N$42:$N$51,MATCH($F133,'Faculties'!$B$42:$B$51,0))="","Cell will autofill based on response",INDEX('Faculties'!$N$42:$N$51,MATCH($F133,'Faculties'!$B$42:$B$51,0))),"N/A")</f>
        <v/>
      </c>
      <c r="K133" s="52">
        <f>IFERROR(IF(INDEX('Faculties'!$N$58:$N$67,MATCH($F133,'Faculties'!$B$58:$B$67,0))="","Cell will autofill based on response",INDEX('Faculties'!$N$58:$N$67,MATCH($F133,'Faculties'!$B$58:$B$67,0))),"N/A")</f>
        <v/>
      </c>
      <c r="L133" s="52">
        <f>IFERROR(IF(INDEX('CI&amp;S'!$N$10:$N$15,MATCH($F133,'CI&amp;S'!$B$10:$B$15,0))="","Cell will autofill based on response",INDEX('CI&amp;S'!$N$10:$N$15,MATCH($F133,'CI&amp;S'!$B$10:$B$15,0))),"N/A")</f>
        <v/>
      </c>
      <c r="M133" s="52">
        <f>IFERROR(IF(INDEX('CI&amp;S'!$N$22:$N$36,MATCH($F133,'CI&amp;S'!$B$22:$B$36,0))="","Cell will autofill based on response",INDEX('CI&amp;S'!$N$22:$N$36,MATCH($F133,'CI&amp;S'!$B$22:$B$36,0))),"N/A")</f>
        <v/>
      </c>
      <c r="N133" s="52">
        <f>IFERROR(IF(INDEX('CFOG'!$N$10:$N$16,MATCH($F133,'CFOG'!$B$10:$B$16,0))="","Cell will autofill based on response",INDEX('CFOG'!$N$10:$N$16,MATCH($F133,'CFOG'!$B$10:$B$16,0))),"N/A")</f>
        <v/>
      </c>
      <c r="O133" s="52">
        <f>IFERROR(IF(INDEX('CFOG'!$N$23:$N$24,MATCH($F133,'CFOG'!$B$23:$B$24,0))="","Cell will autofill based on response",INDEX('CFOG'!$N$23:$N$24,MATCH($F133,'CFOG'!$B$23:$B$24,0))),"N/A")</f>
        <v/>
      </c>
      <c r="P133" s="52">
        <f>IFERROR(IF(INDEX('ESG'!$N$10:$N$17,MATCH($F133,'ESG'!$B$10:$B$17,0))="","Cell will autofill based on response",INDEX('ESG'!$N$10:$N$17,MATCH($F133,'ESG'!$B$10:$B$17,0))),"N/A")</f>
        <v/>
      </c>
      <c r="Q133" s="52">
        <f>IFERROR(IF(INDEX('CIOG'!$N$10:$N$14,MATCH($F133,'CIOG'!$B$10:$B$14,0))="","Cell will autofill based on response",INDEX('CIOG'!$N$10:$N$14,MATCH($F133,'CIOG'!$B$10:$B$14,0))),"N/A")</f>
        <v/>
      </c>
      <c r="R133" s="52">
        <f>IFERROR(IF(INDEX('MRE'!$N$10:$N$18,MATCH($F133,'MRE'!$B$10:$B$18,0))="","Cell will autofill based on response",INDEX('MRE'!$N$10:$N$18,MATCH($F133,'MRE'!$B$10:$B$18,0))),"N/A")</f>
        <v/>
      </c>
      <c r="S133" s="52">
        <f>IFERROR(IF(INDEX('AC&amp;M'!$N$10:$N$14,MATCH($F133,'AC&amp;M'!$B$10:$B$14,0))="","Cell will autofill based on response",INDEX('AC&amp;M'!$N$10:$N$14,MATCH($F133,'AC&amp;M'!$B$10:$B$14,0))),"N/A")</f>
        <v/>
      </c>
      <c r="T133" s="52">
        <f>IFERROR(IF(INDEX('GCE'!$N$10:$N$12,MATCH($F133,'GCE'!$B$10:$B$12,0))="","Cell will autofill based on response",INDEX('GCE'!$N$10:$N$12,MATCH($F133,'GCE'!$B$10:$B$12,0))),"N/A")</f>
        <v/>
      </c>
      <c r="U133" s="52">
        <f>IFERROR(IF(INDEX('Education'!$N$10:$N$13,MATCH($F133,'Education'!$B$10:$B$13,0))="","Cell will autofill based on response",INDEX('Education'!$N$10:$N$13,MATCH($F133,'Education'!$B$10:$B$13,0))),"N/A")</f>
        <v/>
      </c>
      <c r="V133" s="52">
        <f>IFERROR(IF(INDEX('SaSS'!$N$10:$N$12,MATCH($F133,'SaSS'!$B$10:$B$12,0))="","Cell will autofill based on response",INDEX('SaSS'!$N$10:$N$12,MATCH($F133,'SaSS'!$B$10:$B$12,0))),"N/A")</f>
        <v/>
      </c>
      <c r="W133" s="52">
        <f>IFERROR(IF(INDEX('Indigenous'!$N$10:$N$11,MATCH($F133,'Indigenous'!$B$10:$B$11,0))="","Cell will autofill based on response",INDEX('Indigenous'!$N$10:$N$11,MATCH($F133,'Indigenous'!$B$10:$B$11,0))),"N/A")</f>
        <v/>
      </c>
      <c r="X133" s="52">
        <f>IFERROR(IF(INDEX('L&amp;R'!$N$10:$N$11,MATCH($F133,'L&amp;R'!$B$10:$B$11,0))="","Cell will autofill based on response",INDEX('L&amp;R'!$N$10:$N$11,MATCH($F133,'L&amp;R'!$B$10:$B$11,0))),"N/A")</f>
        <v/>
      </c>
    </row>
    <row r="134">
      <c r="A134">
        <f>F134&amp;"|"&amp;G134</f>
        <v/>
      </c>
      <c r="B134" s="13" t="inlineStr"/>
      <c r="C134" s="8" t="inlineStr"/>
      <c r="D134" s="8" t="inlineStr"/>
      <c r="E134" s="8" t="inlineStr"/>
      <c r="F134" s="8" t="inlineStr">
        <is>
          <t>NB1(c)</t>
        </is>
      </c>
      <c r="G134" s="8" t="inlineStr">
        <is>
          <t>Supporting information/comments</t>
        </is>
      </c>
      <c r="H134" s="52">
        <f>IFERROR(IF(INDEX('Faculties'!$O$10:$O$19,MATCH($F134,'Faculties'!$B$10:$B$19,0))="","Cell will autofill based on response",INDEX('Faculties'!$O$10:$O$19,MATCH($F134,'Faculties'!$B$10:$B$19,0))),"N/A")</f>
        <v/>
      </c>
      <c r="I134" s="52">
        <f>IFERROR(IF(INDEX('Faculties'!$O$26:$O$35,MATCH($F134,'Faculties'!$B$26:$B$35,0))="","Cell will autofill based on response",INDEX('Faculties'!$O$26:$O$35,MATCH($F134,'Faculties'!$B$26:$B$35,0))),"N/A")</f>
        <v/>
      </c>
      <c r="J134" s="52">
        <f>IFERROR(IF(INDEX('Faculties'!$O$42:$O$51,MATCH($F134,'Faculties'!$B$42:$B$51,0))="","Cell will autofill based on response",INDEX('Faculties'!$O$42:$O$51,MATCH($F134,'Faculties'!$B$42:$B$51,0))),"N/A")</f>
        <v/>
      </c>
      <c r="K134" s="52">
        <f>IFERROR(IF(INDEX('Faculties'!$O$58:$O$67,MATCH($F134,'Faculties'!$B$58:$B$67,0))="","Cell will autofill based on response",INDEX('Faculties'!$O$58:$O$67,MATCH($F134,'Faculties'!$B$58:$B$67,0))),"N/A")</f>
        <v/>
      </c>
      <c r="L134" s="52">
        <f>IFERROR(IF(INDEX('CI&amp;S'!$O$10:$O$15,MATCH($F134,'CI&amp;S'!$B$10:$B$15,0))="","Cell will autofill based on response",INDEX('CI&amp;S'!$O$10:$O$15,MATCH($F134,'CI&amp;S'!$B$10:$B$15,0))),"N/A")</f>
        <v/>
      </c>
      <c r="M134" s="52">
        <f>IFERROR(IF(INDEX('CI&amp;S'!$O$22:$O$36,MATCH($F134,'CI&amp;S'!$B$22:$B$36,0))="","Cell will autofill based on response",INDEX('CI&amp;S'!$O$22:$O$36,MATCH($F134,'CI&amp;S'!$B$22:$B$36,0))),"N/A")</f>
        <v/>
      </c>
      <c r="N134" s="52">
        <f>IFERROR(IF(INDEX('CFOG'!$O$10:$O$16,MATCH($F134,'CFOG'!$B$10:$B$16,0))="","Cell will autofill based on response",INDEX('CFOG'!$O$10:$O$16,MATCH($F134,'CFOG'!$B$10:$B$16,0))),"N/A")</f>
        <v/>
      </c>
      <c r="O134" s="52">
        <f>IFERROR(IF(INDEX('CFOG'!$O$23:$O$24,MATCH($F134,'CFOG'!$B$23:$B$24,0))="","Cell will autofill based on response",INDEX('CFOG'!$O$23:$O$24,MATCH($F134,'CFOG'!$B$23:$B$24,0))),"N/A")</f>
        <v/>
      </c>
      <c r="P134" s="52">
        <f>IFERROR(IF(INDEX('ESG'!$O$10:$O$17,MATCH($F134,'ESG'!$B$10:$B$17,0))="","Cell will autofill based on response",INDEX('ESG'!$O$10:$O$17,MATCH($F134,'ESG'!$B$10:$B$17,0))),"N/A")</f>
        <v/>
      </c>
      <c r="Q134" s="52">
        <f>IFERROR(IF(INDEX('CIOG'!$O$10:$O$14,MATCH($F134,'CIOG'!$B$10:$B$14,0))="","Cell will autofill based on response",INDEX('CIOG'!$O$10:$O$14,MATCH($F134,'CIOG'!$B$10:$B$14,0))),"N/A")</f>
        <v/>
      </c>
      <c r="R134" s="52">
        <f>IFERROR(IF(INDEX('MRE'!$O$10:$O$18,MATCH($F134,'MRE'!$B$10:$B$18,0))="","Cell will autofill based on response",INDEX('MRE'!$O$10:$O$18,MATCH($F134,'MRE'!$B$10:$B$18,0))),"N/A")</f>
        <v/>
      </c>
      <c r="S134" s="52">
        <f>IFERROR(IF(INDEX('AC&amp;M'!$O$10:$O$14,MATCH($F134,'AC&amp;M'!$B$10:$B$14,0))="","Cell will autofill based on response",INDEX('AC&amp;M'!$O$10:$O$14,MATCH($F134,'AC&amp;M'!$B$10:$B$14,0))),"N/A")</f>
        <v/>
      </c>
      <c r="T134" s="52">
        <f>IFERROR(IF(INDEX('GCE'!$O$10:$O$12,MATCH($F134,'GCE'!$B$10:$B$12,0))="","Cell will autofill based on response",INDEX('GCE'!$O$10:$O$12,MATCH($F134,'GCE'!$B$10:$B$12,0))),"N/A")</f>
        <v/>
      </c>
      <c r="U134" s="52">
        <f>IFERROR(IF(INDEX('Education'!$O$10:$O$13,MATCH($F134,'Education'!$B$10:$B$13,0))="","Cell will autofill based on response",INDEX('Education'!$O$10:$O$13,MATCH($F134,'Education'!$B$10:$B$13,0))),"N/A")</f>
        <v/>
      </c>
      <c r="V134" s="52">
        <f>IFERROR(IF(INDEX('SaSS'!$O$10:$O$12,MATCH($F134,'SaSS'!$B$10:$B$12,0))="","Cell will autofill based on response",INDEX('SaSS'!$O$10:$O$12,MATCH($F134,'SaSS'!$B$10:$B$12,0))),"N/A")</f>
        <v/>
      </c>
      <c r="W134" s="52">
        <f>IFERROR(IF(INDEX('Indigenous'!$O$10:$O$11,MATCH($F134,'Indigenous'!$B$10:$B$11,0))="","Cell will autofill based on response",INDEX('Indigenous'!$O$10:$O$11,MATCH($F134,'Indigenous'!$B$10:$B$11,0))),"N/A")</f>
        <v/>
      </c>
      <c r="X134" s="52">
        <f>IFERROR(IF(INDEX('L&amp;R'!$O$10:$O$11,MATCH($F134,'L&amp;R'!$B$10:$B$11,0))="","Cell will autofill based on response",INDEX('L&amp;R'!$O$10:$O$11,MATCH($F134,'L&amp;R'!$B$10:$B$11,0))),"N/A")</f>
        <v/>
      </c>
    </row>
    <row r="135">
      <c r="A135">
        <f>F135&amp;"|"&amp;G135</f>
        <v/>
      </c>
      <c r="B135" s="13" t="inlineStr"/>
      <c r="C135" s="8" t="inlineStr"/>
      <c r="D135" s="8" t="inlineStr"/>
      <c r="E135" s="8" t="inlineStr"/>
      <c r="F135" s="8" t="inlineStr">
        <is>
          <t>NB1(c)</t>
        </is>
      </c>
      <c r="G135" s="8" t="inlineStr">
        <is>
          <t>Data source and limitations</t>
        </is>
      </c>
      <c r="H135" s="52">
        <f>IFERROR(IF(INDEX('Faculties'!$P$10:$P$19,MATCH($F135,'Faculties'!$B$10:$B$19,0))="","Cell will autofill based on response",INDEX('Faculties'!$P$10:$P$19,MATCH($F135,'Faculties'!$B$10:$B$19,0))),"N/A")</f>
        <v/>
      </c>
      <c r="I135" s="52">
        <f>IFERROR(IF(INDEX('Faculties'!$P$26:$P$35,MATCH($F135,'Faculties'!$B$26:$B$35,0))="","Cell will autofill based on response",INDEX('Faculties'!$P$26:$P$35,MATCH($F135,'Faculties'!$B$26:$B$35,0))),"N/A")</f>
        <v/>
      </c>
      <c r="J135" s="52">
        <f>IFERROR(IF(INDEX('Faculties'!$P$42:$P$51,MATCH($F135,'Faculties'!$B$42:$B$51,0))="","Cell will autofill based on response",INDEX('Faculties'!$P$42:$P$51,MATCH($F135,'Faculties'!$B$42:$B$51,0))),"N/A")</f>
        <v/>
      </c>
      <c r="K135" s="52">
        <f>IFERROR(IF(INDEX('Faculties'!$P$58:$P$67,MATCH($F135,'Faculties'!$B$58:$B$67,0))="","Cell will autofill based on response",INDEX('Faculties'!$P$58:$P$67,MATCH($F135,'Faculties'!$B$58:$B$67,0))),"N/A")</f>
        <v/>
      </c>
      <c r="L135" s="52">
        <f>IFERROR(IF(INDEX('CI&amp;S'!$P$10:$P$15,MATCH($F135,'CI&amp;S'!$B$10:$B$15,0))="","Cell will autofill based on response",INDEX('CI&amp;S'!$P$10:$P$15,MATCH($F135,'CI&amp;S'!$B$10:$B$15,0))),"N/A")</f>
        <v/>
      </c>
      <c r="M135" s="52">
        <f>IFERROR(IF(INDEX('CI&amp;S'!$P$22:$P$36,MATCH($F135,'CI&amp;S'!$B$22:$B$36,0))="","Cell will autofill based on response",INDEX('CI&amp;S'!$P$22:$P$36,MATCH($F135,'CI&amp;S'!$B$22:$B$36,0))),"N/A")</f>
        <v/>
      </c>
      <c r="N135" s="52">
        <f>IFERROR(IF(INDEX('CFOG'!$P$10:$P$16,MATCH($F135,'CFOG'!$B$10:$B$16,0))="","Cell will autofill based on response",INDEX('CFOG'!$P$10:$P$16,MATCH($F135,'CFOG'!$B$10:$B$16,0))),"N/A")</f>
        <v/>
      </c>
      <c r="O135" s="52">
        <f>IFERROR(IF(INDEX('CFOG'!$P$23:$P$24,MATCH($F135,'CFOG'!$B$23:$B$24,0))="","Cell will autofill based on response",INDEX('CFOG'!$P$23:$P$24,MATCH($F135,'CFOG'!$B$23:$B$24,0))),"N/A")</f>
        <v/>
      </c>
      <c r="P135" s="52">
        <f>IFERROR(IF(INDEX('ESG'!$P$10:$P$17,MATCH($F135,'ESG'!$B$10:$B$17,0))="","Cell will autofill based on response",INDEX('ESG'!$P$10:$P$17,MATCH($F135,'ESG'!$B$10:$B$17,0))),"N/A")</f>
        <v/>
      </c>
      <c r="Q135" s="52">
        <f>IFERROR(IF(INDEX('CIOG'!$P$10:$P$14,MATCH($F135,'CIOG'!$B$10:$B$14,0))="","Cell will autofill based on response",INDEX('CIOG'!$P$10:$P$14,MATCH($F135,'CIOG'!$B$10:$B$14,0))),"N/A")</f>
        <v/>
      </c>
      <c r="R135" s="52">
        <f>IFERROR(IF(INDEX('MRE'!$P$10:$P$18,MATCH($F135,'MRE'!$B$10:$B$18,0))="","Cell will autofill based on response",INDEX('MRE'!$P$10:$P$18,MATCH($F135,'MRE'!$B$10:$B$18,0))),"N/A")</f>
        <v/>
      </c>
      <c r="S135" s="52">
        <f>IFERROR(IF(INDEX('AC&amp;M'!$P$10:$P$14,MATCH($F135,'AC&amp;M'!$B$10:$B$14,0))="","Cell will autofill based on response",INDEX('AC&amp;M'!$P$10:$P$14,MATCH($F135,'AC&amp;M'!$B$10:$B$14,0))),"N/A")</f>
        <v/>
      </c>
      <c r="T135" s="52">
        <f>IFERROR(IF(INDEX('GCE'!$P$10:$P$12,MATCH($F135,'GCE'!$B$10:$B$12,0))="","Cell will autofill based on response",INDEX('GCE'!$P$10:$P$12,MATCH($F135,'GCE'!$B$10:$B$12,0))),"N/A")</f>
        <v/>
      </c>
      <c r="U135" s="52">
        <f>IFERROR(IF(INDEX('Education'!$P$10:$P$13,MATCH($F135,'Education'!$B$10:$B$13,0))="","Cell will autofill based on response",INDEX('Education'!$P$10:$P$13,MATCH($F135,'Education'!$B$10:$B$13,0))),"N/A")</f>
        <v/>
      </c>
      <c r="V135" s="52">
        <f>IFERROR(IF(INDEX('SaSS'!$P$10:$P$12,MATCH($F135,'SaSS'!$B$10:$B$12,0))="","Cell will autofill based on response",INDEX('SaSS'!$P$10:$P$12,MATCH($F135,'SaSS'!$B$10:$B$12,0))),"N/A")</f>
        <v/>
      </c>
      <c r="W135" s="52">
        <f>IFERROR(IF(INDEX('Indigenous'!$P$10:$P$11,MATCH($F135,'Indigenous'!$B$10:$B$11,0))="","Cell will autofill based on response",INDEX('Indigenous'!$P$10:$P$11,MATCH($F135,'Indigenous'!$B$10:$B$11,0))),"N/A")</f>
        <v/>
      </c>
      <c r="X135" s="52">
        <f>IFERROR(IF(INDEX('L&amp;R'!$P$10:$P$11,MATCH($F135,'L&amp;R'!$B$10:$B$11,0))="","Cell will autofill based on response",INDEX('L&amp;R'!$P$10:$P$11,MATCH($F135,'L&amp;R'!$B$10:$B$11,0))),"N/A")</f>
        <v/>
      </c>
    </row>
    <row r="136">
      <c r="A136">
        <f>F136&amp;"|"&amp;G136</f>
        <v/>
      </c>
      <c r="B136" s="13" t="inlineStr"/>
      <c r="C136" s="8" t="inlineStr"/>
      <c r="D136" s="8" t="inlineStr"/>
      <c r="E136" s="8" t="inlineStr"/>
      <c r="F136" s="8" t="inlineStr">
        <is>
          <t>NB1(c)</t>
        </is>
      </c>
      <c r="G136" s="8" t="inlineStr">
        <is>
          <t>Data owner confirms</t>
        </is>
      </c>
      <c r="H136" s="52">
        <f>IFERROR(IF(INDEX('Faculties'!$Q$10:$Q$19,MATCH($F136,'Faculties'!$B$10:$B$19,0))="","Cell will autofill based on response",INDEX('Faculties'!$Q$10:$Q$19,MATCH($F136,'Faculties'!$B$10:$B$19,0))),"N/A")</f>
        <v/>
      </c>
      <c r="I136" s="52">
        <f>IFERROR(IF(INDEX('Faculties'!$Q$26:$Q$35,MATCH($F136,'Faculties'!$B$26:$B$35,0))="","Cell will autofill based on response",INDEX('Faculties'!$Q$26:$Q$35,MATCH($F136,'Faculties'!$B$26:$B$35,0))),"N/A")</f>
        <v/>
      </c>
      <c r="J136" s="52">
        <f>IFERROR(IF(INDEX('Faculties'!$Q$42:$Q$51,MATCH($F136,'Faculties'!$B$42:$B$51,0))="","Cell will autofill based on response",INDEX('Faculties'!$Q$42:$Q$51,MATCH($F136,'Faculties'!$B$42:$B$51,0))),"N/A")</f>
        <v/>
      </c>
      <c r="K136" s="52">
        <f>IFERROR(IF(INDEX('Faculties'!$Q$58:$Q$67,MATCH($F136,'Faculties'!$B$58:$B$67,0))="","Cell will autofill based on response",INDEX('Faculties'!$Q$58:$Q$67,MATCH($F136,'Faculties'!$B$58:$B$67,0))),"N/A")</f>
        <v/>
      </c>
      <c r="L136" s="52">
        <f>IFERROR(IF(INDEX('CI&amp;S'!$Q$10:$Q$15,MATCH($F136,'CI&amp;S'!$B$10:$B$15,0))="","Cell will autofill based on response",INDEX('CI&amp;S'!$Q$10:$Q$15,MATCH($F136,'CI&amp;S'!$B$10:$B$15,0))),"N/A")</f>
        <v/>
      </c>
      <c r="M136" s="52">
        <f>IFERROR(IF(INDEX('CI&amp;S'!$Q$22:$Q$36,MATCH($F136,'CI&amp;S'!$B$22:$B$36,0))="","Cell will autofill based on response",INDEX('CI&amp;S'!$Q$22:$Q$36,MATCH($F136,'CI&amp;S'!$B$22:$B$36,0))),"N/A")</f>
        <v/>
      </c>
      <c r="N136" s="52">
        <f>IFERROR(IF(INDEX('CFOG'!$Q$10:$Q$16,MATCH($F136,'CFOG'!$B$10:$B$16,0))="","Cell will autofill based on response",INDEX('CFOG'!$Q$10:$Q$16,MATCH($F136,'CFOG'!$B$10:$B$16,0))),"N/A")</f>
        <v/>
      </c>
      <c r="O136" s="52">
        <f>IFERROR(IF(INDEX('CFOG'!$Q$23:$Q$24,MATCH($F136,'CFOG'!$B$23:$B$24,0))="","Cell will autofill based on response",INDEX('CFOG'!$Q$23:$Q$24,MATCH($F136,'CFOG'!$B$23:$B$24,0))),"N/A")</f>
        <v/>
      </c>
      <c r="P136" s="52">
        <f>IFERROR(IF(INDEX('ESG'!$Q$10:$Q$17,MATCH($F136,'ESG'!$B$10:$B$17,0))="","Cell will autofill based on response",INDEX('ESG'!$Q$10:$Q$17,MATCH($F136,'ESG'!$B$10:$B$17,0))),"N/A")</f>
        <v/>
      </c>
      <c r="Q136" s="52">
        <f>IFERROR(IF(INDEX('CIOG'!$Q$10:$Q$14,MATCH($F136,'CIOG'!$B$10:$B$14,0))="","Cell will autofill based on response",INDEX('CIOG'!$Q$10:$Q$14,MATCH($F136,'CIOG'!$B$10:$B$14,0))),"N/A")</f>
        <v/>
      </c>
      <c r="R136" s="52">
        <f>IFERROR(IF(INDEX('MRE'!$Q$10:$Q$18,MATCH($F136,'MRE'!$B$10:$B$18,0))="","Cell will autofill based on response",INDEX('MRE'!$Q$10:$Q$18,MATCH($F136,'MRE'!$B$10:$B$18,0))),"N/A")</f>
        <v/>
      </c>
      <c r="S136" s="52">
        <f>IFERROR(IF(INDEX('AC&amp;M'!$Q$10:$Q$14,MATCH($F136,'AC&amp;M'!$B$10:$B$14,0))="","Cell will autofill based on response",INDEX('AC&amp;M'!$Q$10:$Q$14,MATCH($F136,'AC&amp;M'!$B$10:$B$14,0))),"N/A")</f>
        <v/>
      </c>
      <c r="T136" s="52">
        <f>IFERROR(IF(INDEX('GCE'!$Q$10:$Q$12,MATCH($F136,'GCE'!$B$10:$B$12,0))="","Cell will autofill based on response",INDEX('GCE'!$Q$10:$Q$12,MATCH($F136,'GCE'!$B$10:$B$12,0))),"N/A")</f>
        <v/>
      </c>
      <c r="U136" s="52">
        <f>IFERROR(IF(INDEX('Education'!$Q$10:$Q$13,MATCH($F136,'Education'!$B$10:$B$13,0))="","Cell will autofill based on response",INDEX('Education'!$Q$10:$Q$13,MATCH($F136,'Education'!$B$10:$B$13,0))),"N/A")</f>
        <v/>
      </c>
      <c r="V136" s="52">
        <f>IFERROR(IF(INDEX('SaSS'!$Q$10:$Q$12,MATCH($F136,'SaSS'!$B$10:$B$12,0))="","Cell will autofill based on response",INDEX('SaSS'!$Q$10:$Q$12,MATCH($F136,'SaSS'!$B$10:$B$12,0))),"N/A")</f>
        <v/>
      </c>
      <c r="W136" s="52">
        <f>IFERROR(IF(INDEX('Indigenous'!$Q$10:$Q$11,MATCH($F136,'Indigenous'!$B$10:$B$11,0))="","Cell will autofill based on response",INDEX('Indigenous'!$Q$10:$Q$11,MATCH($F136,'Indigenous'!$B$10:$B$11,0))),"N/A")</f>
        <v/>
      </c>
      <c r="X136" s="52">
        <f>IFERROR(IF(INDEX('L&amp;R'!$Q$10:$Q$11,MATCH($F136,'L&amp;R'!$B$10:$B$11,0))="","Cell will autofill based on response",INDEX('L&amp;R'!$Q$10:$Q$11,MATCH($F136,'L&amp;R'!$B$10:$B$11,0))),"N/A")</f>
        <v/>
      </c>
    </row>
    <row r="137">
      <c r="A137">
        <f>F137&amp;"|"&amp;G137</f>
        <v/>
      </c>
      <c r="B137" s="7" t="inlineStr">
        <is>
          <t>NB1(d)</t>
        </is>
      </c>
      <c r="C137" s="50" t="inlineStr">
        <is>
          <t>Nature and biodiversity</t>
        </is>
      </c>
      <c r="D137" s="50" t="inlineStr">
        <is>
          <t>Defined and quantified campus connectivity</t>
        </is>
      </c>
      <c r="E137" s="50" t="inlineStr">
        <is>
          <t>Please provide the current definition and quantified assessment of campus ecological connectivity, could include the methodology used, campuses covered, baseline or benchmark values, and any material change over the reporting period.</t>
        </is>
      </c>
      <c r="F137" s="50" t="inlineStr">
        <is>
          <t>NB1(d)</t>
        </is>
      </c>
      <c r="G137" s="50" t="inlineStr">
        <is>
          <t>Confirm end-2026 target status</t>
        </is>
      </c>
      <c r="H137" s="52">
        <f>IFERROR(IF(INDEX('Faculties'!$L$10:$L$19,MATCH($F137,'Faculties'!$B$10:$B$19,0))="","Cell will autofill based on response",INDEX('Faculties'!$L$10:$L$19,MATCH($F137,'Faculties'!$B$10:$B$19,0))),"N/A")</f>
        <v/>
      </c>
      <c r="I137" s="52">
        <f>IFERROR(IF(INDEX('Faculties'!$L$26:$L$35,MATCH($F137,'Faculties'!$B$26:$B$35,0))="","Cell will autofill based on response",INDEX('Faculties'!$L$26:$L$35,MATCH($F137,'Faculties'!$B$26:$B$35,0))),"N/A")</f>
        <v/>
      </c>
      <c r="J137" s="52">
        <f>IFERROR(IF(INDEX('Faculties'!$L$42:$L$51,MATCH($F137,'Faculties'!$B$42:$B$51,0))="","Cell will autofill based on response",INDEX('Faculties'!$L$42:$L$51,MATCH($F137,'Faculties'!$B$42:$B$51,0))),"N/A")</f>
        <v/>
      </c>
      <c r="K137" s="52">
        <f>IFERROR(IF(INDEX('Faculties'!$L$58:$L$67,MATCH($F137,'Faculties'!$B$58:$B$67,0))="","Cell will autofill based on response",INDEX('Faculties'!$L$58:$L$67,MATCH($F137,'Faculties'!$B$58:$B$67,0))),"N/A")</f>
        <v/>
      </c>
      <c r="L137" s="52">
        <f>IFERROR(IF(INDEX('CI&amp;S'!$L$10:$L$15,MATCH($F137,'CI&amp;S'!$B$10:$B$15,0))="","Cell will autofill based on response",INDEX('CI&amp;S'!$L$10:$L$15,MATCH($F137,'CI&amp;S'!$B$10:$B$15,0))),"N/A")</f>
        <v/>
      </c>
      <c r="M137" s="52">
        <f>IFERROR(IF(INDEX('CI&amp;S'!$L$22:$L$36,MATCH($F137,'CI&amp;S'!$B$22:$B$36,0))="","Cell will autofill based on response",INDEX('CI&amp;S'!$L$22:$L$36,MATCH($F137,'CI&amp;S'!$B$22:$B$36,0))),"N/A")</f>
        <v/>
      </c>
      <c r="N137" s="52">
        <f>IFERROR(IF(INDEX('CFOG'!$L$10:$L$16,MATCH($F137,'CFOG'!$B$10:$B$16,0))="","Cell will autofill based on response",INDEX('CFOG'!$L$10:$L$16,MATCH($F137,'CFOG'!$B$10:$B$16,0))),"N/A")</f>
        <v/>
      </c>
      <c r="O137" s="52">
        <f>IFERROR(IF(INDEX('CFOG'!$L$23:$L$24,MATCH($F137,'CFOG'!$B$23:$B$24,0))="","Cell will autofill based on response",INDEX('CFOG'!$L$23:$L$24,MATCH($F137,'CFOG'!$B$23:$B$24,0))),"N/A")</f>
        <v/>
      </c>
      <c r="P137" s="52">
        <f>IFERROR(IF(INDEX('ESG'!$L$10:$L$17,MATCH($F137,'ESG'!$B$10:$B$17,0))="","Cell will autofill based on response",INDEX('ESG'!$L$10:$L$17,MATCH($F137,'ESG'!$B$10:$B$17,0))),"N/A")</f>
        <v/>
      </c>
      <c r="Q137" s="52">
        <f>IFERROR(IF(INDEX('CIOG'!$L$10:$L$14,MATCH($F137,'CIOG'!$B$10:$B$14,0))="","Cell will autofill based on response",INDEX('CIOG'!$L$10:$L$14,MATCH($F137,'CIOG'!$B$10:$B$14,0))),"N/A")</f>
        <v/>
      </c>
      <c r="R137" s="52">
        <f>IFERROR(IF(INDEX('MRE'!$L$10:$L$18,MATCH($F137,'MRE'!$B$10:$B$18,0))="","Cell will autofill based on response",INDEX('MRE'!$L$10:$L$18,MATCH($F137,'MRE'!$B$10:$B$18,0))),"N/A")</f>
        <v/>
      </c>
      <c r="S137" s="52">
        <f>IFERROR(IF(INDEX('AC&amp;M'!$L$10:$L$14,MATCH($F137,'AC&amp;M'!$B$10:$B$14,0))="","Cell will autofill based on response",INDEX('AC&amp;M'!$L$10:$L$14,MATCH($F137,'AC&amp;M'!$B$10:$B$14,0))),"N/A")</f>
        <v/>
      </c>
      <c r="T137" s="52">
        <f>IFERROR(IF(INDEX('GCE'!$L$10:$L$12,MATCH($F137,'GCE'!$B$10:$B$12,0))="","Cell will autofill based on response",INDEX('GCE'!$L$10:$L$12,MATCH($F137,'GCE'!$B$10:$B$12,0))),"N/A")</f>
        <v/>
      </c>
      <c r="U137" s="52">
        <f>IFERROR(IF(INDEX('Education'!$L$10:$L$13,MATCH($F137,'Education'!$B$10:$B$13,0))="","Cell will autofill based on response",INDEX('Education'!$L$10:$L$13,MATCH($F137,'Education'!$B$10:$B$13,0))),"N/A")</f>
        <v/>
      </c>
      <c r="V137" s="52">
        <f>IFERROR(IF(INDEX('SaSS'!$L$10:$L$12,MATCH($F137,'SaSS'!$B$10:$B$12,0))="","Cell will autofill based on response",INDEX('SaSS'!$L$10:$L$12,MATCH($F137,'SaSS'!$B$10:$B$12,0))),"N/A")</f>
        <v/>
      </c>
      <c r="W137" s="52">
        <f>IFERROR(IF(INDEX('Indigenous'!$L$10:$L$11,MATCH($F137,'Indigenous'!$B$10:$B$11,0))="","Cell will autofill based on response",INDEX('Indigenous'!$L$10:$L$11,MATCH($F137,'Indigenous'!$B$10:$B$11,0))),"N/A")</f>
        <v/>
      </c>
      <c r="X137" s="52">
        <f>IFERROR(IF(INDEX('L&amp;R'!$L$10:$L$11,MATCH($F137,'L&amp;R'!$B$10:$B$11,0))="","Cell will autofill based on response",INDEX('L&amp;R'!$L$10:$L$11,MATCH($F137,'L&amp;R'!$B$10:$B$11,0))),"N/A")</f>
        <v/>
      </c>
      <c r="Z137" s="10">
        <f>COUNTIF($H137:$X137,"Cell will autofill based on response")</f>
        <v/>
      </c>
      <c r="AA137" s="10">
        <f>COUNTIF($H137:$X137,"Not yet started")</f>
        <v/>
      </c>
      <c r="AB137" s="10">
        <f>COUNTIF($H137:$X137,"Not met")</f>
        <v/>
      </c>
      <c r="AC137" s="10">
        <f>COUNTIF($H137:$X137,"Partially met")</f>
        <v/>
      </c>
      <c r="AD137" s="10">
        <f>COUNTIF($H137:$X137,"Met or exceeded")</f>
        <v/>
      </c>
      <c r="AE137" s="10">
        <f>3*AD137+2*AC137+AB137</f>
        <v/>
      </c>
      <c r="AF137" s="10">
        <f>AD137+AC137+AB137+AA137</f>
        <v/>
      </c>
      <c r="AG137" s="53">
        <f>IF(AF137&gt;0,AE137/AF137,"No valid responses to date")</f>
        <v/>
      </c>
      <c r="AH137" s="10">
        <f>IF(ISNUMBER(AG137),INDEX(Lists!$G$2:$G$5,MATCH(ROUND(AG137,0),Lists!$H$2:$H$5,0)),"")</f>
        <v/>
      </c>
      <c r="AI137" s="54">
        <f>IF(AF137&gt;0,AD137/AF137,"")</f>
        <v/>
      </c>
      <c r="AJ137" s="54">
        <f>IF(AF137&gt;0,(AD137+AC137)/AF137,"")</f>
        <v/>
      </c>
      <c r="AK137" s="10">
        <f>IF(AF137=0,"",IF(AI137&gt;0.75,"Met or exceeded",IF(AJ137&gt;=0.5,"Partially met","Not met")))</f>
        <v/>
      </c>
    </row>
    <row r="138">
      <c r="A138">
        <f>F138&amp;"|"&amp;G138</f>
        <v/>
      </c>
      <c r="B138" s="13" t="inlineStr"/>
      <c r="C138" s="8" t="inlineStr"/>
      <c r="D138" s="8" t="inlineStr"/>
      <c r="E138" s="8" t="inlineStr"/>
      <c r="F138" s="8" t="inlineStr">
        <is>
          <t>NB1(d)</t>
        </is>
      </c>
      <c r="G138" s="8" t="inlineStr">
        <is>
          <t>OPTION 1:  Target-level reporting</t>
        </is>
      </c>
      <c r="H138" s="52">
        <f>IFERROR(IF(INDEX('Faculties'!$M$10:$M$19,MATCH($F138,'Faculties'!$B$10:$B$19,0))="","Cell will autofill based on response",INDEX('Faculties'!$M$10:$M$19,MATCH($F138,'Faculties'!$B$10:$B$19,0))),"N/A")</f>
        <v/>
      </c>
      <c r="I138" s="52">
        <f>IFERROR(IF(INDEX('Faculties'!$M$26:$M$35,MATCH($F138,'Faculties'!$B$26:$B$35,0))="","Cell will autofill based on response",INDEX('Faculties'!$M$26:$M$35,MATCH($F138,'Faculties'!$B$26:$B$35,0))),"N/A")</f>
        <v/>
      </c>
      <c r="J138" s="52">
        <f>IFERROR(IF(INDEX('Faculties'!$M$42:$M$51,MATCH($F138,'Faculties'!$B$42:$B$51,0))="","Cell will autofill based on response",INDEX('Faculties'!$M$42:$M$51,MATCH($F138,'Faculties'!$B$42:$B$51,0))),"N/A")</f>
        <v/>
      </c>
      <c r="K138" s="52">
        <f>IFERROR(IF(INDEX('Faculties'!$M$58:$M$67,MATCH($F138,'Faculties'!$B$58:$B$67,0))="","Cell will autofill based on response",INDEX('Faculties'!$M$58:$M$67,MATCH($F138,'Faculties'!$B$58:$B$67,0))),"N/A")</f>
        <v/>
      </c>
      <c r="L138" s="52">
        <f>IFERROR(IF(INDEX('CI&amp;S'!$M$10:$M$15,MATCH($F138,'CI&amp;S'!$B$10:$B$15,0))="","Cell will autofill based on response",INDEX('CI&amp;S'!$M$10:$M$15,MATCH($F138,'CI&amp;S'!$B$10:$B$15,0))),"N/A")</f>
        <v/>
      </c>
      <c r="M138" s="52">
        <f>IFERROR(IF(INDEX('CI&amp;S'!$M$22:$M$36,MATCH($F138,'CI&amp;S'!$B$22:$B$36,0))="","Cell will autofill based on response",INDEX('CI&amp;S'!$M$22:$M$36,MATCH($F138,'CI&amp;S'!$B$22:$B$36,0))),"N/A")</f>
        <v/>
      </c>
      <c r="N138" s="52">
        <f>IFERROR(IF(INDEX('CFOG'!$M$10:$M$16,MATCH($F138,'CFOG'!$B$10:$B$16,0))="","Cell will autofill based on response",INDEX('CFOG'!$M$10:$M$16,MATCH($F138,'CFOG'!$B$10:$B$16,0))),"N/A")</f>
        <v/>
      </c>
      <c r="O138" s="52">
        <f>IFERROR(IF(INDEX('CFOG'!$M$23:$M$24,MATCH($F138,'CFOG'!$B$23:$B$24,0))="","Cell will autofill based on response",INDEX('CFOG'!$M$23:$M$24,MATCH($F138,'CFOG'!$B$23:$B$24,0))),"N/A")</f>
        <v/>
      </c>
      <c r="P138" s="52">
        <f>IFERROR(IF(INDEX('ESG'!$M$10:$M$17,MATCH($F138,'ESG'!$B$10:$B$17,0))="","Cell will autofill based on response",INDEX('ESG'!$M$10:$M$17,MATCH($F138,'ESG'!$B$10:$B$17,0))),"N/A")</f>
        <v/>
      </c>
      <c r="Q138" s="52">
        <f>IFERROR(IF(INDEX('CIOG'!$M$10:$M$14,MATCH($F138,'CIOG'!$B$10:$B$14,0))="","Cell will autofill based on response",INDEX('CIOG'!$M$10:$M$14,MATCH($F138,'CIOG'!$B$10:$B$14,0))),"N/A")</f>
        <v/>
      </c>
      <c r="R138" s="52">
        <f>IFERROR(IF(INDEX('MRE'!$M$10:$M$18,MATCH($F138,'MRE'!$B$10:$B$18,0))="","Cell will autofill based on response",INDEX('MRE'!$M$10:$M$18,MATCH($F138,'MRE'!$B$10:$B$18,0))),"N/A")</f>
        <v/>
      </c>
      <c r="S138" s="52">
        <f>IFERROR(IF(INDEX('AC&amp;M'!$M$10:$M$14,MATCH($F138,'AC&amp;M'!$B$10:$B$14,0))="","Cell will autofill based on response",INDEX('AC&amp;M'!$M$10:$M$14,MATCH($F138,'AC&amp;M'!$B$10:$B$14,0))),"N/A")</f>
        <v/>
      </c>
      <c r="T138" s="52">
        <f>IFERROR(IF(INDEX('GCE'!$M$10:$M$12,MATCH($F138,'GCE'!$B$10:$B$12,0))="","Cell will autofill based on response",INDEX('GCE'!$M$10:$M$12,MATCH($F138,'GCE'!$B$10:$B$12,0))),"N/A")</f>
        <v/>
      </c>
      <c r="U138" s="52">
        <f>IFERROR(IF(INDEX('Education'!$M$10:$M$13,MATCH($F138,'Education'!$B$10:$B$13,0))="","Cell will autofill based on response",INDEX('Education'!$M$10:$M$13,MATCH($F138,'Education'!$B$10:$B$13,0))),"N/A")</f>
        <v/>
      </c>
      <c r="V138" s="52">
        <f>IFERROR(IF(INDEX('SaSS'!$M$10:$M$12,MATCH($F138,'SaSS'!$B$10:$B$12,0))="","Cell will autofill based on response",INDEX('SaSS'!$M$10:$M$12,MATCH($F138,'SaSS'!$B$10:$B$12,0))),"N/A")</f>
        <v/>
      </c>
      <c r="W138" s="52">
        <f>IFERROR(IF(INDEX('Indigenous'!$M$10:$M$11,MATCH($F138,'Indigenous'!$B$10:$B$11,0))="","Cell will autofill based on response",INDEX('Indigenous'!$M$10:$M$11,MATCH($F138,'Indigenous'!$B$10:$B$11,0))),"N/A")</f>
        <v/>
      </c>
      <c r="X138" s="52">
        <f>IFERROR(IF(INDEX('L&amp;R'!$M$10:$M$11,MATCH($F138,'L&amp;R'!$B$10:$B$11,0))="","Cell will autofill based on response",INDEX('L&amp;R'!$M$10:$M$11,MATCH($F138,'L&amp;R'!$B$10:$B$11,0))),"N/A")</f>
        <v/>
      </c>
    </row>
    <row r="139">
      <c r="A139">
        <f>F139&amp;"|"&amp;G139</f>
        <v/>
      </c>
      <c r="B139" s="13" t="inlineStr"/>
      <c r="C139" s="8" t="inlineStr"/>
      <c r="D139" s="8" t="inlineStr"/>
      <c r="E139" s="8" t="inlineStr"/>
      <c r="F139" s="8" t="inlineStr">
        <is>
          <t>NB1(d)</t>
        </is>
      </c>
      <c r="G139" s="8" t="inlineStr">
        <is>
          <t>OPTION 2:  Indicator level reporting</t>
        </is>
      </c>
      <c r="H139" s="52">
        <f>IFERROR(IF(INDEX('Faculties'!$N$10:$N$19,MATCH($F139,'Faculties'!$B$10:$B$19,0))="","Cell will autofill based on response",INDEX('Faculties'!$N$10:$N$19,MATCH($F139,'Faculties'!$B$10:$B$19,0))),"N/A")</f>
        <v/>
      </c>
      <c r="I139" s="52">
        <f>IFERROR(IF(INDEX('Faculties'!$N$26:$N$35,MATCH($F139,'Faculties'!$B$26:$B$35,0))="","Cell will autofill based on response",INDEX('Faculties'!$N$26:$N$35,MATCH($F139,'Faculties'!$B$26:$B$35,0))),"N/A")</f>
        <v/>
      </c>
      <c r="J139" s="52">
        <f>IFERROR(IF(INDEX('Faculties'!$N$42:$N$51,MATCH($F139,'Faculties'!$B$42:$B$51,0))="","Cell will autofill based on response",INDEX('Faculties'!$N$42:$N$51,MATCH($F139,'Faculties'!$B$42:$B$51,0))),"N/A")</f>
        <v/>
      </c>
      <c r="K139" s="52">
        <f>IFERROR(IF(INDEX('Faculties'!$N$58:$N$67,MATCH($F139,'Faculties'!$B$58:$B$67,0))="","Cell will autofill based on response",INDEX('Faculties'!$N$58:$N$67,MATCH($F139,'Faculties'!$B$58:$B$67,0))),"N/A")</f>
        <v/>
      </c>
      <c r="L139" s="52">
        <f>IFERROR(IF(INDEX('CI&amp;S'!$N$10:$N$15,MATCH($F139,'CI&amp;S'!$B$10:$B$15,0))="","Cell will autofill based on response",INDEX('CI&amp;S'!$N$10:$N$15,MATCH($F139,'CI&amp;S'!$B$10:$B$15,0))),"N/A")</f>
        <v/>
      </c>
      <c r="M139" s="52">
        <f>IFERROR(IF(INDEX('CI&amp;S'!$N$22:$N$36,MATCH($F139,'CI&amp;S'!$B$22:$B$36,0))="","Cell will autofill based on response",INDEX('CI&amp;S'!$N$22:$N$36,MATCH($F139,'CI&amp;S'!$B$22:$B$36,0))),"N/A")</f>
        <v/>
      </c>
      <c r="N139" s="52">
        <f>IFERROR(IF(INDEX('CFOG'!$N$10:$N$16,MATCH($F139,'CFOG'!$B$10:$B$16,0))="","Cell will autofill based on response",INDEX('CFOG'!$N$10:$N$16,MATCH($F139,'CFOG'!$B$10:$B$16,0))),"N/A")</f>
        <v/>
      </c>
      <c r="O139" s="52">
        <f>IFERROR(IF(INDEX('CFOG'!$N$23:$N$24,MATCH($F139,'CFOG'!$B$23:$B$24,0))="","Cell will autofill based on response",INDEX('CFOG'!$N$23:$N$24,MATCH($F139,'CFOG'!$B$23:$B$24,0))),"N/A")</f>
        <v/>
      </c>
      <c r="P139" s="52">
        <f>IFERROR(IF(INDEX('ESG'!$N$10:$N$17,MATCH($F139,'ESG'!$B$10:$B$17,0))="","Cell will autofill based on response",INDEX('ESG'!$N$10:$N$17,MATCH($F139,'ESG'!$B$10:$B$17,0))),"N/A")</f>
        <v/>
      </c>
      <c r="Q139" s="52">
        <f>IFERROR(IF(INDEX('CIOG'!$N$10:$N$14,MATCH($F139,'CIOG'!$B$10:$B$14,0))="","Cell will autofill based on response",INDEX('CIOG'!$N$10:$N$14,MATCH($F139,'CIOG'!$B$10:$B$14,0))),"N/A")</f>
        <v/>
      </c>
      <c r="R139" s="52">
        <f>IFERROR(IF(INDEX('MRE'!$N$10:$N$18,MATCH($F139,'MRE'!$B$10:$B$18,0))="","Cell will autofill based on response",INDEX('MRE'!$N$10:$N$18,MATCH($F139,'MRE'!$B$10:$B$18,0))),"N/A")</f>
        <v/>
      </c>
      <c r="S139" s="52">
        <f>IFERROR(IF(INDEX('AC&amp;M'!$N$10:$N$14,MATCH($F139,'AC&amp;M'!$B$10:$B$14,0))="","Cell will autofill based on response",INDEX('AC&amp;M'!$N$10:$N$14,MATCH($F139,'AC&amp;M'!$B$10:$B$14,0))),"N/A")</f>
        <v/>
      </c>
      <c r="T139" s="52">
        <f>IFERROR(IF(INDEX('GCE'!$N$10:$N$12,MATCH($F139,'GCE'!$B$10:$B$12,0))="","Cell will autofill based on response",INDEX('GCE'!$N$10:$N$12,MATCH($F139,'GCE'!$B$10:$B$12,0))),"N/A")</f>
        <v/>
      </c>
      <c r="U139" s="52">
        <f>IFERROR(IF(INDEX('Education'!$N$10:$N$13,MATCH($F139,'Education'!$B$10:$B$13,0))="","Cell will autofill based on response",INDEX('Education'!$N$10:$N$13,MATCH($F139,'Education'!$B$10:$B$13,0))),"N/A")</f>
        <v/>
      </c>
      <c r="V139" s="52">
        <f>IFERROR(IF(INDEX('SaSS'!$N$10:$N$12,MATCH($F139,'SaSS'!$B$10:$B$12,0))="","Cell will autofill based on response",INDEX('SaSS'!$N$10:$N$12,MATCH($F139,'SaSS'!$B$10:$B$12,0))),"N/A")</f>
        <v/>
      </c>
      <c r="W139" s="52">
        <f>IFERROR(IF(INDEX('Indigenous'!$N$10:$N$11,MATCH($F139,'Indigenous'!$B$10:$B$11,0))="","Cell will autofill based on response",INDEX('Indigenous'!$N$10:$N$11,MATCH($F139,'Indigenous'!$B$10:$B$11,0))),"N/A")</f>
        <v/>
      </c>
      <c r="X139" s="52">
        <f>IFERROR(IF(INDEX('L&amp;R'!$N$10:$N$11,MATCH($F139,'L&amp;R'!$B$10:$B$11,0))="","Cell will autofill based on response",INDEX('L&amp;R'!$N$10:$N$11,MATCH($F139,'L&amp;R'!$B$10:$B$11,0))),"N/A")</f>
        <v/>
      </c>
    </row>
    <row r="140">
      <c r="A140">
        <f>F140&amp;"|"&amp;G140</f>
        <v/>
      </c>
      <c r="B140" s="13" t="inlineStr"/>
      <c r="C140" s="8" t="inlineStr"/>
      <c r="D140" s="8" t="inlineStr"/>
      <c r="E140" s="8" t="inlineStr"/>
      <c r="F140" s="8" t="inlineStr">
        <is>
          <t>NB1(d)</t>
        </is>
      </c>
      <c r="G140" s="8" t="inlineStr">
        <is>
          <t>Supporting information/comments</t>
        </is>
      </c>
      <c r="H140" s="52">
        <f>IFERROR(IF(INDEX('Faculties'!$O$10:$O$19,MATCH($F140,'Faculties'!$B$10:$B$19,0))="","Cell will autofill based on response",INDEX('Faculties'!$O$10:$O$19,MATCH($F140,'Faculties'!$B$10:$B$19,0))),"N/A")</f>
        <v/>
      </c>
      <c r="I140" s="52">
        <f>IFERROR(IF(INDEX('Faculties'!$O$26:$O$35,MATCH($F140,'Faculties'!$B$26:$B$35,0))="","Cell will autofill based on response",INDEX('Faculties'!$O$26:$O$35,MATCH($F140,'Faculties'!$B$26:$B$35,0))),"N/A")</f>
        <v/>
      </c>
      <c r="J140" s="52">
        <f>IFERROR(IF(INDEX('Faculties'!$O$42:$O$51,MATCH($F140,'Faculties'!$B$42:$B$51,0))="","Cell will autofill based on response",INDEX('Faculties'!$O$42:$O$51,MATCH($F140,'Faculties'!$B$42:$B$51,0))),"N/A")</f>
        <v/>
      </c>
      <c r="K140" s="52">
        <f>IFERROR(IF(INDEX('Faculties'!$O$58:$O$67,MATCH($F140,'Faculties'!$B$58:$B$67,0))="","Cell will autofill based on response",INDEX('Faculties'!$O$58:$O$67,MATCH($F140,'Faculties'!$B$58:$B$67,0))),"N/A")</f>
        <v/>
      </c>
      <c r="L140" s="52">
        <f>IFERROR(IF(INDEX('CI&amp;S'!$O$10:$O$15,MATCH($F140,'CI&amp;S'!$B$10:$B$15,0))="","Cell will autofill based on response",INDEX('CI&amp;S'!$O$10:$O$15,MATCH($F140,'CI&amp;S'!$B$10:$B$15,0))),"N/A")</f>
        <v/>
      </c>
      <c r="M140" s="52">
        <f>IFERROR(IF(INDEX('CI&amp;S'!$O$22:$O$36,MATCH($F140,'CI&amp;S'!$B$22:$B$36,0))="","Cell will autofill based on response",INDEX('CI&amp;S'!$O$22:$O$36,MATCH($F140,'CI&amp;S'!$B$22:$B$36,0))),"N/A")</f>
        <v/>
      </c>
      <c r="N140" s="52">
        <f>IFERROR(IF(INDEX('CFOG'!$O$10:$O$16,MATCH($F140,'CFOG'!$B$10:$B$16,0))="","Cell will autofill based on response",INDEX('CFOG'!$O$10:$O$16,MATCH($F140,'CFOG'!$B$10:$B$16,0))),"N/A")</f>
        <v/>
      </c>
      <c r="O140" s="52">
        <f>IFERROR(IF(INDEX('CFOG'!$O$23:$O$24,MATCH($F140,'CFOG'!$B$23:$B$24,0))="","Cell will autofill based on response",INDEX('CFOG'!$O$23:$O$24,MATCH($F140,'CFOG'!$B$23:$B$24,0))),"N/A")</f>
        <v/>
      </c>
      <c r="P140" s="52">
        <f>IFERROR(IF(INDEX('ESG'!$O$10:$O$17,MATCH($F140,'ESG'!$B$10:$B$17,0))="","Cell will autofill based on response",INDEX('ESG'!$O$10:$O$17,MATCH($F140,'ESG'!$B$10:$B$17,0))),"N/A")</f>
        <v/>
      </c>
      <c r="Q140" s="52">
        <f>IFERROR(IF(INDEX('CIOG'!$O$10:$O$14,MATCH($F140,'CIOG'!$B$10:$B$14,0))="","Cell will autofill based on response",INDEX('CIOG'!$O$10:$O$14,MATCH($F140,'CIOG'!$B$10:$B$14,0))),"N/A")</f>
        <v/>
      </c>
      <c r="R140" s="52">
        <f>IFERROR(IF(INDEX('MRE'!$O$10:$O$18,MATCH($F140,'MRE'!$B$10:$B$18,0))="","Cell will autofill based on response",INDEX('MRE'!$O$10:$O$18,MATCH($F140,'MRE'!$B$10:$B$18,0))),"N/A")</f>
        <v/>
      </c>
      <c r="S140" s="52">
        <f>IFERROR(IF(INDEX('AC&amp;M'!$O$10:$O$14,MATCH($F140,'AC&amp;M'!$B$10:$B$14,0))="","Cell will autofill based on response",INDEX('AC&amp;M'!$O$10:$O$14,MATCH($F140,'AC&amp;M'!$B$10:$B$14,0))),"N/A")</f>
        <v/>
      </c>
      <c r="T140" s="52">
        <f>IFERROR(IF(INDEX('GCE'!$O$10:$O$12,MATCH($F140,'GCE'!$B$10:$B$12,0))="","Cell will autofill based on response",INDEX('GCE'!$O$10:$O$12,MATCH($F140,'GCE'!$B$10:$B$12,0))),"N/A")</f>
        <v/>
      </c>
      <c r="U140" s="52">
        <f>IFERROR(IF(INDEX('Education'!$O$10:$O$13,MATCH($F140,'Education'!$B$10:$B$13,0))="","Cell will autofill based on response",INDEX('Education'!$O$10:$O$13,MATCH($F140,'Education'!$B$10:$B$13,0))),"N/A")</f>
        <v/>
      </c>
      <c r="V140" s="52">
        <f>IFERROR(IF(INDEX('SaSS'!$O$10:$O$12,MATCH($F140,'SaSS'!$B$10:$B$12,0))="","Cell will autofill based on response",INDEX('SaSS'!$O$10:$O$12,MATCH($F140,'SaSS'!$B$10:$B$12,0))),"N/A")</f>
        <v/>
      </c>
      <c r="W140" s="52">
        <f>IFERROR(IF(INDEX('Indigenous'!$O$10:$O$11,MATCH($F140,'Indigenous'!$B$10:$B$11,0))="","Cell will autofill based on response",INDEX('Indigenous'!$O$10:$O$11,MATCH($F140,'Indigenous'!$B$10:$B$11,0))),"N/A")</f>
        <v/>
      </c>
      <c r="X140" s="52">
        <f>IFERROR(IF(INDEX('L&amp;R'!$O$10:$O$11,MATCH($F140,'L&amp;R'!$B$10:$B$11,0))="","Cell will autofill based on response",INDEX('L&amp;R'!$O$10:$O$11,MATCH($F140,'L&amp;R'!$B$10:$B$11,0))),"N/A")</f>
        <v/>
      </c>
    </row>
    <row r="141">
      <c r="A141">
        <f>F141&amp;"|"&amp;G141</f>
        <v/>
      </c>
      <c r="B141" s="13" t="inlineStr"/>
      <c r="C141" s="8" t="inlineStr"/>
      <c r="D141" s="8" t="inlineStr"/>
      <c r="E141" s="8" t="inlineStr"/>
      <c r="F141" s="8" t="inlineStr">
        <is>
          <t>NB1(d)</t>
        </is>
      </c>
      <c r="G141" s="8" t="inlineStr">
        <is>
          <t>Data source and limitations</t>
        </is>
      </c>
      <c r="H141" s="52">
        <f>IFERROR(IF(INDEX('Faculties'!$P$10:$P$19,MATCH($F141,'Faculties'!$B$10:$B$19,0))="","Cell will autofill based on response",INDEX('Faculties'!$P$10:$P$19,MATCH($F141,'Faculties'!$B$10:$B$19,0))),"N/A")</f>
        <v/>
      </c>
      <c r="I141" s="52">
        <f>IFERROR(IF(INDEX('Faculties'!$P$26:$P$35,MATCH($F141,'Faculties'!$B$26:$B$35,0))="","Cell will autofill based on response",INDEX('Faculties'!$P$26:$P$35,MATCH($F141,'Faculties'!$B$26:$B$35,0))),"N/A")</f>
        <v/>
      </c>
      <c r="J141" s="52">
        <f>IFERROR(IF(INDEX('Faculties'!$P$42:$P$51,MATCH($F141,'Faculties'!$B$42:$B$51,0))="","Cell will autofill based on response",INDEX('Faculties'!$P$42:$P$51,MATCH($F141,'Faculties'!$B$42:$B$51,0))),"N/A")</f>
        <v/>
      </c>
      <c r="K141" s="52">
        <f>IFERROR(IF(INDEX('Faculties'!$P$58:$P$67,MATCH($F141,'Faculties'!$B$58:$B$67,0))="","Cell will autofill based on response",INDEX('Faculties'!$P$58:$P$67,MATCH($F141,'Faculties'!$B$58:$B$67,0))),"N/A")</f>
        <v/>
      </c>
      <c r="L141" s="52">
        <f>IFERROR(IF(INDEX('CI&amp;S'!$P$10:$P$15,MATCH($F141,'CI&amp;S'!$B$10:$B$15,0))="","Cell will autofill based on response",INDEX('CI&amp;S'!$P$10:$P$15,MATCH($F141,'CI&amp;S'!$B$10:$B$15,0))),"N/A")</f>
        <v/>
      </c>
      <c r="M141" s="52">
        <f>IFERROR(IF(INDEX('CI&amp;S'!$P$22:$P$36,MATCH($F141,'CI&amp;S'!$B$22:$B$36,0))="","Cell will autofill based on response",INDEX('CI&amp;S'!$P$22:$P$36,MATCH($F141,'CI&amp;S'!$B$22:$B$36,0))),"N/A")</f>
        <v/>
      </c>
      <c r="N141" s="52">
        <f>IFERROR(IF(INDEX('CFOG'!$P$10:$P$16,MATCH($F141,'CFOG'!$B$10:$B$16,0))="","Cell will autofill based on response",INDEX('CFOG'!$P$10:$P$16,MATCH($F141,'CFOG'!$B$10:$B$16,0))),"N/A")</f>
        <v/>
      </c>
      <c r="O141" s="52">
        <f>IFERROR(IF(INDEX('CFOG'!$P$23:$P$24,MATCH($F141,'CFOG'!$B$23:$B$24,0))="","Cell will autofill based on response",INDEX('CFOG'!$P$23:$P$24,MATCH($F141,'CFOG'!$B$23:$B$24,0))),"N/A")</f>
        <v/>
      </c>
      <c r="P141" s="52">
        <f>IFERROR(IF(INDEX('ESG'!$P$10:$P$17,MATCH($F141,'ESG'!$B$10:$B$17,0))="","Cell will autofill based on response",INDEX('ESG'!$P$10:$P$17,MATCH($F141,'ESG'!$B$10:$B$17,0))),"N/A")</f>
        <v/>
      </c>
      <c r="Q141" s="52">
        <f>IFERROR(IF(INDEX('CIOG'!$P$10:$P$14,MATCH($F141,'CIOG'!$B$10:$B$14,0))="","Cell will autofill based on response",INDEX('CIOG'!$P$10:$P$14,MATCH($F141,'CIOG'!$B$10:$B$14,0))),"N/A")</f>
        <v/>
      </c>
      <c r="R141" s="52">
        <f>IFERROR(IF(INDEX('MRE'!$P$10:$P$18,MATCH($F141,'MRE'!$B$10:$B$18,0))="","Cell will autofill based on response",INDEX('MRE'!$P$10:$P$18,MATCH($F141,'MRE'!$B$10:$B$18,0))),"N/A")</f>
        <v/>
      </c>
      <c r="S141" s="52">
        <f>IFERROR(IF(INDEX('AC&amp;M'!$P$10:$P$14,MATCH($F141,'AC&amp;M'!$B$10:$B$14,0))="","Cell will autofill based on response",INDEX('AC&amp;M'!$P$10:$P$14,MATCH($F141,'AC&amp;M'!$B$10:$B$14,0))),"N/A")</f>
        <v/>
      </c>
      <c r="T141" s="52">
        <f>IFERROR(IF(INDEX('GCE'!$P$10:$P$12,MATCH($F141,'GCE'!$B$10:$B$12,0))="","Cell will autofill based on response",INDEX('GCE'!$P$10:$P$12,MATCH($F141,'GCE'!$B$10:$B$12,0))),"N/A")</f>
        <v/>
      </c>
      <c r="U141" s="52">
        <f>IFERROR(IF(INDEX('Education'!$P$10:$P$13,MATCH($F141,'Education'!$B$10:$B$13,0))="","Cell will autofill based on response",INDEX('Education'!$P$10:$P$13,MATCH($F141,'Education'!$B$10:$B$13,0))),"N/A")</f>
        <v/>
      </c>
      <c r="V141" s="52">
        <f>IFERROR(IF(INDEX('SaSS'!$P$10:$P$12,MATCH($F141,'SaSS'!$B$10:$B$12,0))="","Cell will autofill based on response",INDEX('SaSS'!$P$10:$P$12,MATCH($F141,'SaSS'!$B$10:$B$12,0))),"N/A")</f>
        <v/>
      </c>
      <c r="W141" s="52">
        <f>IFERROR(IF(INDEX('Indigenous'!$P$10:$P$11,MATCH($F141,'Indigenous'!$B$10:$B$11,0))="","Cell will autofill based on response",INDEX('Indigenous'!$P$10:$P$11,MATCH($F141,'Indigenous'!$B$10:$B$11,0))),"N/A")</f>
        <v/>
      </c>
      <c r="X141" s="52">
        <f>IFERROR(IF(INDEX('L&amp;R'!$P$10:$P$11,MATCH($F141,'L&amp;R'!$B$10:$B$11,0))="","Cell will autofill based on response",INDEX('L&amp;R'!$P$10:$P$11,MATCH($F141,'L&amp;R'!$B$10:$B$11,0))),"N/A")</f>
        <v/>
      </c>
    </row>
    <row r="142">
      <c r="A142">
        <f>F142&amp;"|"&amp;G142</f>
        <v/>
      </c>
      <c r="B142" s="13" t="inlineStr"/>
      <c r="C142" s="8" t="inlineStr"/>
      <c r="D142" s="8" t="inlineStr"/>
      <c r="E142" s="8" t="inlineStr"/>
      <c r="F142" s="8" t="inlineStr">
        <is>
          <t>NB1(d)</t>
        </is>
      </c>
      <c r="G142" s="8" t="inlineStr">
        <is>
          <t>Data owner confirms</t>
        </is>
      </c>
      <c r="H142" s="52">
        <f>IFERROR(IF(INDEX('Faculties'!$Q$10:$Q$19,MATCH($F142,'Faculties'!$B$10:$B$19,0))="","Cell will autofill based on response",INDEX('Faculties'!$Q$10:$Q$19,MATCH($F142,'Faculties'!$B$10:$B$19,0))),"N/A")</f>
        <v/>
      </c>
      <c r="I142" s="52">
        <f>IFERROR(IF(INDEX('Faculties'!$Q$26:$Q$35,MATCH($F142,'Faculties'!$B$26:$B$35,0))="","Cell will autofill based on response",INDEX('Faculties'!$Q$26:$Q$35,MATCH($F142,'Faculties'!$B$26:$B$35,0))),"N/A")</f>
        <v/>
      </c>
      <c r="J142" s="52">
        <f>IFERROR(IF(INDEX('Faculties'!$Q$42:$Q$51,MATCH($F142,'Faculties'!$B$42:$B$51,0))="","Cell will autofill based on response",INDEX('Faculties'!$Q$42:$Q$51,MATCH($F142,'Faculties'!$B$42:$B$51,0))),"N/A")</f>
        <v/>
      </c>
      <c r="K142" s="52">
        <f>IFERROR(IF(INDEX('Faculties'!$Q$58:$Q$67,MATCH($F142,'Faculties'!$B$58:$B$67,0))="","Cell will autofill based on response",INDEX('Faculties'!$Q$58:$Q$67,MATCH($F142,'Faculties'!$B$58:$B$67,0))),"N/A")</f>
        <v/>
      </c>
      <c r="L142" s="52">
        <f>IFERROR(IF(INDEX('CI&amp;S'!$Q$10:$Q$15,MATCH($F142,'CI&amp;S'!$B$10:$B$15,0))="","Cell will autofill based on response",INDEX('CI&amp;S'!$Q$10:$Q$15,MATCH($F142,'CI&amp;S'!$B$10:$B$15,0))),"N/A")</f>
        <v/>
      </c>
      <c r="M142" s="52">
        <f>IFERROR(IF(INDEX('CI&amp;S'!$Q$22:$Q$36,MATCH($F142,'CI&amp;S'!$B$22:$B$36,0))="","Cell will autofill based on response",INDEX('CI&amp;S'!$Q$22:$Q$36,MATCH($F142,'CI&amp;S'!$B$22:$B$36,0))),"N/A")</f>
        <v/>
      </c>
      <c r="N142" s="52">
        <f>IFERROR(IF(INDEX('CFOG'!$Q$10:$Q$16,MATCH($F142,'CFOG'!$B$10:$B$16,0))="","Cell will autofill based on response",INDEX('CFOG'!$Q$10:$Q$16,MATCH($F142,'CFOG'!$B$10:$B$16,0))),"N/A")</f>
        <v/>
      </c>
      <c r="O142" s="52">
        <f>IFERROR(IF(INDEX('CFOG'!$Q$23:$Q$24,MATCH($F142,'CFOG'!$B$23:$B$24,0))="","Cell will autofill based on response",INDEX('CFOG'!$Q$23:$Q$24,MATCH($F142,'CFOG'!$B$23:$B$24,0))),"N/A")</f>
        <v/>
      </c>
      <c r="P142" s="52">
        <f>IFERROR(IF(INDEX('ESG'!$Q$10:$Q$17,MATCH($F142,'ESG'!$B$10:$B$17,0))="","Cell will autofill based on response",INDEX('ESG'!$Q$10:$Q$17,MATCH($F142,'ESG'!$B$10:$B$17,0))),"N/A")</f>
        <v/>
      </c>
      <c r="Q142" s="52">
        <f>IFERROR(IF(INDEX('CIOG'!$Q$10:$Q$14,MATCH($F142,'CIOG'!$B$10:$B$14,0))="","Cell will autofill based on response",INDEX('CIOG'!$Q$10:$Q$14,MATCH($F142,'CIOG'!$B$10:$B$14,0))),"N/A")</f>
        <v/>
      </c>
      <c r="R142" s="52">
        <f>IFERROR(IF(INDEX('MRE'!$Q$10:$Q$18,MATCH($F142,'MRE'!$B$10:$B$18,0))="","Cell will autofill based on response",INDEX('MRE'!$Q$10:$Q$18,MATCH($F142,'MRE'!$B$10:$B$18,0))),"N/A")</f>
        <v/>
      </c>
      <c r="S142" s="52">
        <f>IFERROR(IF(INDEX('AC&amp;M'!$Q$10:$Q$14,MATCH($F142,'AC&amp;M'!$B$10:$B$14,0))="","Cell will autofill based on response",INDEX('AC&amp;M'!$Q$10:$Q$14,MATCH($F142,'AC&amp;M'!$B$10:$B$14,0))),"N/A")</f>
        <v/>
      </c>
      <c r="T142" s="52">
        <f>IFERROR(IF(INDEX('GCE'!$Q$10:$Q$12,MATCH($F142,'GCE'!$B$10:$B$12,0))="","Cell will autofill based on response",INDEX('GCE'!$Q$10:$Q$12,MATCH($F142,'GCE'!$B$10:$B$12,0))),"N/A")</f>
        <v/>
      </c>
      <c r="U142" s="52">
        <f>IFERROR(IF(INDEX('Education'!$Q$10:$Q$13,MATCH($F142,'Education'!$B$10:$B$13,0))="","Cell will autofill based on response",INDEX('Education'!$Q$10:$Q$13,MATCH($F142,'Education'!$B$10:$B$13,0))),"N/A")</f>
        <v/>
      </c>
      <c r="V142" s="52">
        <f>IFERROR(IF(INDEX('SaSS'!$Q$10:$Q$12,MATCH($F142,'SaSS'!$B$10:$B$12,0))="","Cell will autofill based on response",INDEX('SaSS'!$Q$10:$Q$12,MATCH($F142,'SaSS'!$B$10:$B$12,0))),"N/A")</f>
        <v/>
      </c>
      <c r="W142" s="52">
        <f>IFERROR(IF(INDEX('Indigenous'!$Q$10:$Q$11,MATCH($F142,'Indigenous'!$B$10:$B$11,0))="","Cell will autofill based on response",INDEX('Indigenous'!$Q$10:$Q$11,MATCH($F142,'Indigenous'!$B$10:$B$11,0))),"N/A")</f>
        <v/>
      </c>
      <c r="X142" s="52">
        <f>IFERROR(IF(INDEX('L&amp;R'!$Q$10:$Q$11,MATCH($F142,'L&amp;R'!$B$10:$B$11,0))="","Cell will autofill based on response",INDEX('L&amp;R'!$Q$10:$Q$11,MATCH($F142,'L&amp;R'!$B$10:$B$11,0))),"N/A")</f>
        <v/>
      </c>
    </row>
    <row r="143">
      <c r="A143">
        <f>F143&amp;"|"&amp;G143</f>
        <v/>
      </c>
      <c r="B143" s="7" t="inlineStr">
        <is>
          <t>NB2(a)</t>
        </is>
      </c>
      <c r="C143" s="50" t="inlineStr">
        <is>
          <t>Nature and biodiversity</t>
        </is>
      </c>
      <c r="D143" s="50" t="inlineStr">
        <is>
          <t>Documented baseline nature footprint analysis</t>
        </is>
      </c>
      <c r="E143" s="50" t="inlineStr">
        <is>
          <t>Impact Encore Measurement</t>
        </is>
      </c>
      <c r="F143" s="50" t="inlineStr">
        <is>
          <t>NB2(a)</t>
        </is>
      </c>
      <c r="G143" s="50" t="inlineStr">
        <is>
          <t>Confirm end-2026 target status</t>
        </is>
      </c>
      <c r="H143" s="52">
        <f>IFERROR(IF(INDEX('Faculties'!$L$10:$L$19,MATCH($F143,'Faculties'!$B$10:$B$19,0))="","Cell will autofill based on response",INDEX('Faculties'!$L$10:$L$19,MATCH($F143,'Faculties'!$B$10:$B$19,0))),"N/A")</f>
        <v/>
      </c>
      <c r="I143" s="52">
        <f>IFERROR(IF(INDEX('Faculties'!$L$26:$L$35,MATCH($F143,'Faculties'!$B$26:$B$35,0))="","Cell will autofill based on response",INDEX('Faculties'!$L$26:$L$35,MATCH($F143,'Faculties'!$B$26:$B$35,0))),"N/A")</f>
        <v/>
      </c>
      <c r="J143" s="52">
        <f>IFERROR(IF(INDEX('Faculties'!$L$42:$L$51,MATCH($F143,'Faculties'!$B$42:$B$51,0))="","Cell will autofill based on response",INDEX('Faculties'!$L$42:$L$51,MATCH($F143,'Faculties'!$B$42:$B$51,0))),"N/A")</f>
        <v/>
      </c>
      <c r="K143" s="52">
        <f>IFERROR(IF(INDEX('Faculties'!$L$58:$L$67,MATCH($F143,'Faculties'!$B$58:$B$67,0))="","Cell will autofill based on response",INDEX('Faculties'!$L$58:$L$67,MATCH($F143,'Faculties'!$B$58:$B$67,0))),"N/A")</f>
        <v/>
      </c>
      <c r="L143" s="52">
        <f>IFERROR(IF(INDEX('CI&amp;S'!$L$10:$L$15,MATCH($F143,'CI&amp;S'!$B$10:$B$15,0))="","Cell will autofill based on response",INDEX('CI&amp;S'!$L$10:$L$15,MATCH($F143,'CI&amp;S'!$B$10:$B$15,0))),"N/A")</f>
        <v/>
      </c>
      <c r="M143" s="52">
        <f>IFERROR(IF(INDEX('CI&amp;S'!$L$22:$L$36,MATCH($F143,'CI&amp;S'!$B$22:$B$36,0))="","Cell will autofill based on response",INDEX('CI&amp;S'!$L$22:$L$36,MATCH($F143,'CI&amp;S'!$B$22:$B$36,0))),"N/A")</f>
        <v/>
      </c>
      <c r="N143" s="52">
        <f>IFERROR(IF(INDEX('CFOG'!$L$10:$L$16,MATCH($F143,'CFOG'!$B$10:$B$16,0))="","Cell will autofill based on response",INDEX('CFOG'!$L$10:$L$16,MATCH($F143,'CFOG'!$B$10:$B$16,0))),"N/A")</f>
        <v/>
      </c>
      <c r="O143" s="52">
        <f>IFERROR(IF(INDEX('CFOG'!$L$23:$L$24,MATCH($F143,'CFOG'!$B$23:$B$24,0))="","Cell will autofill based on response",INDEX('CFOG'!$L$23:$L$24,MATCH($F143,'CFOG'!$B$23:$B$24,0))),"N/A")</f>
        <v/>
      </c>
      <c r="P143" s="52">
        <f>IFERROR(IF(INDEX('ESG'!$L$10:$L$17,MATCH($F143,'ESG'!$B$10:$B$17,0))="","Cell will autofill based on response",INDEX('ESG'!$L$10:$L$17,MATCH($F143,'ESG'!$B$10:$B$17,0))),"N/A")</f>
        <v/>
      </c>
      <c r="Q143" s="52">
        <f>IFERROR(IF(INDEX('CIOG'!$L$10:$L$14,MATCH($F143,'CIOG'!$B$10:$B$14,0))="","Cell will autofill based on response",INDEX('CIOG'!$L$10:$L$14,MATCH($F143,'CIOG'!$B$10:$B$14,0))),"N/A")</f>
        <v/>
      </c>
      <c r="R143" s="52">
        <f>IFERROR(IF(INDEX('MRE'!$L$10:$L$18,MATCH($F143,'MRE'!$B$10:$B$18,0))="","Cell will autofill based on response",INDEX('MRE'!$L$10:$L$18,MATCH($F143,'MRE'!$B$10:$B$18,0))),"N/A")</f>
        <v/>
      </c>
      <c r="S143" s="52">
        <f>IFERROR(IF(INDEX('AC&amp;M'!$L$10:$L$14,MATCH($F143,'AC&amp;M'!$B$10:$B$14,0))="","Cell will autofill based on response",INDEX('AC&amp;M'!$L$10:$L$14,MATCH($F143,'AC&amp;M'!$B$10:$B$14,0))),"N/A")</f>
        <v/>
      </c>
      <c r="T143" s="52">
        <f>IFERROR(IF(INDEX('GCE'!$L$10:$L$12,MATCH($F143,'GCE'!$B$10:$B$12,0))="","Cell will autofill based on response",INDEX('GCE'!$L$10:$L$12,MATCH($F143,'GCE'!$B$10:$B$12,0))),"N/A")</f>
        <v/>
      </c>
      <c r="U143" s="52">
        <f>IFERROR(IF(INDEX('Education'!$L$10:$L$13,MATCH($F143,'Education'!$B$10:$B$13,0))="","Cell will autofill based on response",INDEX('Education'!$L$10:$L$13,MATCH($F143,'Education'!$B$10:$B$13,0))),"N/A")</f>
        <v/>
      </c>
      <c r="V143" s="52">
        <f>IFERROR(IF(INDEX('SaSS'!$L$10:$L$12,MATCH($F143,'SaSS'!$B$10:$B$12,0))="","Cell will autofill based on response",INDEX('SaSS'!$L$10:$L$12,MATCH($F143,'SaSS'!$B$10:$B$12,0))),"N/A")</f>
        <v/>
      </c>
      <c r="W143" s="52">
        <f>IFERROR(IF(INDEX('Indigenous'!$L$10:$L$11,MATCH($F143,'Indigenous'!$B$10:$B$11,0))="","Cell will autofill based on response",INDEX('Indigenous'!$L$10:$L$11,MATCH($F143,'Indigenous'!$B$10:$B$11,0))),"N/A")</f>
        <v/>
      </c>
      <c r="X143" s="52">
        <f>IFERROR(IF(INDEX('L&amp;R'!$L$10:$L$11,MATCH($F143,'L&amp;R'!$B$10:$B$11,0))="","Cell will autofill based on response",INDEX('L&amp;R'!$L$10:$L$11,MATCH($F143,'L&amp;R'!$B$10:$B$11,0))),"N/A")</f>
        <v/>
      </c>
      <c r="Z143" s="10">
        <f>COUNTIF($H143:$X143,"Cell will autofill based on response")</f>
        <v/>
      </c>
      <c r="AA143" s="10">
        <f>COUNTIF($H143:$X143,"Not yet started")</f>
        <v/>
      </c>
      <c r="AB143" s="10">
        <f>COUNTIF($H143:$X143,"Not met")</f>
        <v/>
      </c>
      <c r="AC143" s="10">
        <f>COUNTIF($H143:$X143,"Partially met")</f>
        <v/>
      </c>
      <c r="AD143" s="10">
        <f>COUNTIF($H143:$X143,"Met or exceeded")</f>
        <v/>
      </c>
      <c r="AE143" s="10">
        <f>3*AD143+2*AC143+AB143</f>
        <v/>
      </c>
      <c r="AF143" s="10">
        <f>AD143+AC143+AB143+AA143</f>
        <v/>
      </c>
      <c r="AG143" s="53">
        <f>IF(AF143&gt;0,AE143/AF143,"No valid responses to date")</f>
        <v/>
      </c>
      <c r="AH143" s="10">
        <f>IF(ISNUMBER(AG143),INDEX(Lists!$G$2:$G$5,MATCH(ROUND(AG143,0),Lists!$H$2:$H$5,0)),"")</f>
        <v/>
      </c>
      <c r="AI143" s="54">
        <f>IF(AF143&gt;0,AD143/AF143,"")</f>
        <v/>
      </c>
      <c r="AJ143" s="54">
        <f>IF(AF143&gt;0,(AD143+AC143)/AF143,"")</f>
        <v/>
      </c>
      <c r="AK143" s="10">
        <f>IF(AF143=0,"",IF(AI143&gt;0.75,"Met or exceeded",IF(AJ143&gt;=0.5,"Partially met","Not met")))</f>
        <v/>
      </c>
    </row>
    <row r="144">
      <c r="A144">
        <f>F144&amp;"|"&amp;G144</f>
        <v/>
      </c>
      <c r="B144" s="13" t="inlineStr"/>
      <c r="C144" s="8" t="inlineStr"/>
      <c r="D144" s="8" t="inlineStr"/>
      <c r="E144" s="8" t="inlineStr"/>
      <c r="F144" s="8" t="inlineStr">
        <is>
          <t>NB2(a)</t>
        </is>
      </c>
      <c r="G144" s="8" t="inlineStr">
        <is>
          <t>OPTION 1:  Target-level reporting</t>
        </is>
      </c>
      <c r="H144" s="52">
        <f>IFERROR(IF(INDEX('Faculties'!$M$10:$M$19,MATCH($F144,'Faculties'!$B$10:$B$19,0))="","Cell will autofill based on response",INDEX('Faculties'!$M$10:$M$19,MATCH($F144,'Faculties'!$B$10:$B$19,0))),"N/A")</f>
        <v/>
      </c>
      <c r="I144" s="52">
        <f>IFERROR(IF(INDEX('Faculties'!$M$26:$M$35,MATCH($F144,'Faculties'!$B$26:$B$35,0))="","Cell will autofill based on response",INDEX('Faculties'!$M$26:$M$35,MATCH($F144,'Faculties'!$B$26:$B$35,0))),"N/A")</f>
        <v/>
      </c>
      <c r="J144" s="52">
        <f>IFERROR(IF(INDEX('Faculties'!$M$42:$M$51,MATCH($F144,'Faculties'!$B$42:$B$51,0))="","Cell will autofill based on response",INDEX('Faculties'!$M$42:$M$51,MATCH($F144,'Faculties'!$B$42:$B$51,0))),"N/A")</f>
        <v/>
      </c>
      <c r="K144" s="52">
        <f>IFERROR(IF(INDEX('Faculties'!$M$58:$M$67,MATCH($F144,'Faculties'!$B$58:$B$67,0))="","Cell will autofill based on response",INDEX('Faculties'!$M$58:$M$67,MATCH($F144,'Faculties'!$B$58:$B$67,0))),"N/A")</f>
        <v/>
      </c>
      <c r="L144" s="52">
        <f>IFERROR(IF(INDEX('CI&amp;S'!$M$10:$M$15,MATCH($F144,'CI&amp;S'!$B$10:$B$15,0))="","Cell will autofill based on response",INDEX('CI&amp;S'!$M$10:$M$15,MATCH($F144,'CI&amp;S'!$B$10:$B$15,0))),"N/A")</f>
        <v/>
      </c>
      <c r="M144" s="52">
        <f>IFERROR(IF(INDEX('CI&amp;S'!$M$22:$M$36,MATCH($F144,'CI&amp;S'!$B$22:$B$36,0))="","Cell will autofill based on response",INDEX('CI&amp;S'!$M$22:$M$36,MATCH($F144,'CI&amp;S'!$B$22:$B$36,0))),"N/A")</f>
        <v/>
      </c>
      <c r="N144" s="52">
        <f>IFERROR(IF(INDEX('CFOG'!$M$10:$M$16,MATCH($F144,'CFOG'!$B$10:$B$16,0))="","Cell will autofill based on response",INDEX('CFOG'!$M$10:$M$16,MATCH($F144,'CFOG'!$B$10:$B$16,0))),"N/A")</f>
        <v/>
      </c>
      <c r="O144" s="52">
        <f>IFERROR(IF(INDEX('CFOG'!$M$23:$M$24,MATCH($F144,'CFOG'!$B$23:$B$24,0))="","Cell will autofill based on response",INDEX('CFOG'!$M$23:$M$24,MATCH($F144,'CFOG'!$B$23:$B$24,0))),"N/A")</f>
        <v/>
      </c>
      <c r="P144" s="52">
        <f>IFERROR(IF(INDEX('ESG'!$M$10:$M$17,MATCH($F144,'ESG'!$B$10:$B$17,0))="","Cell will autofill based on response",INDEX('ESG'!$M$10:$M$17,MATCH($F144,'ESG'!$B$10:$B$17,0))),"N/A")</f>
        <v/>
      </c>
      <c r="Q144" s="52">
        <f>IFERROR(IF(INDEX('CIOG'!$M$10:$M$14,MATCH($F144,'CIOG'!$B$10:$B$14,0))="","Cell will autofill based on response",INDEX('CIOG'!$M$10:$M$14,MATCH($F144,'CIOG'!$B$10:$B$14,0))),"N/A")</f>
        <v/>
      </c>
      <c r="R144" s="52">
        <f>IFERROR(IF(INDEX('MRE'!$M$10:$M$18,MATCH($F144,'MRE'!$B$10:$B$18,0))="","Cell will autofill based on response",INDEX('MRE'!$M$10:$M$18,MATCH($F144,'MRE'!$B$10:$B$18,0))),"N/A")</f>
        <v/>
      </c>
      <c r="S144" s="52">
        <f>IFERROR(IF(INDEX('AC&amp;M'!$M$10:$M$14,MATCH($F144,'AC&amp;M'!$B$10:$B$14,0))="","Cell will autofill based on response",INDEX('AC&amp;M'!$M$10:$M$14,MATCH($F144,'AC&amp;M'!$B$10:$B$14,0))),"N/A")</f>
        <v/>
      </c>
      <c r="T144" s="52">
        <f>IFERROR(IF(INDEX('GCE'!$M$10:$M$12,MATCH($F144,'GCE'!$B$10:$B$12,0))="","Cell will autofill based on response",INDEX('GCE'!$M$10:$M$12,MATCH($F144,'GCE'!$B$10:$B$12,0))),"N/A")</f>
        <v/>
      </c>
      <c r="U144" s="52">
        <f>IFERROR(IF(INDEX('Education'!$M$10:$M$13,MATCH($F144,'Education'!$B$10:$B$13,0))="","Cell will autofill based on response",INDEX('Education'!$M$10:$M$13,MATCH($F144,'Education'!$B$10:$B$13,0))),"N/A")</f>
        <v/>
      </c>
      <c r="V144" s="52">
        <f>IFERROR(IF(INDEX('SaSS'!$M$10:$M$12,MATCH($F144,'SaSS'!$B$10:$B$12,0))="","Cell will autofill based on response",INDEX('SaSS'!$M$10:$M$12,MATCH($F144,'SaSS'!$B$10:$B$12,0))),"N/A")</f>
        <v/>
      </c>
      <c r="W144" s="52">
        <f>IFERROR(IF(INDEX('Indigenous'!$M$10:$M$11,MATCH($F144,'Indigenous'!$B$10:$B$11,0))="","Cell will autofill based on response",INDEX('Indigenous'!$M$10:$M$11,MATCH($F144,'Indigenous'!$B$10:$B$11,0))),"N/A")</f>
        <v/>
      </c>
      <c r="X144" s="52">
        <f>IFERROR(IF(INDEX('L&amp;R'!$M$10:$M$11,MATCH($F144,'L&amp;R'!$B$10:$B$11,0))="","Cell will autofill based on response",INDEX('L&amp;R'!$M$10:$M$11,MATCH($F144,'L&amp;R'!$B$10:$B$11,0))),"N/A")</f>
        <v/>
      </c>
    </row>
    <row r="145">
      <c r="A145">
        <f>F145&amp;"|"&amp;G145</f>
        <v/>
      </c>
      <c r="B145" s="13" t="inlineStr"/>
      <c r="C145" s="8" t="inlineStr"/>
      <c r="D145" s="8" t="inlineStr"/>
      <c r="E145" s="8" t="inlineStr"/>
      <c r="F145" s="8" t="inlineStr">
        <is>
          <t>NB2(a)</t>
        </is>
      </c>
      <c r="G145" s="8" t="inlineStr">
        <is>
          <t>OPTION 2:  Indicator level reporting</t>
        </is>
      </c>
      <c r="H145" s="52">
        <f>IFERROR(IF(INDEX('Faculties'!$N$10:$N$19,MATCH($F145,'Faculties'!$B$10:$B$19,0))="","Cell will autofill based on response",INDEX('Faculties'!$N$10:$N$19,MATCH($F145,'Faculties'!$B$10:$B$19,0))),"N/A")</f>
        <v/>
      </c>
      <c r="I145" s="52">
        <f>IFERROR(IF(INDEX('Faculties'!$N$26:$N$35,MATCH($F145,'Faculties'!$B$26:$B$35,0))="","Cell will autofill based on response",INDEX('Faculties'!$N$26:$N$35,MATCH($F145,'Faculties'!$B$26:$B$35,0))),"N/A")</f>
        <v/>
      </c>
      <c r="J145" s="52">
        <f>IFERROR(IF(INDEX('Faculties'!$N$42:$N$51,MATCH($F145,'Faculties'!$B$42:$B$51,0))="","Cell will autofill based on response",INDEX('Faculties'!$N$42:$N$51,MATCH($F145,'Faculties'!$B$42:$B$51,0))),"N/A")</f>
        <v/>
      </c>
      <c r="K145" s="52">
        <f>IFERROR(IF(INDEX('Faculties'!$N$58:$N$67,MATCH($F145,'Faculties'!$B$58:$B$67,0))="","Cell will autofill based on response",INDEX('Faculties'!$N$58:$N$67,MATCH($F145,'Faculties'!$B$58:$B$67,0))),"N/A")</f>
        <v/>
      </c>
      <c r="L145" s="52">
        <f>IFERROR(IF(INDEX('CI&amp;S'!$N$10:$N$15,MATCH($F145,'CI&amp;S'!$B$10:$B$15,0))="","Cell will autofill based on response",INDEX('CI&amp;S'!$N$10:$N$15,MATCH($F145,'CI&amp;S'!$B$10:$B$15,0))),"N/A")</f>
        <v/>
      </c>
      <c r="M145" s="52">
        <f>IFERROR(IF(INDEX('CI&amp;S'!$N$22:$N$36,MATCH($F145,'CI&amp;S'!$B$22:$B$36,0))="","Cell will autofill based on response",INDEX('CI&amp;S'!$N$22:$N$36,MATCH($F145,'CI&amp;S'!$B$22:$B$36,0))),"N/A")</f>
        <v/>
      </c>
      <c r="N145" s="52">
        <f>IFERROR(IF(INDEX('CFOG'!$N$10:$N$16,MATCH($F145,'CFOG'!$B$10:$B$16,0))="","Cell will autofill based on response",INDEX('CFOG'!$N$10:$N$16,MATCH($F145,'CFOG'!$B$10:$B$16,0))),"N/A")</f>
        <v/>
      </c>
      <c r="O145" s="52">
        <f>IFERROR(IF(INDEX('CFOG'!$N$23:$N$24,MATCH($F145,'CFOG'!$B$23:$B$24,0))="","Cell will autofill based on response",INDEX('CFOG'!$N$23:$N$24,MATCH($F145,'CFOG'!$B$23:$B$24,0))),"N/A")</f>
        <v/>
      </c>
      <c r="P145" s="52">
        <f>IFERROR(IF(INDEX('ESG'!$N$10:$N$17,MATCH($F145,'ESG'!$B$10:$B$17,0))="","Cell will autofill based on response",INDEX('ESG'!$N$10:$N$17,MATCH($F145,'ESG'!$B$10:$B$17,0))),"N/A")</f>
        <v/>
      </c>
      <c r="Q145" s="52">
        <f>IFERROR(IF(INDEX('CIOG'!$N$10:$N$14,MATCH($F145,'CIOG'!$B$10:$B$14,0))="","Cell will autofill based on response",INDEX('CIOG'!$N$10:$N$14,MATCH($F145,'CIOG'!$B$10:$B$14,0))),"N/A")</f>
        <v/>
      </c>
      <c r="R145" s="52">
        <f>IFERROR(IF(INDEX('MRE'!$N$10:$N$18,MATCH($F145,'MRE'!$B$10:$B$18,0))="","Cell will autofill based on response",INDEX('MRE'!$N$10:$N$18,MATCH($F145,'MRE'!$B$10:$B$18,0))),"N/A")</f>
        <v/>
      </c>
      <c r="S145" s="52">
        <f>IFERROR(IF(INDEX('AC&amp;M'!$N$10:$N$14,MATCH($F145,'AC&amp;M'!$B$10:$B$14,0))="","Cell will autofill based on response",INDEX('AC&amp;M'!$N$10:$N$14,MATCH($F145,'AC&amp;M'!$B$10:$B$14,0))),"N/A")</f>
        <v/>
      </c>
      <c r="T145" s="52">
        <f>IFERROR(IF(INDEX('GCE'!$N$10:$N$12,MATCH($F145,'GCE'!$B$10:$B$12,0))="","Cell will autofill based on response",INDEX('GCE'!$N$10:$N$12,MATCH($F145,'GCE'!$B$10:$B$12,0))),"N/A")</f>
        <v/>
      </c>
      <c r="U145" s="52">
        <f>IFERROR(IF(INDEX('Education'!$N$10:$N$13,MATCH($F145,'Education'!$B$10:$B$13,0))="","Cell will autofill based on response",INDEX('Education'!$N$10:$N$13,MATCH($F145,'Education'!$B$10:$B$13,0))),"N/A")</f>
        <v/>
      </c>
      <c r="V145" s="52">
        <f>IFERROR(IF(INDEX('SaSS'!$N$10:$N$12,MATCH($F145,'SaSS'!$B$10:$B$12,0))="","Cell will autofill based on response",INDEX('SaSS'!$N$10:$N$12,MATCH($F145,'SaSS'!$B$10:$B$12,0))),"N/A")</f>
        <v/>
      </c>
      <c r="W145" s="52">
        <f>IFERROR(IF(INDEX('Indigenous'!$N$10:$N$11,MATCH($F145,'Indigenous'!$B$10:$B$11,0))="","Cell will autofill based on response",INDEX('Indigenous'!$N$10:$N$11,MATCH($F145,'Indigenous'!$B$10:$B$11,0))),"N/A")</f>
        <v/>
      </c>
      <c r="X145" s="52">
        <f>IFERROR(IF(INDEX('L&amp;R'!$N$10:$N$11,MATCH($F145,'L&amp;R'!$B$10:$B$11,0))="","Cell will autofill based on response",INDEX('L&amp;R'!$N$10:$N$11,MATCH($F145,'L&amp;R'!$B$10:$B$11,0))),"N/A")</f>
        <v/>
      </c>
    </row>
    <row r="146">
      <c r="A146">
        <f>F146&amp;"|"&amp;G146</f>
        <v/>
      </c>
      <c r="B146" s="13" t="inlineStr"/>
      <c r="C146" s="8" t="inlineStr"/>
      <c r="D146" s="8" t="inlineStr"/>
      <c r="E146" s="8" t="inlineStr"/>
      <c r="F146" s="8" t="inlineStr">
        <is>
          <t>NB2(a)</t>
        </is>
      </c>
      <c r="G146" s="8" t="inlineStr">
        <is>
          <t>Supporting information/comments</t>
        </is>
      </c>
      <c r="H146" s="52">
        <f>IFERROR(IF(INDEX('Faculties'!$O$10:$O$19,MATCH($F146,'Faculties'!$B$10:$B$19,0))="","Cell will autofill based on response",INDEX('Faculties'!$O$10:$O$19,MATCH($F146,'Faculties'!$B$10:$B$19,0))),"N/A")</f>
        <v/>
      </c>
      <c r="I146" s="52">
        <f>IFERROR(IF(INDEX('Faculties'!$O$26:$O$35,MATCH($F146,'Faculties'!$B$26:$B$35,0))="","Cell will autofill based on response",INDEX('Faculties'!$O$26:$O$35,MATCH($F146,'Faculties'!$B$26:$B$35,0))),"N/A")</f>
        <v/>
      </c>
      <c r="J146" s="52">
        <f>IFERROR(IF(INDEX('Faculties'!$O$42:$O$51,MATCH($F146,'Faculties'!$B$42:$B$51,0))="","Cell will autofill based on response",INDEX('Faculties'!$O$42:$O$51,MATCH($F146,'Faculties'!$B$42:$B$51,0))),"N/A")</f>
        <v/>
      </c>
      <c r="K146" s="52">
        <f>IFERROR(IF(INDEX('Faculties'!$O$58:$O$67,MATCH($F146,'Faculties'!$B$58:$B$67,0))="","Cell will autofill based on response",INDEX('Faculties'!$O$58:$O$67,MATCH($F146,'Faculties'!$B$58:$B$67,0))),"N/A")</f>
        <v/>
      </c>
      <c r="L146" s="52">
        <f>IFERROR(IF(INDEX('CI&amp;S'!$O$10:$O$15,MATCH($F146,'CI&amp;S'!$B$10:$B$15,0))="","Cell will autofill based on response",INDEX('CI&amp;S'!$O$10:$O$15,MATCH($F146,'CI&amp;S'!$B$10:$B$15,0))),"N/A")</f>
        <v/>
      </c>
      <c r="M146" s="52">
        <f>IFERROR(IF(INDEX('CI&amp;S'!$O$22:$O$36,MATCH($F146,'CI&amp;S'!$B$22:$B$36,0))="","Cell will autofill based on response",INDEX('CI&amp;S'!$O$22:$O$36,MATCH($F146,'CI&amp;S'!$B$22:$B$36,0))),"N/A")</f>
        <v/>
      </c>
      <c r="N146" s="52">
        <f>IFERROR(IF(INDEX('CFOG'!$O$10:$O$16,MATCH($F146,'CFOG'!$B$10:$B$16,0))="","Cell will autofill based on response",INDEX('CFOG'!$O$10:$O$16,MATCH($F146,'CFOG'!$B$10:$B$16,0))),"N/A")</f>
        <v/>
      </c>
      <c r="O146" s="52">
        <f>IFERROR(IF(INDEX('CFOG'!$O$23:$O$24,MATCH($F146,'CFOG'!$B$23:$B$24,0))="","Cell will autofill based on response",INDEX('CFOG'!$O$23:$O$24,MATCH($F146,'CFOG'!$B$23:$B$24,0))),"N/A")</f>
        <v/>
      </c>
      <c r="P146" s="52">
        <f>IFERROR(IF(INDEX('ESG'!$O$10:$O$17,MATCH($F146,'ESG'!$B$10:$B$17,0))="","Cell will autofill based on response",INDEX('ESG'!$O$10:$O$17,MATCH($F146,'ESG'!$B$10:$B$17,0))),"N/A")</f>
        <v/>
      </c>
      <c r="Q146" s="52">
        <f>IFERROR(IF(INDEX('CIOG'!$O$10:$O$14,MATCH($F146,'CIOG'!$B$10:$B$14,0))="","Cell will autofill based on response",INDEX('CIOG'!$O$10:$O$14,MATCH($F146,'CIOG'!$B$10:$B$14,0))),"N/A")</f>
        <v/>
      </c>
      <c r="R146" s="52">
        <f>IFERROR(IF(INDEX('MRE'!$O$10:$O$18,MATCH($F146,'MRE'!$B$10:$B$18,0))="","Cell will autofill based on response",INDEX('MRE'!$O$10:$O$18,MATCH($F146,'MRE'!$B$10:$B$18,0))),"N/A")</f>
        <v/>
      </c>
      <c r="S146" s="52">
        <f>IFERROR(IF(INDEX('AC&amp;M'!$O$10:$O$14,MATCH($F146,'AC&amp;M'!$B$10:$B$14,0))="","Cell will autofill based on response",INDEX('AC&amp;M'!$O$10:$O$14,MATCH($F146,'AC&amp;M'!$B$10:$B$14,0))),"N/A")</f>
        <v/>
      </c>
      <c r="T146" s="52">
        <f>IFERROR(IF(INDEX('GCE'!$O$10:$O$12,MATCH($F146,'GCE'!$B$10:$B$12,0))="","Cell will autofill based on response",INDEX('GCE'!$O$10:$O$12,MATCH($F146,'GCE'!$B$10:$B$12,0))),"N/A")</f>
        <v/>
      </c>
      <c r="U146" s="52">
        <f>IFERROR(IF(INDEX('Education'!$O$10:$O$13,MATCH($F146,'Education'!$B$10:$B$13,0))="","Cell will autofill based on response",INDEX('Education'!$O$10:$O$13,MATCH($F146,'Education'!$B$10:$B$13,0))),"N/A")</f>
        <v/>
      </c>
      <c r="V146" s="52">
        <f>IFERROR(IF(INDEX('SaSS'!$O$10:$O$12,MATCH($F146,'SaSS'!$B$10:$B$12,0))="","Cell will autofill based on response",INDEX('SaSS'!$O$10:$O$12,MATCH($F146,'SaSS'!$B$10:$B$12,0))),"N/A")</f>
        <v/>
      </c>
      <c r="W146" s="52">
        <f>IFERROR(IF(INDEX('Indigenous'!$O$10:$O$11,MATCH($F146,'Indigenous'!$B$10:$B$11,0))="","Cell will autofill based on response",INDEX('Indigenous'!$O$10:$O$11,MATCH($F146,'Indigenous'!$B$10:$B$11,0))),"N/A")</f>
        <v/>
      </c>
      <c r="X146" s="52">
        <f>IFERROR(IF(INDEX('L&amp;R'!$O$10:$O$11,MATCH($F146,'L&amp;R'!$B$10:$B$11,0))="","Cell will autofill based on response",INDEX('L&amp;R'!$O$10:$O$11,MATCH($F146,'L&amp;R'!$B$10:$B$11,0))),"N/A")</f>
        <v/>
      </c>
    </row>
    <row r="147">
      <c r="A147">
        <f>F147&amp;"|"&amp;G147</f>
        <v/>
      </c>
      <c r="B147" s="13" t="inlineStr"/>
      <c r="C147" s="8" t="inlineStr"/>
      <c r="D147" s="8" t="inlineStr"/>
      <c r="E147" s="8" t="inlineStr"/>
      <c r="F147" s="8" t="inlineStr">
        <is>
          <t>NB2(a)</t>
        </is>
      </c>
      <c r="G147" s="8" t="inlineStr">
        <is>
          <t>Data source and limitations</t>
        </is>
      </c>
      <c r="H147" s="52">
        <f>IFERROR(IF(INDEX('Faculties'!$P$10:$P$19,MATCH($F147,'Faculties'!$B$10:$B$19,0))="","Cell will autofill based on response",INDEX('Faculties'!$P$10:$P$19,MATCH($F147,'Faculties'!$B$10:$B$19,0))),"N/A")</f>
        <v/>
      </c>
      <c r="I147" s="52">
        <f>IFERROR(IF(INDEX('Faculties'!$P$26:$P$35,MATCH($F147,'Faculties'!$B$26:$B$35,0))="","Cell will autofill based on response",INDEX('Faculties'!$P$26:$P$35,MATCH($F147,'Faculties'!$B$26:$B$35,0))),"N/A")</f>
        <v/>
      </c>
      <c r="J147" s="52">
        <f>IFERROR(IF(INDEX('Faculties'!$P$42:$P$51,MATCH($F147,'Faculties'!$B$42:$B$51,0))="","Cell will autofill based on response",INDEX('Faculties'!$P$42:$P$51,MATCH($F147,'Faculties'!$B$42:$B$51,0))),"N/A")</f>
        <v/>
      </c>
      <c r="K147" s="52">
        <f>IFERROR(IF(INDEX('Faculties'!$P$58:$P$67,MATCH($F147,'Faculties'!$B$58:$B$67,0))="","Cell will autofill based on response",INDEX('Faculties'!$P$58:$P$67,MATCH($F147,'Faculties'!$B$58:$B$67,0))),"N/A")</f>
        <v/>
      </c>
      <c r="L147" s="52">
        <f>IFERROR(IF(INDEX('CI&amp;S'!$P$10:$P$15,MATCH($F147,'CI&amp;S'!$B$10:$B$15,0))="","Cell will autofill based on response",INDEX('CI&amp;S'!$P$10:$P$15,MATCH($F147,'CI&amp;S'!$B$10:$B$15,0))),"N/A")</f>
        <v/>
      </c>
      <c r="M147" s="52">
        <f>IFERROR(IF(INDEX('CI&amp;S'!$P$22:$P$36,MATCH($F147,'CI&amp;S'!$B$22:$B$36,0))="","Cell will autofill based on response",INDEX('CI&amp;S'!$P$22:$P$36,MATCH($F147,'CI&amp;S'!$B$22:$B$36,0))),"N/A")</f>
        <v/>
      </c>
      <c r="N147" s="52">
        <f>IFERROR(IF(INDEX('CFOG'!$P$10:$P$16,MATCH($F147,'CFOG'!$B$10:$B$16,0))="","Cell will autofill based on response",INDEX('CFOG'!$P$10:$P$16,MATCH($F147,'CFOG'!$B$10:$B$16,0))),"N/A")</f>
        <v/>
      </c>
      <c r="O147" s="52">
        <f>IFERROR(IF(INDEX('CFOG'!$P$23:$P$24,MATCH($F147,'CFOG'!$B$23:$B$24,0))="","Cell will autofill based on response",INDEX('CFOG'!$P$23:$P$24,MATCH($F147,'CFOG'!$B$23:$B$24,0))),"N/A")</f>
        <v/>
      </c>
      <c r="P147" s="52">
        <f>IFERROR(IF(INDEX('ESG'!$P$10:$P$17,MATCH($F147,'ESG'!$B$10:$B$17,0))="","Cell will autofill based on response",INDEX('ESG'!$P$10:$P$17,MATCH($F147,'ESG'!$B$10:$B$17,0))),"N/A")</f>
        <v/>
      </c>
      <c r="Q147" s="52">
        <f>IFERROR(IF(INDEX('CIOG'!$P$10:$P$14,MATCH($F147,'CIOG'!$B$10:$B$14,0))="","Cell will autofill based on response",INDEX('CIOG'!$P$10:$P$14,MATCH($F147,'CIOG'!$B$10:$B$14,0))),"N/A")</f>
        <v/>
      </c>
      <c r="R147" s="52">
        <f>IFERROR(IF(INDEX('MRE'!$P$10:$P$18,MATCH($F147,'MRE'!$B$10:$B$18,0))="","Cell will autofill based on response",INDEX('MRE'!$P$10:$P$18,MATCH($F147,'MRE'!$B$10:$B$18,0))),"N/A")</f>
        <v/>
      </c>
      <c r="S147" s="52">
        <f>IFERROR(IF(INDEX('AC&amp;M'!$P$10:$P$14,MATCH($F147,'AC&amp;M'!$B$10:$B$14,0))="","Cell will autofill based on response",INDEX('AC&amp;M'!$P$10:$P$14,MATCH($F147,'AC&amp;M'!$B$10:$B$14,0))),"N/A")</f>
        <v/>
      </c>
      <c r="T147" s="52">
        <f>IFERROR(IF(INDEX('GCE'!$P$10:$P$12,MATCH($F147,'GCE'!$B$10:$B$12,0))="","Cell will autofill based on response",INDEX('GCE'!$P$10:$P$12,MATCH($F147,'GCE'!$B$10:$B$12,0))),"N/A")</f>
        <v/>
      </c>
      <c r="U147" s="52">
        <f>IFERROR(IF(INDEX('Education'!$P$10:$P$13,MATCH($F147,'Education'!$B$10:$B$13,0))="","Cell will autofill based on response",INDEX('Education'!$P$10:$P$13,MATCH($F147,'Education'!$B$10:$B$13,0))),"N/A")</f>
        <v/>
      </c>
      <c r="V147" s="52">
        <f>IFERROR(IF(INDEX('SaSS'!$P$10:$P$12,MATCH($F147,'SaSS'!$B$10:$B$12,0))="","Cell will autofill based on response",INDEX('SaSS'!$P$10:$P$12,MATCH($F147,'SaSS'!$B$10:$B$12,0))),"N/A")</f>
        <v/>
      </c>
      <c r="W147" s="52">
        <f>IFERROR(IF(INDEX('Indigenous'!$P$10:$P$11,MATCH($F147,'Indigenous'!$B$10:$B$11,0))="","Cell will autofill based on response",INDEX('Indigenous'!$P$10:$P$11,MATCH($F147,'Indigenous'!$B$10:$B$11,0))),"N/A")</f>
        <v/>
      </c>
      <c r="X147" s="52">
        <f>IFERROR(IF(INDEX('L&amp;R'!$P$10:$P$11,MATCH($F147,'L&amp;R'!$B$10:$B$11,0))="","Cell will autofill based on response",INDEX('L&amp;R'!$P$10:$P$11,MATCH($F147,'L&amp;R'!$B$10:$B$11,0))),"N/A")</f>
        <v/>
      </c>
    </row>
    <row r="148">
      <c r="A148">
        <f>F148&amp;"|"&amp;G148</f>
        <v/>
      </c>
      <c r="B148" s="13" t="inlineStr"/>
      <c r="C148" s="8" t="inlineStr"/>
      <c r="D148" s="8" t="inlineStr"/>
      <c r="E148" s="8" t="inlineStr"/>
      <c r="F148" s="8" t="inlineStr">
        <is>
          <t>NB2(a)</t>
        </is>
      </c>
      <c r="G148" s="8" t="inlineStr">
        <is>
          <t>Data owner confirms</t>
        </is>
      </c>
      <c r="H148" s="52">
        <f>IFERROR(IF(INDEX('Faculties'!$Q$10:$Q$19,MATCH($F148,'Faculties'!$B$10:$B$19,0))="","Cell will autofill based on response",INDEX('Faculties'!$Q$10:$Q$19,MATCH($F148,'Faculties'!$B$10:$B$19,0))),"N/A")</f>
        <v/>
      </c>
      <c r="I148" s="52">
        <f>IFERROR(IF(INDEX('Faculties'!$Q$26:$Q$35,MATCH($F148,'Faculties'!$B$26:$B$35,0))="","Cell will autofill based on response",INDEX('Faculties'!$Q$26:$Q$35,MATCH($F148,'Faculties'!$B$26:$B$35,0))),"N/A")</f>
        <v/>
      </c>
      <c r="J148" s="52">
        <f>IFERROR(IF(INDEX('Faculties'!$Q$42:$Q$51,MATCH($F148,'Faculties'!$B$42:$B$51,0))="","Cell will autofill based on response",INDEX('Faculties'!$Q$42:$Q$51,MATCH($F148,'Faculties'!$B$42:$B$51,0))),"N/A")</f>
        <v/>
      </c>
      <c r="K148" s="52">
        <f>IFERROR(IF(INDEX('Faculties'!$Q$58:$Q$67,MATCH($F148,'Faculties'!$B$58:$B$67,0))="","Cell will autofill based on response",INDEX('Faculties'!$Q$58:$Q$67,MATCH($F148,'Faculties'!$B$58:$B$67,0))),"N/A")</f>
        <v/>
      </c>
      <c r="L148" s="52">
        <f>IFERROR(IF(INDEX('CI&amp;S'!$Q$10:$Q$15,MATCH($F148,'CI&amp;S'!$B$10:$B$15,0))="","Cell will autofill based on response",INDEX('CI&amp;S'!$Q$10:$Q$15,MATCH($F148,'CI&amp;S'!$B$10:$B$15,0))),"N/A")</f>
        <v/>
      </c>
      <c r="M148" s="52">
        <f>IFERROR(IF(INDEX('CI&amp;S'!$Q$22:$Q$36,MATCH($F148,'CI&amp;S'!$B$22:$B$36,0))="","Cell will autofill based on response",INDEX('CI&amp;S'!$Q$22:$Q$36,MATCH($F148,'CI&amp;S'!$B$22:$B$36,0))),"N/A")</f>
        <v/>
      </c>
      <c r="N148" s="52">
        <f>IFERROR(IF(INDEX('CFOG'!$Q$10:$Q$16,MATCH($F148,'CFOG'!$B$10:$B$16,0))="","Cell will autofill based on response",INDEX('CFOG'!$Q$10:$Q$16,MATCH($F148,'CFOG'!$B$10:$B$16,0))),"N/A")</f>
        <v/>
      </c>
      <c r="O148" s="52">
        <f>IFERROR(IF(INDEX('CFOG'!$Q$23:$Q$24,MATCH($F148,'CFOG'!$B$23:$B$24,0))="","Cell will autofill based on response",INDEX('CFOG'!$Q$23:$Q$24,MATCH($F148,'CFOG'!$B$23:$B$24,0))),"N/A")</f>
        <v/>
      </c>
      <c r="P148" s="52">
        <f>IFERROR(IF(INDEX('ESG'!$Q$10:$Q$17,MATCH($F148,'ESG'!$B$10:$B$17,0))="","Cell will autofill based on response",INDEX('ESG'!$Q$10:$Q$17,MATCH($F148,'ESG'!$B$10:$B$17,0))),"N/A")</f>
        <v/>
      </c>
      <c r="Q148" s="52">
        <f>IFERROR(IF(INDEX('CIOG'!$Q$10:$Q$14,MATCH($F148,'CIOG'!$B$10:$B$14,0))="","Cell will autofill based on response",INDEX('CIOG'!$Q$10:$Q$14,MATCH($F148,'CIOG'!$B$10:$B$14,0))),"N/A")</f>
        <v/>
      </c>
      <c r="R148" s="52">
        <f>IFERROR(IF(INDEX('MRE'!$Q$10:$Q$18,MATCH($F148,'MRE'!$B$10:$B$18,0))="","Cell will autofill based on response",INDEX('MRE'!$Q$10:$Q$18,MATCH($F148,'MRE'!$B$10:$B$18,0))),"N/A")</f>
        <v/>
      </c>
      <c r="S148" s="52">
        <f>IFERROR(IF(INDEX('AC&amp;M'!$Q$10:$Q$14,MATCH($F148,'AC&amp;M'!$B$10:$B$14,0))="","Cell will autofill based on response",INDEX('AC&amp;M'!$Q$10:$Q$14,MATCH($F148,'AC&amp;M'!$B$10:$B$14,0))),"N/A")</f>
        <v/>
      </c>
      <c r="T148" s="52">
        <f>IFERROR(IF(INDEX('GCE'!$Q$10:$Q$12,MATCH($F148,'GCE'!$B$10:$B$12,0))="","Cell will autofill based on response",INDEX('GCE'!$Q$10:$Q$12,MATCH($F148,'GCE'!$B$10:$B$12,0))),"N/A")</f>
        <v/>
      </c>
      <c r="U148" s="52">
        <f>IFERROR(IF(INDEX('Education'!$Q$10:$Q$13,MATCH($F148,'Education'!$B$10:$B$13,0))="","Cell will autofill based on response",INDEX('Education'!$Q$10:$Q$13,MATCH($F148,'Education'!$B$10:$B$13,0))),"N/A")</f>
        <v/>
      </c>
      <c r="V148" s="52">
        <f>IFERROR(IF(INDEX('SaSS'!$Q$10:$Q$12,MATCH($F148,'SaSS'!$B$10:$B$12,0))="","Cell will autofill based on response",INDEX('SaSS'!$Q$10:$Q$12,MATCH($F148,'SaSS'!$B$10:$B$12,0))),"N/A")</f>
        <v/>
      </c>
      <c r="W148" s="52">
        <f>IFERROR(IF(INDEX('Indigenous'!$Q$10:$Q$11,MATCH($F148,'Indigenous'!$B$10:$B$11,0))="","Cell will autofill based on response",INDEX('Indigenous'!$Q$10:$Q$11,MATCH($F148,'Indigenous'!$B$10:$B$11,0))),"N/A")</f>
        <v/>
      </c>
      <c r="X148" s="52">
        <f>IFERROR(IF(INDEX('L&amp;R'!$Q$10:$Q$11,MATCH($F148,'L&amp;R'!$B$10:$B$11,0))="","Cell will autofill based on response",INDEX('L&amp;R'!$Q$10:$Q$11,MATCH($F148,'L&amp;R'!$B$10:$B$11,0))),"N/A")</f>
        <v/>
      </c>
    </row>
    <row r="149">
      <c r="A149">
        <f>F149&amp;"|"&amp;G149</f>
        <v/>
      </c>
      <c r="B149" s="7" t="inlineStr">
        <is>
          <t>NB2(b)</t>
        </is>
      </c>
      <c r="C149" s="50" t="inlineStr">
        <is>
          <t>Nature and biodiversity</t>
        </is>
      </c>
      <c r="D149" s="50" t="inlineStr">
        <is>
          <t>Evidence of established framework to monitor and track supply-chain nature impacts over time</t>
        </is>
      </c>
      <c r="E149" s="50" t="inlineStr">
        <is>
          <t>Please describe the framework established to monitor and track supply-chain impacts on nature over time, could include metrics, data sources, governance/ownership, reporting frequency and current implementation status.</t>
        </is>
      </c>
      <c r="F149" s="50" t="inlineStr">
        <is>
          <t>NB2(b)</t>
        </is>
      </c>
      <c r="G149" s="50" t="inlineStr">
        <is>
          <t>Confirm end-2026 target status</t>
        </is>
      </c>
      <c r="H149" s="52">
        <f>IFERROR(IF(INDEX('Faculties'!$L$10:$L$19,MATCH($F149,'Faculties'!$B$10:$B$19,0))="","Cell will autofill based on response",INDEX('Faculties'!$L$10:$L$19,MATCH($F149,'Faculties'!$B$10:$B$19,0))),"N/A")</f>
        <v/>
      </c>
      <c r="I149" s="52">
        <f>IFERROR(IF(INDEX('Faculties'!$L$26:$L$35,MATCH($F149,'Faculties'!$B$26:$B$35,0))="","Cell will autofill based on response",INDEX('Faculties'!$L$26:$L$35,MATCH($F149,'Faculties'!$B$26:$B$35,0))),"N/A")</f>
        <v/>
      </c>
      <c r="J149" s="52">
        <f>IFERROR(IF(INDEX('Faculties'!$L$42:$L$51,MATCH($F149,'Faculties'!$B$42:$B$51,0))="","Cell will autofill based on response",INDEX('Faculties'!$L$42:$L$51,MATCH($F149,'Faculties'!$B$42:$B$51,0))),"N/A")</f>
        <v/>
      </c>
      <c r="K149" s="52">
        <f>IFERROR(IF(INDEX('Faculties'!$L$58:$L$67,MATCH($F149,'Faculties'!$B$58:$B$67,0))="","Cell will autofill based on response",INDEX('Faculties'!$L$58:$L$67,MATCH($F149,'Faculties'!$B$58:$B$67,0))),"N/A")</f>
        <v/>
      </c>
      <c r="L149" s="52">
        <f>IFERROR(IF(INDEX('CI&amp;S'!$L$10:$L$15,MATCH($F149,'CI&amp;S'!$B$10:$B$15,0))="","Cell will autofill based on response",INDEX('CI&amp;S'!$L$10:$L$15,MATCH($F149,'CI&amp;S'!$B$10:$B$15,0))),"N/A")</f>
        <v/>
      </c>
      <c r="M149" s="52">
        <f>IFERROR(IF(INDEX('CI&amp;S'!$L$22:$L$36,MATCH($F149,'CI&amp;S'!$B$22:$B$36,0))="","Cell will autofill based on response",INDEX('CI&amp;S'!$L$22:$L$36,MATCH($F149,'CI&amp;S'!$B$22:$B$36,0))),"N/A")</f>
        <v/>
      </c>
      <c r="N149" s="52">
        <f>IFERROR(IF(INDEX('CFOG'!$L$10:$L$16,MATCH($F149,'CFOG'!$B$10:$B$16,0))="","Cell will autofill based on response",INDEX('CFOG'!$L$10:$L$16,MATCH($F149,'CFOG'!$B$10:$B$16,0))),"N/A")</f>
        <v/>
      </c>
      <c r="O149" s="52">
        <f>IFERROR(IF(INDEX('CFOG'!$L$23:$L$24,MATCH($F149,'CFOG'!$B$23:$B$24,0))="","Cell will autofill based on response",INDEX('CFOG'!$L$23:$L$24,MATCH($F149,'CFOG'!$B$23:$B$24,0))),"N/A")</f>
        <v/>
      </c>
      <c r="P149" s="52">
        <f>IFERROR(IF(INDEX('ESG'!$L$10:$L$17,MATCH($F149,'ESG'!$B$10:$B$17,0))="","Cell will autofill based on response",INDEX('ESG'!$L$10:$L$17,MATCH($F149,'ESG'!$B$10:$B$17,0))),"N/A")</f>
        <v/>
      </c>
      <c r="Q149" s="52">
        <f>IFERROR(IF(INDEX('CIOG'!$L$10:$L$14,MATCH($F149,'CIOG'!$B$10:$B$14,0))="","Cell will autofill based on response",INDEX('CIOG'!$L$10:$L$14,MATCH($F149,'CIOG'!$B$10:$B$14,0))),"N/A")</f>
        <v/>
      </c>
      <c r="R149" s="52">
        <f>IFERROR(IF(INDEX('MRE'!$L$10:$L$18,MATCH($F149,'MRE'!$B$10:$B$18,0))="","Cell will autofill based on response",INDEX('MRE'!$L$10:$L$18,MATCH($F149,'MRE'!$B$10:$B$18,0))),"N/A")</f>
        <v/>
      </c>
      <c r="S149" s="52">
        <f>IFERROR(IF(INDEX('AC&amp;M'!$L$10:$L$14,MATCH($F149,'AC&amp;M'!$B$10:$B$14,0))="","Cell will autofill based on response",INDEX('AC&amp;M'!$L$10:$L$14,MATCH($F149,'AC&amp;M'!$B$10:$B$14,0))),"N/A")</f>
        <v/>
      </c>
      <c r="T149" s="52">
        <f>IFERROR(IF(INDEX('GCE'!$L$10:$L$12,MATCH($F149,'GCE'!$B$10:$B$12,0))="","Cell will autofill based on response",INDEX('GCE'!$L$10:$L$12,MATCH($F149,'GCE'!$B$10:$B$12,0))),"N/A")</f>
        <v/>
      </c>
      <c r="U149" s="52">
        <f>IFERROR(IF(INDEX('Education'!$L$10:$L$13,MATCH($F149,'Education'!$B$10:$B$13,0))="","Cell will autofill based on response",INDEX('Education'!$L$10:$L$13,MATCH($F149,'Education'!$B$10:$B$13,0))),"N/A")</f>
        <v/>
      </c>
      <c r="V149" s="52">
        <f>IFERROR(IF(INDEX('SaSS'!$L$10:$L$12,MATCH($F149,'SaSS'!$B$10:$B$12,0))="","Cell will autofill based on response",INDEX('SaSS'!$L$10:$L$12,MATCH($F149,'SaSS'!$B$10:$B$12,0))),"N/A")</f>
        <v/>
      </c>
      <c r="W149" s="52">
        <f>IFERROR(IF(INDEX('Indigenous'!$L$10:$L$11,MATCH($F149,'Indigenous'!$B$10:$B$11,0))="","Cell will autofill based on response",INDEX('Indigenous'!$L$10:$L$11,MATCH($F149,'Indigenous'!$B$10:$B$11,0))),"N/A")</f>
        <v/>
      </c>
      <c r="X149" s="52">
        <f>IFERROR(IF(INDEX('L&amp;R'!$L$10:$L$11,MATCH($F149,'L&amp;R'!$B$10:$B$11,0))="","Cell will autofill based on response",INDEX('L&amp;R'!$L$10:$L$11,MATCH($F149,'L&amp;R'!$B$10:$B$11,0))),"N/A")</f>
        <v/>
      </c>
      <c r="Z149" s="10">
        <f>COUNTIF($H149:$X149,"Cell will autofill based on response")</f>
        <v/>
      </c>
      <c r="AA149" s="10">
        <f>COUNTIF($H149:$X149,"Not yet started")</f>
        <v/>
      </c>
      <c r="AB149" s="10">
        <f>COUNTIF($H149:$X149,"Not met")</f>
        <v/>
      </c>
      <c r="AC149" s="10">
        <f>COUNTIF($H149:$X149,"Partially met")</f>
        <v/>
      </c>
      <c r="AD149" s="10">
        <f>COUNTIF($H149:$X149,"Met or exceeded")</f>
        <v/>
      </c>
      <c r="AE149" s="10">
        <f>3*AD149+2*AC149+AB149</f>
        <v/>
      </c>
      <c r="AF149" s="10">
        <f>AD149+AC149+AB149+AA149</f>
        <v/>
      </c>
      <c r="AG149" s="53">
        <f>IF(AF149&gt;0,AE149/AF149,"No valid responses to date")</f>
        <v/>
      </c>
      <c r="AH149" s="10">
        <f>IF(ISNUMBER(AG149),INDEX(Lists!$G$2:$G$5,MATCH(ROUND(AG149,0),Lists!$H$2:$H$5,0)),"")</f>
        <v/>
      </c>
      <c r="AI149" s="54">
        <f>IF(AF149&gt;0,AD149/AF149,"")</f>
        <v/>
      </c>
      <c r="AJ149" s="54">
        <f>IF(AF149&gt;0,(AD149+AC149)/AF149,"")</f>
        <v/>
      </c>
      <c r="AK149" s="10">
        <f>IF(AF149=0,"",IF(AI149&gt;0.75,"Met or exceeded",IF(AJ149&gt;=0.5,"Partially met","Not met")))</f>
        <v/>
      </c>
    </row>
    <row r="150">
      <c r="A150">
        <f>F150&amp;"|"&amp;G150</f>
        <v/>
      </c>
      <c r="B150" s="13" t="inlineStr"/>
      <c r="C150" s="8" t="inlineStr"/>
      <c r="D150" s="8" t="inlineStr"/>
      <c r="E150" s="8" t="inlineStr"/>
      <c r="F150" s="8" t="inlineStr">
        <is>
          <t>NB2(b)</t>
        </is>
      </c>
      <c r="G150" s="8" t="inlineStr">
        <is>
          <t>OPTION 1:  Target-level reporting</t>
        </is>
      </c>
      <c r="H150" s="52">
        <f>IFERROR(IF(INDEX('Faculties'!$M$10:$M$19,MATCH($F150,'Faculties'!$B$10:$B$19,0))="","Cell will autofill based on response",INDEX('Faculties'!$M$10:$M$19,MATCH($F150,'Faculties'!$B$10:$B$19,0))),"N/A")</f>
        <v/>
      </c>
      <c r="I150" s="52">
        <f>IFERROR(IF(INDEX('Faculties'!$M$26:$M$35,MATCH($F150,'Faculties'!$B$26:$B$35,0))="","Cell will autofill based on response",INDEX('Faculties'!$M$26:$M$35,MATCH($F150,'Faculties'!$B$26:$B$35,0))),"N/A")</f>
        <v/>
      </c>
      <c r="J150" s="52">
        <f>IFERROR(IF(INDEX('Faculties'!$M$42:$M$51,MATCH($F150,'Faculties'!$B$42:$B$51,0))="","Cell will autofill based on response",INDEX('Faculties'!$M$42:$M$51,MATCH($F150,'Faculties'!$B$42:$B$51,0))),"N/A")</f>
        <v/>
      </c>
      <c r="K150" s="52">
        <f>IFERROR(IF(INDEX('Faculties'!$M$58:$M$67,MATCH($F150,'Faculties'!$B$58:$B$67,0))="","Cell will autofill based on response",INDEX('Faculties'!$M$58:$M$67,MATCH($F150,'Faculties'!$B$58:$B$67,0))),"N/A")</f>
        <v/>
      </c>
      <c r="L150" s="52">
        <f>IFERROR(IF(INDEX('CI&amp;S'!$M$10:$M$15,MATCH($F150,'CI&amp;S'!$B$10:$B$15,0))="","Cell will autofill based on response",INDEX('CI&amp;S'!$M$10:$M$15,MATCH($F150,'CI&amp;S'!$B$10:$B$15,0))),"N/A")</f>
        <v/>
      </c>
      <c r="M150" s="52">
        <f>IFERROR(IF(INDEX('CI&amp;S'!$M$22:$M$36,MATCH($F150,'CI&amp;S'!$B$22:$B$36,0))="","Cell will autofill based on response",INDEX('CI&amp;S'!$M$22:$M$36,MATCH($F150,'CI&amp;S'!$B$22:$B$36,0))),"N/A")</f>
        <v/>
      </c>
      <c r="N150" s="52">
        <f>IFERROR(IF(INDEX('CFOG'!$M$10:$M$16,MATCH($F150,'CFOG'!$B$10:$B$16,0))="","Cell will autofill based on response",INDEX('CFOG'!$M$10:$M$16,MATCH($F150,'CFOG'!$B$10:$B$16,0))),"N/A")</f>
        <v/>
      </c>
      <c r="O150" s="52">
        <f>IFERROR(IF(INDEX('CFOG'!$M$23:$M$24,MATCH($F150,'CFOG'!$B$23:$B$24,0))="","Cell will autofill based on response",INDEX('CFOG'!$M$23:$M$24,MATCH($F150,'CFOG'!$B$23:$B$24,0))),"N/A")</f>
        <v/>
      </c>
      <c r="P150" s="52">
        <f>IFERROR(IF(INDEX('ESG'!$M$10:$M$17,MATCH($F150,'ESG'!$B$10:$B$17,0))="","Cell will autofill based on response",INDEX('ESG'!$M$10:$M$17,MATCH($F150,'ESG'!$B$10:$B$17,0))),"N/A")</f>
        <v/>
      </c>
      <c r="Q150" s="52">
        <f>IFERROR(IF(INDEX('CIOG'!$M$10:$M$14,MATCH($F150,'CIOG'!$B$10:$B$14,0))="","Cell will autofill based on response",INDEX('CIOG'!$M$10:$M$14,MATCH($F150,'CIOG'!$B$10:$B$14,0))),"N/A")</f>
        <v/>
      </c>
      <c r="R150" s="52">
        <f>IFERROR(IF(INDEX('MRE'!$M$10:$M$18,MATCH($F150,'MRE'!$B$10:$B$18,0))="","Cell will autofill based on response",INDEX('MRE'!$M$10:$M$18,MATCH($F150,'MRE'!$B$10:$B$18,0))),"N/A")</f>
        <v/>
      </c>
      <c r="S150" s="52">
        <f>IFERROR(IF(INDEX('AC&amp;M'!$M$10:$M$14,MATCH($F150,'AC&amp;M'!$B$10:$B$14,0))="","Cell will autofill based on response",INDEX('AC&amp;M'!$M$10:$M$14,MATCH($F150,'AC&amp;M'!$B$10:$B$14,0))),"N/A")</f>
        <v/>
      </c>
      <c r="T150" s="52">
        <f>IFERROR(IF(INDEX('GCE'!$M$10:$M$12,MATCH($F150,'GCE'!$B$10:$B$12,0))="","Cell will autofill based on response",INDEX('GCE'!$M$10:$M$12,MATCH($F150,'GCE'!$B$10:$B$12,0))),"N/A")</f>
        <v/>
      </c>
      <c r="U150" s="52">
        <f>IFERROR(IF(INDEX('Education'!$M$10:$M$13,MATCH($F150,'Education'!$B$10:$B$13,0))="","Cell will autofill based on response",INDEX('Education'!$M$10:$M$13,MATCH($F150,'Education'!$B$10:$B$13,0))),"N/A")</f>
        <v/>
      </c>
      <c r="V150" s="52">
        <f>IFERROR(IF(INDEX('SaSS'!$M$10:$M$12,MATCH($F150,'SaSS'!$B$10:$B$12,0))="","Cell will autofill based on response",INDEX('SaSS'!$M$10:$M$12,MATCH($F150,'SaSS'!$B$10:$B$12,0))),"N/A")</f>
        <v/>
      </c>
      <c r="W150" s="52">
        <f>IFERROR(IF(INDEX('Indigenous'!$M$10:$M$11,MATCH($F150,'Indigenous'!$B$10:$B$11,0))="","Cell will autofill based on response",INDEX('Indigenous'!$M$10:$M$11,MATCH($F150,'Indigenous'!$B$10:$B$11,0))),"N/A")</f>
        <v/>
      </c>
      <c r="X150" s="52">
        <f>IFERROR(IF(INDEX('L&amp;R'!$M$10:$M$11,MATCH($F150,'L&amp;R'!$B$10:$B$11,0))="","Cell will autofill based on response",INDEX('L&amp;R'!$M$10:$M$11,MATCH($F150,'L&amp;R'!$B$10:$B$11,0))),"N/A")</f>
        <v/>
      </c>
    </row>
    <row r="151">
      <c r="A151">
        <f>F151&amp;"|"&amp;G151</f>
        <v/>
      </c>
      <c r="B151" s="13" t="inlineStr"/>
      <c r="C151" s="8" t="inlineStr"/>
      <c r="D151" s="8" t="inlineStr"/>
      <c r="E151" s="8" t="inlineStr"/>
      <c r="F151" s="8" t="inlineStr">
        <is>
          <t>NB2(b)</t>
        </is>
      </c>
      <c r="G151" s="8" t="inlineStr">
        <is>
          <t>OPTION 2:  Indicator level reporting</t>
        </is>
      </c>
      <c r="H151" s="52">
        <f>IFERROR(IF(INDEX('Faculties'!$N$10:$N$19,MATCH($F151,'Faculties'!$B$10:$B$19,0))="","Cell will autofill based on response",INDEX('Faculties'!$N$10:$N$19,MATCH($F151,'Faculties'!$B$10:$B$19,0))),"N/A")</f>
        <v/>
      </c>
      <c r="I151" s="52">
        <f>IFERROR(IF(INDEX('Faculties'!$N$26:$N$35,MATCH($F151,'Faculties'!$B$26:$B$35,0))="","Cell will autofill based on response",INDEX('Faculties'!$N$26:$N$35,MATCH($F151,'Faculties'!$B$26:$B$35,0))),"N/A")</f>
        <v/>
      </c>
      <c r="J151" s="52">
        <f>IFERROR(IF(INDEX('Faculties'!$N$42:$N$51,MATCH($F151,'Faculties'!$B$42:$B$51,0))="","Cell will autofill based on response",INDEX('Faculties'!$N$42:$N$51,MATCH($F151,'Faculties'!$B$42:$B$51,0))),"N/A")</f>
        <v/>
      </c>
      <c r="K151" s="52">
        <f>IFERROR(IF(INDEX('Faculties'!$N$58:$N$67,MATCH($F151,'Faculties'!$B$58:$B$67,0))="","Cell will autofill based on response",INDEX('Faculties'!$N$58:$N$67,MATCH($F151,'Faculties'!$B$58:$B$67,0))),"N/A")</f>
        <v/>
      </c>
      <c r="L151" s="52">
        <f>IFERROR(IF(INDEX('CI&amp;S'!$N$10:$N$15,MATCH($F151,'CI&amp;S'!$B$10:$B$15,0))="","Cell will autofill based on response",INDEX('CI&amp;S'!$N$10:$N$15,MATCH($F151,'CI&amp;S'!$B$10:$B$15,0))),"N/A")</f>
        <v/>
      </c>
      <c r="M151" s="52">
        <f>IFERROR(IF(INDEX('CI&amp;S'!$N$22:$N$36,MATCH($F151,'CI&amp;S'!$B$22:$B$36,0))="","Cell will autofill based on response",INDEX('CI&amp;S'!$N$22:$N$36,MATCH($F151,'CI&amp;S'!$B$22:$B$36,0))),"N/A")</f>
        <v/>
      </c>
      <c r="N151" s="52">
        <f>IFERROR(IF(INDEX('CFOG'!$N$10:$N$16,MATCH($F151,'CFOG'!$B$10:$B$16,0))="","Cell will autofill based on response",INDEX('CFOG'!$N$10:$N$16,MATCH($F151,'CFOG'!$B$10:$B$16,0))),"N/A")</f>
        <v/>
      </c>
      <c r="O151" s="52">
        <f>IFERROR(IF(INDEX('CFOG'!$N$23:$N$24,MATCH($F151,'CFOG'!$B$23:$B$24,0))="","Cell will autofill based on response",INDEX('CFOG'!$N$23:$N$24,MATCH($F151,'CFOG'!$B$23:$B$24,0))),"N/A")</f>
        <v/>
      </c>
      <c r="P151" s="52">
        <f>IFERROR(IF(INDEX('ESG'!$N$10:$N$17,MATCH($F151,'ESG'!$B$10:$B$17,0))="","Cell will autofill based on response",INDEX('ESG'!$N$10:$N$17,MATCH($F151,'ESG'!$B$10:$B$17,0))),"N/A")</f>
        <v/>
      </c>
      <c r="Q151" s="52">
        <f>IFERROR(IF(INDEX('CIOG'!$N$10:$N$14,MATCH($F151,'CIOG'!$B$10:$B$14,0))="","Cell will autofill based on response",INDEX('CIOG'!$N$10:$N$14,MATCH($F151,'CIOG'!$B$10:$B$14,0))),"N/A")</f>
        <v/>
      </c>
      <c r="R151" s="52">
        <f>IFERROR(IF(INDEX('MRE'!$N$10:$N$18,MATCH($F151,'MRE'!$B$10:$B$18,0))="","Cell will autofill based on response",INDEX('MRE'!$N$10:$N$18,MATCH($F151,'MRE'!$B$10:$B$18,0))),"N/A")</f>
        <v/>
      </c>
      <c r="S151" s="52">
        <f>IFERROR(IF(INDEX('AC&amp;M'!$N$10:$N$14,MATCH($F151,'AC&amp;M'!$B$10:$B$14,0))="","Cell will autofill based on response",INDEX('AC&amp;M'!$N$10:$N$14,MATCH($F151,'AC&amp;M'!$B$10:$B$14,0))),"N/A")</f>
        <v/>
      </c>
      <c r="T151" s="52">
        <f>IFERROR(IF(INDEX('GCE'!$N$10:$N$12,MATCH($F151,'GCE'!$B$10:$B$12,0))="","Cell will autofill based on response",INDEX('GCE'!$N$10:$N$12,MATCH($F151,'GCE'!$B$10:$B$12,0))),"N/A")</f>
        <v/>
      </c>
      <c r="U151" s="52">
        <f>IFERROR(IF(INDEX('Education'!$N$10:$N$13,MATCH($F151,'Education'!$B$10:$B$13,0))="","Cell will autofill based on response",INDEX('Education'!$N$10:$N$13,MATCH($F151,'Education'!$B$10:$B$13,0))),"N/A")</f>
        <v/>
      </c>
      <c r="V151" s="52">
        <f>IFERROR(IF(INDEX('SaSS'!$N$10:$N$12,MATCH($F151,'SaSS'!$B$10:$B$12,0))="","Cell will autofill based on response",INDEX('SaSS'!$N$10:$N$12,MATCH($F151,'SaSS'!$B$10:$B$12,0))),"N/A")</f>
        <v/>
      </c>
      <c r="W151" s="52">
        <f>IFERROR(IF(INDEX('Indigenous'!$N$10:$N$11,MATCH($F151,'Indigenous'!$B$10:$B$11,0))="","Cell will autofill based on response",INDEX('Indigenous'!$N$10:$N$11,MATCH($F151,'Indigenous'!$B$10:$B$11,0))),"N/A")</f>
        <v/>
      </c>
      <c r="X151" s="52">
        <f>IFERROR(IF(INDEX('L&amp;R'!$N$10:$N$11,MATCH($F151,'L&amp;R'!$B$10:$B$11,0))="","Cell will autofill based on response",INDEX('L&amp;R'!$N$10:$N$11,MATCH($F151,'L&amp;R'!$B$10:$B$11,0))),"N/A")</f>
        <v/>
      </c>
    </row>
    <row r="152">
      <c r="A152">
        <f>F152&amp;"|"&amp;G152</f>
        <v/>
      </c>
      <c r="B152" s="13" t="inlineStr"/>
      <c r="C152" s="8" t="inlineStr"/>
      <c r="D152" s="8" t="inlineStr"/>
      <c r="E152" s="8" t="inlineStr"/>
      <c r="F152" s="8" t="inlineStr">
        <is>
          <t>NB2(b)</t>
        </is>
      </c>
      <c r="G152" s="8" t="inlineStr">
        <is>
          <t>Supporting information/comments</t>
        </is>
      </c>
      <c r="H152" s="52">
        <f>IFERROR(IF(INDEX('Faculties'!$O$10:$O$19,MATCH($F152,'Faculties'!$B$10:$B$19,0))="","Cell will autofill based on response",INDEX('Faculties'!$O$10:$O$19,MATCH($F152,'Faculties'!$B$10:$B$19,0))),"N/A")</f>
        <v/>
      </c>
      <c r="I152" s="52">
        <f>IFERROR(IF(INDEX('Faculties'!$O$26:$O$35,MATCH($F152,'Faculties'!$B$26:$B$35,0))="","Cell will autofill based on response",INDEX('Faculties'!$O$26:$O$35,MATCH($F152,'Faculties'!$B$26:$B$35,0))),"N/A")</f>
        <v/>
      </c>
      <c r="J152" s="52">
        <f>IFERROR(IF(INDEX('Faculties'!$O$42:$O$51,MATCH($F152,'Faculties'!$B$42:$B$51,0))="","Cell will autofill based on response",INDEX('Faculties'!$O$42:$O$51,MATCH($F152,'Faculties'!$B$42:$B$51,0))),"N/A")</f>
        <v/>
      </c>
      <c r="K152" s="52">
        <f>IFERROR(IF(INDEX('Faculties'!$O$58:$O$67,MATCH($F152,'Faculties'!$B$58:$B$67,0))="","Cell will autofill based on response",INDEX('Faculties'!$O$58:$O$67,MATCH($F152,'Faculties'!$B$58:$B$67,0))),"N/A")</f>
        <v/>
      </c>
      <c r="L152" s="52">
        <f>IFERROR(IF(INDEX('CI&amp;S'!$O$10:$O$15,MATCH($F152,'CI&amp;S'!$B$10:$B$15,0))="","Cell will autofill based on response",INDEX('CI&amp;S'!$O$10:$O$15,MATCH($F152,'CI&amp;S'!$B$10:$B$15,0))),"N/A")</f>
        <v/>
      </c>
      <c r="M152" s="52">
        <f>IFERROR(IF(INDEX('CI&amp;S'!$O$22:$O$36,MATCH($F152,'CI&amp;S'!$B$22:$B$36,0))="","Cell will autofill based on response",INDEX('CI&amp;S'!$O$22:$O$36,MATCH($F152,'CI&amp;S'!$B$22:$B$36,0))),"N/A")</f>
        <v/>
      </c>
      <c r="N152" s="52">
        <f>IFERROR(IF(INDEX('CFOG'!$O$10:$O$16,MATCH($F152,'CFOG'!$B$10:$B$16,0))="","Cell will autofill based on response",INDEX('CFOG'!$O$10:$O$16,MATCH($F152,'CFOG'!$B$10:$B$16,0))),"N/A")</f>
        <v/>
      </c>
      <c r="O152" s="52">
        <f>IFERROR(IF(INDEX('CFOG'!$O$23:$O$24,MATCH($F152,'CFOG'!$B$23:$B$24,0))="","Cell will autofill based on response",INDEX('CFOG'!$O$23:$O$24,MATCH($F152,'CFOG'!$B$23:$B$24,0))),"N/A")</f>
        <v/>
      </c>
      <c r="P152" s="52">
        <f>IFERROR(IF(INDEX('ESG'!$O$10:$O$17,MATCH($F152,'ESG'!$B$10:$B$17,0))="","Cell will autofill based on response",INDEX('ESG'!$O$10:$O$17,MATCH($F152,'ESG'!$B$10:$B$17,0))),"N/A")</f>
        <v/>
      </c>
      <c r="Q152" s="52">
        <f>IFERROR(IF(INDEX('CIOG'!$O$10:$O$14,MATCH($F152,'CIOG'!$B$10:$B$14,0))="","Cell will autofill based on response",INDEX('CIOG'!$O$10:$O$14,MATCH($F152,'CIOG'!$B$10:$B$14,0))),"N/A")</f>
        <v/>
      </c>
      <c r="R152" s="52">
        <f>IFERROR(IF(INDEX('MRE'!$O$10:$O$18,MATCH($F152,'MRE'!$B$10:$B$18,0))="","Cell will autofill based on response",INDEX('MRE'!$O$10:$O$18,MATCH($F152,'MRE'!$B$10:$B$18,0))),"N/A")</f>
        <v/>
      </c>
      <c r="S152" s="52">
        <f>IFERROR(IF(INDEX('AC&amp;M'!$O$10:$O$14,MATCH($F152,'AC&amp;M'!$B$10:$B$14,0))="","Cell will autofill based on response",INDEX('AC&amp;M'!$O$10:$O$14,MATCH($F152,'AC&amp;M'!$B$10:$B$14,0))),"N/A")</f>
        <v/>
      </c>
      <c r="T152" s="52">
        <f>IFERROR(IF(INDEX('GCE'!$O$10:$O$12,MATCH($F152,'GCE'!$B$10:$B$12,0))="","Cell will autofill based on response",INDEX('GCE'!$O$10:$O$12,MATCH($F152,'GCE'!$B$10:$B$12,0))),"N/A")</f>
        <v/>
      </c>
      <c r="U152" s="52">
        <f>IFERROR(IF(INDEX('Education'!$O$10:$O$13,MATCH($F152,'Education'!$B$10:$B$13,0))="","Cell will autofill based on response",INDEX('Education'!$O$10:$O$13,MATCH($F152,'Education'!$B$10:$B$13,0))),"N/A")</f>
        <v/>
      </c>
      <c r="V152" s="52">
        <f>IFERROR(IF(INDEX('SaSS'!$O$10:$O$12,MATCH($F152,'SaSS'!$B$10:$B$12,0))="","Cell will autofill based on response",INDEX('SaSS'!$O$10:$O$12,MATCH($F152,'SaSS'!$B$10:$B$12,0))),"N/A")</f>
        <v/>
      </c>
      <c r="W152" s="52">
        <f>IFERROR(IF(INDEX('Indigenous'!$O$10:$O$11,MATCH($F152,'Indigenous'!$B$10:$B$11,0))="","Cell will autofill based on response",INDEX('Indigenous'!$O$10:$O$11,MATCH($F152,'Indigenous'!$B$10:$B$11,0))),"N/A")</f>
        <v/>
      </c>
      <c r="X152" s="52">
        <f>IFERROR(IF(INDEX('L&amp;R'!$O$10:$O$11,MATCH($F152,'L&amp;R'!$B$10:$B$11,0))="","Cell will autofill based on response",INDEX('L&amp;R'!$O$10:$O$11,MATCH($F152,'L&amp;R'!$B$10:$B$11,0))),"N/A")</f>
        <v/>
      </c>
    </row>
    <row r="153">
      <c r="A153">
        <f>F153&amp;"|"&amp;G153</f>
        <v/>
      </c>
      <c r="B153" s="13" t="inlineStr"/>
      <c r="C153" s="8" t="inlineStr"/>
      <c r="D153" s="8" t="inlineStr"/>
      <c r="E153" s="8" t="inlineStr"/>
      <c r="F153" s="8" t="inlineStr">
        <is>
          <t>NB2(b)</t>
        </is>
      </c>
      <c r="G153" s="8" t="inlineStr">
        <is>
          <t>Data source and limitations</t>
        </is>
      </c>
      <c r="H153" s="52">
        <f>IFERROR(IF(INDEX('Faculties'!$P$10:$P$19,MATCH($F153,'Faculties'!$B$10:$B$19,0))="","Cell will autofill based on response",INDEX('Faculties'!$P$10:$P$19,MATCH($F153,'Faculties'!$B$10:$B$19,0))),"N/A")</f>
        <v/>
      </c>
      <c r="I153" s="52">
        <f>IFERROR(IF(INDEX('Faculties'!$P$26:$P$35,MATCH($F153,'Faculties'!$B$26:$B$35,0))="","Cell will autofill based on response",INDEX('Faculties'!$P$26:$P$35,MATCH($F153,'Faculties'!$B$26:$B$35,0))),"N/A")</f>
        <v/>
      </c>
      <c r="J153" s="52">
        <f>IFERROR(IF(INDEX('Faculties'!$P$42:$P$51,MATCH($F153,'Faculties'!$B$42:$B$51,0))="","Cell will autofill based on response",INDEX('Faculties'!$P$42:$P$51,MATCH($F153,'Faculties'!$B$42:$B$51,0))),"N/A")</f>
        <v/>
      </c>
      <c r="K153" s="52">
        <f>IFERROR(IF(INDEX('Faculties'!$P$58:$P$67,MATCH($F153,'Faculties'!$B$58:$B$67,0))="","Cell will autofill based on response",INDEX('Faculties'!$P$58:$P$67,MATCH($F153,'Faculties'!$B$58:$B$67,0))),"N/A")</f>
        <v/>
      </c>
      <c r="L153" s="52">
        <f>IFERROR(IF(INDEX('CI&amp;S'!$P$10:$P$15,MATCH($F153,'CI&amp;S'!$B$10:$B$15,0))="","Cell will autofill based on response",INDEX('CI&amp;S'!$P$10:$P$15,MATCH($F153,'CI&amp;S'!$B$10:$B$15,0))),"N/A")</f>
        <v/>
      </c>
      <c r="M153" s="52">
        <f>IFERROR(IF(INDEX('CI&amp;S'!$P$22:$P$36,MATCH($F153,'CI&amp;S'!$B$22:$B$36,0))="","Cell will autofill based on response",INDEX('CI&amp;S'!$P$22:$P$36,MATCH($F153,'CI&amp;S'!$B$22:$B$36,0))),"N/A")</f>
        <v/>
      </c>
      <c r="N153" s="52">
        <f>IFERROR(IF(INDEX('CFOG'!$P$10:$P$16,MATCH($F153,'CFOG'!$B$10:$B$16,0))="","Cell will autofill based on response",INDEX('CFOG'!$P$10:$P$16,MATCH($F153,'CFOG'!$B$10:$B$16,0))),"N/A")</f>
        <v/>
      </c>
      <c r="O153" s="52">
        <f>IFERROR(IF(INDEX('CFOG'!$P$23:$P$24,MATCH($F153,'CFOG'!$B$23:$B$24,0))="","Cell will autofill based on response",INDEX('CFOG'!$P$23:$P$24,MATCH($F153,'CFOG'!$B$23:$B$24,0))),"N/A")</f>
        <v/>
      </c>
      <c r="P153" s="52">
        <f>IFERROR(IF(INDEX('ESG'!$P$10:$P$17,MATCH($F153,'ESG'!$B$10:$B$17,0))="","Cell will autofill based on response",INDEX('ESG'!$P$10:$P$17,MATCH($F153,'ESG'!$B$10:$B$17,0))),"N/A")</f>
        <v/>
      </c>
      <c r="Q153" s="52">
        <f>IFERROR(IF(INDEX('CIOG'!$P$10:$P$14,MATCH($F153,'CIOG'!$B$10:$B$14,0))="","Cell will autofill based on response",INDEX('CIOG'!$P$10:$P$14,MATCH($F153,'CIOG'!$B$10:$B$14,0))),"N/A")</f>
        <v/>
      </c>
      <c r="R153" s="52">
        <f>IFERROR(IF(INDEX('MRE'!$P$10:$P$18,MATCH($F153,'MRE'!$B$10:$B$18,0))="","Cell will autofill based on response",INDEX('MRE'!$P$10:$P$18,MATCH($F153,'MRE'!$B$10:$B$18,0))),"N/A")</f>
        <v/>
      </c>
      <c r="S153" s="52">
        <f>IFERROR(IF(INDEX('AC&amp;M'!$P$10:$P$14,MATCH($F153,'AC&amp;M'!$B$10:$B$14,0))="","Cell will autofill based on response",INDEX('AC&amp;M'!$P$10:$P$14,MATCH($F153,'AC&amp;M'!$B$10:$B$14,0))),"N/A")</f>
        <v/>
      </c>
      <c r="T153" s="52">
        <f>IFERROR(IF(INDEX('GCE'!$P$10:$P$12,MATCH($F153,'GCE'!$B$10:$B$12,0))="","Cell will autofill based on response",INDEX('GCE'!$P$10:$P$12,MATCH($F153,'GCE'!$B$10:$B$12,0))),"N/A")</f>
        <v/>
      </c>
      <c r="U153" s="52">
        <f>IFERROR(IF(INDEX('Education'!$P$10:$P$13,MATCH($F153,'Education'!$B$10:$B$13,0))="","Cell will autofill based on response",INDEX('Education'!$P$10:$P$13,MATCH($F153,'Education'!$B$10:$B$13,0))),"N/A")</f>
        <v/>
      </c>
      <c r="V153" s="52">
        <f>IFERROR(IF(INDEX('SaSS'!$P$10:$P$12,MATCH($F153,'SaSS'!$B$10:$B$12,0))="","Cell will autofill based on response",INDEX('SaSS'!$P$10:$P$12,MATCH($F153,'SaSS'!$B$10:$B$12,0))),"N/A")</f>
        <v/>
      </c>
      <c r="W153" s="52">
        <f>IFERROR(IF(INDEX('Indigenous'!$P$10:$P$11,MATCH($F153,'Indigenous'!$B$10:$B$11,0))="","Cell will autofill based on response",INDEX('Indigenous'!$P$10:$P$11,MATCH($F153,'Indigenous'!$B$10:$B$11,0))),"N/A")</f>
        <v/>
      </c>
      <c r="X153" s="52">
        <f>IFERROR(IF(INDEX('L&amp;R'!$P$10:$P$11,MATCH($F153,'L&amp;R'!$B$10:$B$11,0))="","Cell will autofill based on response",INDEX('L&amp;R'!$P$10:$P$11,MATCH($F153,'L&amp;R'!$B$10:$B$11,0))),"N/A")</f>
        <v/>
      </c>
    </row>
    <row r="154">
      <c r="A154">
        <f>F154&amp;"|"&amp;G154</f>
        <v/>
      </c>
      <c r="B154" s="13" t="inlineStr"/>
      <c r="C154" s="8" t="inlineStr"/>
      <c r="D154" s="8" t="inlineStr"/>
      <c r="E154" s="8" t="inlineStr"/>
      <c r="F154" s="8" t="inlineStr">
        <is>
          <t>NB2(b)</t>
        </is>
      </c>
      <c r="G154" s="8" t="inlineStr">
        <is>
          <t>Data owner confirms</t>
        </is>
      </c>
      <c r="H154" s="52">
        <f>IFERROR(IF(INDEX('Faculties'!$Q$10:$Q$19,MATCH($F154,'Faculties'!$B$10:$B$19,0))="","Cell will autofill based on response",INDEX('Faculties'!$Q$10:$Q$19,MATCH($F154,'Faculties'!$B$10:$B$19,0))),"N/A")</f>
        <v/>
      </c>
      <c r="I154" s="52">
        <f>IFERROR(IF(INDEX('Faculties'!$Q$26:$Q$35,MATCH($F154,'Faculties'!$B$26:$B$35,0))="","Cell will autofill based on response",INDEX('Faculties'!$Q$26:$Q$35,MATCH($F154,'Faculties'!$B$26:$B$35,0))),"N/A")</f>
        <v/>
      </c>
      <c r="J154" s="52">
        <f>IFERROR(IF(INDEX('Faculties'!$Q$42:$Q$51,MATCH($F154,'Faculties'!$B$42:$B$51,0))="","Cell will autofill based on response",INDEX('Faculties'!$Q$42:$Q$51,MATCH($F154,'Faculties'!$B$42:$B$51,0))),"N/A")</f>
        <v/>
      </c>
      <c r="K154" s="52">
        <f>IFERROR(IF(INDEX('Faculties'!$Q$58:$Q$67,MATCH($F154,'Faculties'!$B$58:$B$67,0))="","Cell will autofill based on response",INDEX('Faculties'!$Q$58:$Q$67,MATCH($F154,'Faculties'!$B$58:$B$67,0))),"N/A")</f>
        <v/>
      </c>
      <c r="L154" s="52">
        <f>IFERROR(IF(INDEX('CI&amp;S'!$Q$10:$Q$15,MATCH($F154,'CI&amp;S'!$B$10:$B$15,0))="","Cell will autofill based on response",INDEX('CI&amp;S'!$Q$10:$Q$15,MATCH($F154,'CI&amp;S'!$B$10:$B$15,0))),"N/A")</f>
        <v/>
      </c>
      <c r="M154" s="52">
        <f>IFERROR(IF(INDEX('CI&amp;S'!$Q$22:$Q$36,MATCH($F154,'CI&amp;S'!$B$22:$B$36,0))="","Cell will autofill based on response",INDEX('CI&amp;S'!$Q$22:$Q$36,MATCH($F154,'CI&amp;S'!$B$22:$B$36,0))),"N/A")</f>
        <v/>
      </c>
      <c r="N154" s="52">
        <f>IFERROR(IF(INDEX('CFOG'!$Q$10:$Q$16,MATCH($F154,'CFOG'!$B$10:$B$16,0))="","Cell will autofill based on response",INDEX('CFOG'!$Q$10:$Q$16,MATCH($F154,'CFOG'!$B$10:$B$16,0))),"N/A")</f>
        <v/>
      </c>
      <c r="O154" s="52">
        <f>IFERROR(IF(INDEX('CFOG'!$Q$23:$Q$24,MATCH($F154,'CFOG'!$B$23:$B$24,0))="","Cell will autofill based on response",INDEX('CFOG'!$Q$23:$Q$24,MATCH($F154,'CFOG'!$B$23:$B$24,0))),"N/A")</f>
        <v/>
      </c>
      <c r="P154" s="52">
        <f>IFERROR(IF(INDEX('ESG'!$Q$10:$Q$17,MATCH($F154,'ESG'!$B$10:$B$17,0))="","Cell will autofill based on response",INDEX('ESG'!$Q$10:$Q$17,MATCH($F154,'ESG'!$B$10:$B$17,0))),"N/A")</f>
        <v/>
      </c>
      <c r="Q154" s="52">
        <f>IFERROR(IF(INDEX('CIOG'!$Q$10:$Q$14,MATCH($F154,'CIOG'!$B$10:$B$14,0))="","Cell will autofill based on response",INDEX('CIOG'!$Q$10:$Q$14,MATCH($F154,'CIOG'!$B$10:$B$14,0))),"N/A")</f>
        <v/>
      </c>
      <c r="R154" s="52">
        <f>IFERROR(IF(INDEX('MRE'!$Q$10:$Q$18,MATCH($F154,'MRE'!$B$10:$B$18,0))="","Cell will autofill based on response",INDEX('MRE'!$Q$10:$Q$18,MATCH($F154,'MRE'!$B$10:$B$18,0))),"N/A")</f>
        <v/>
      </c>
      <c r="S154" s="52">
        <f>IFERROR(IF(INDEX('AC&amp;M'!$Q$10:$Q$14,MATCH($F154,'AC&amp;M'!$B$10:$B$14,0))="","Cell will autofill based on response",INDEX('AC&amp;M'!$Q$10:$Q$14,MATCH($F154,'AC&amp;M'!$B$10:$B$14,0))),"N/A")</f>
        <v/>
      </c>
      <c r="T154" s="52">
        <f>IFERROR(IF(INDEX('GCE'!$Q$10:$Q$12,MATCH($F154,'GCE'!$B$10:$B$12,0))="","Cell will autofill based on response",INDEX('GCE'!$Q$10:$Q$12,MATCH($F154,'GCE'!$B$10:$B$12,0))),"N/A")</f>
        <v/>
      </c>
      <c r="U154" s="52">
        <f>IFERROR(IF(INDEX('Education'!$Q$10:$Q$13,MATCH($F154,'Education'!$B$10:$B$13,0))="","Cell will autofill based on response",INDEX('Education'!$Q$10:$Q$13,MATCH($F154,'Education'!$B$10:$B$13,0))),"N/A")</f>
        <v/>
      </c>
      <c r="V154" s="52">
        <f>IFERROR(IF(INDEX('SaSS'!$Q$10:$Q$12,MATCH($F154,'SaSS'!$B$10:$B$12,0))="","Cell will autofill based on response",INDEX('SaSS'!$Q$10:$Q$12,MATCH($F154,'SaSS'!$B$10:$B$12,0))),"N/A")</f>
        <v/>
      </c>
      <c r="W154" s="52">
        <f>IFERROR(IF(INDEX('Indigenous'!$Q$10:$Q$11,MATCH($F154,'Indigenous'!$B$10:$B$11,0))="","Cell will autofill based on response",INDEX('Indigenous'!$Q$10:$Q$11,MATCH($F154,'Indigenous'!$B$10:$B$11,0))),"N/A")</f>
        <v/>
      </c>
      <c r="X154" s="52">
        <f>IFERROR(IF(INDEX('L&amp;R'!$Q$10:$Q$11,MATCH($F154,'L&amp;R'!$B$10:$B$11,0))="","Cell will autofill based on response",INDEX('L&amp;R'!$Q$10:$Q$11,MATCH($F154,'L&amp;R'!$B$10:$B$11,0))),"N/A")</f>
        <v/>
      </c>
    </row>
    <row r="155">
      <c r="A155">
        <f>F155&amp;"|"&amp;G155</f>
        <v/>
      </c>
      <c r="B155" s="7" t="inlineStr">
        <is>
          <t>NB2(c)</t>
        </is>
      </c>
      <c r="C155" s="50" t="inlineStr">
        <is>
          <t>Nature and biodiversity</t>
        </is>
      </c>
      <c r="D155" s="50" t="inlineStr">
        <is>
          <t>Evidence of prioritised high risk procurement categories or suppliers for nature impact management</t>
        </is>
      </c>
      <c r="E155" s="50" t="inlineStr">
        <is>
          <t>Please provide the prioritised high-risk procurement categories and/or suppliers identified for nature-impact management, could include the basis for prioritisation and any risk-management, engagement or mitigation actions undertaken or planned.</t>
        </is>
      </c>
      <c r="F155" s="50" t="inlineStr">
        <is>
          <t>NB2(c)</t>
        </is>
      </c>
      <c r="G155" s="50" t="inlineStr">
        <is>
          <t>Confirm end-2026 target status</t>
        </is>
      </c>
      <c r="H155" s="52">
        <f>IFERROR(IF(INDEX('Faculties'!$L$10:$L$19,MATCH($F155,'Faculties'!$B$10:$B$19,0))="","Cell will autofill based on response",INDEX('Faculties'!$L$10:$L$19,MATCH($F155,'Faculties'!$B$10:$B$19,0))),"N/A")</f>
        <v/>
      </c>
      <c r="I155" s="52">
        <f>IFERROR(IF(INDEX('Faculties'!$L$26:$L$35,MATCH($F155,'Faculties'!$B$26:$B$35,0))="","Cell will autofill based on response",INDEX('Faculties'!$L$26:$L$35,MATCH($F155,'Faculties'!$B$26:$B$35,0))),"N/A")</f>
        <v/>
      </c>
      <c r="J155" s="52">
        <f>IFERROR(IF(INDEX('Faculties'!$L$42:$L$51,MATCH($F155,'Faculties'!$B$42:$B$51,0))="","Cell will autofill based on response",INDEX('Faculties'!$L$42:$L$51,MATCH($F155,'Faculties'!$B$42:$B$51,0))),"N/A")</f>
        <v/>
      </c>
      <c r="K155" s="52">
        <f>IFERROR(IF(INDEX('Faculties'!$L$58:$L$67,MATCH($F155,'Faculties'!$B$58:$B$67,0))="","Cell will autofill based on response",INDEX('Faculties'!$L$58:$L$67,MATCH($F155,'Faculties'!$B$58:$B$67,0))),"N/A")</f>
        <v/>
      </c>
      <c r="L155" s="52">
        <f>IFERROR(IF(INDEX('CI&amp;S'!$L$10:$L$15,MATCH($F155,'CI&amp;S'!$B$10:$B$15,0))="","Cell will autofill based on response",INDEX('CI&amp;S'!$L$10:$L$15,MATCH($F155,'CI&amp;S'!$B$10:$B$15,0))),"N/A")</f>
        <v/>
      </c>
      <c r="M155" s="52">
        <f>IFERROR(IF(INDEX('CI&amp;S'!$L$22:$L$36,MATCH($F155,'CI&amp;S'!$B$22:$B$36,0))="","Cell will autofill based on response",INDEX('CI&amp;S'!$L$22:$L$36,MATCH($F155,'CI&amp;S'!$B$22:$B$36,0))),"N/A")</f>
        <v/>
      </c>
      <c r="N155" s="52">
        <f>IFERROR(IF(INDEX('CFOG'!$L$10:$L$16,MATCH($F155,'CFOG'!$B$10:$B$16,0))="","Cell will autofill based on response",INDEX('CFOG'!$L$10:$L$16,MATCH($F155,'CFOG'!$B$10:$B$16,0))),"N/A")</f>
        <v/>
      </c>
      <c r="O155" s="52">
        <f>IFERROR(IF(INDEX('CFOG'!$L$23:$L$24,MATCH($F155,'CFOG'!$B$23:$B$24,0))="","Cell will autofill based on response",INDEX('CFOG'!$L$23:$L$24,MATCH($F155,'CFOG'!$B$23:$B$24,0))),"N/A")</f>
        <v/>
      </c>
      <c r="P155" s="52">
        <f>IFERROR(IF(INDEX('ESG'!$L$10:$L$17,MATCH($F155,'ESG'!$B$10:$B$17,0))="","Cell will autofill based on response",INDEX('ESG'!$L$10:$L$17,MATCH($F155,'ESG'!$B$10:$B$17,0))),"N/A")</f>
        <v/>
      </c>
      <c r="Q155" s="52">
        <f>IFERROR(IF(INDEX('CIOG'!$L$10:$L$14,MATCH($F155,'CIOG'!$B$10:$B$14,0))="","Cell will autofill based on response",INDEX('CIOG'!$L$10:$L$14,MATCH($F155,'CIOG'!$B$10:$B$14,0))),"N/A")</f>
        <v/>
      </c>
      <c r="R155" s="52">
        <f>IFERROR(IF(INDEX('MRE'!$L$10:$L$18,MATCH($F155,'MRE'!$B$10:$B$18,0))="","Cell will autofill based on response",INDEX('MRE'!$L$10:$L$18,MATCH($F155,'MRE'!$B$10:$B$18,0))),"N/A")</f>
        <v/>
      </c>
      <c r="S155" s="52">
        <f>IFERROR(IF(INDEX('AC&amp;M'!$L$10:$L$14,MATCH($F155,'AC&amp;M'!$B$10:$B$14,0))="","Cell will autofill based on response",INDEX('AC&amp;M'!$L$10:$L$14,MATCH($F155,'AC&amp;M'!$B$10:$B$14,0))),"N/A")</f>
        <v/>
      </c>
      <c r="T155" s="52">
        <f>IFERROR(IF(INDEX('GCE'!$L$10:$L$12,MATCH($F155,'GCE'!$B$10:$B$12,0))="","Cell will autofill based on response",INDEX('GCE'!$L$10:$L$12,MATCH($F155,'GCE'!$B$10:$B$12,0))),"N/A")</f>
        <v/>
      </c>
      <c r="U155" s="52">
        <f>IFERROR(IF(INDEX('Education'!$L$10:$L$13,MATCH($F155,'Education'!$B$10:$B$13,0))="","Cell will autofill based on response",INDEX('Education'!$L$10:$L$13,MATCH($F155,'Education'!$B$10:$B$13,0))),"N/A")</f>
        <v/>
      </c>
      <c r="V155" s="52">
        <f>IFERROR(IF(INDEX('SaSS'!$L$10:$L$12,MATCH($F155,'SaSS'!$B$10:$B$12,0))="","Cell will autofill based on response",INDEX('SaSS'!$L$10:$L$12,MATCH($F155,'SaSS'!$B$10:$B$12,0))),"N/A")</f>
        <v/>
      </c>
      <c r="W155" s="52">
        <f>IFERROR(IF(INDEX('Indigenous'!$L$10:$L$11,MATCH($F155,'Indigenous'!$B$10:$B$11,0))="","Cell will autofill based on response",INDEX('Indigenous'!$L$10:$L$11,MATCH($F155,'Indigenous'!$B$10:$B$11,0))),"N/A")</f>
        <v/>
      </c>
      <c r="X155" s="52">
        <f>IFERROR(IF(INDEX('L&amp;R'!$L$10:$L$11,MATCH($F155,'L&amp;R'!$B$10:$B$11,0))="","Cell will autofill based on response",INDEX('L&amp;R'!$L$10:$L$11,MATCH($F155,'L&amp;R'!$B$10:$B$11,0))),"N/A")</f>
        <v/>
      </c>
      <c r="Z155" s="10">
        <f>COUNTIF($H155:$X155,"Cell will autofill based on response")</f>
        <v/>
      </c>
      <c r="AA155" s="10">
        <f>COUNTIF($H155:$X155,"Not yet started")</f>
        <v/>
      </c>
      <c r="AB155" s="10">
        <f>COUNTIF($H155:$X155,"Not met")</f>
        <v/>
      </c>
      <c r="AC155" s="10">
        <f>COUNTIF($H155:$X155,"Partially met")</f>
        <v/>
      </c>
      <c r="AD155" s="10">
        <f>COUNTIF($H155:$X155,"Met or exceeded")</f>
        <v/>
      </c>
      <c r="AE155" s="10">
        <f>3*AD155+2*AC155+AB155</f>
        <v/>
      </c>
      <c r="AF155" s="10">
        <f>AD155+AC155+AB155+AA155</f>
        <v/>
      </c>
      <c r="AG155" s="53">
        <f>IF(AF155&gt;0,AE155/AF155,"No valid responses to date")</f>
        <v/>
      </c>
      <c r="AH155" s="10">
        <f>IF(ISNUMBER(AG155),INDEX(Lists!$G$2:$G$5,MATCH(ROUND(AG155,0),Lists!$H$2:$H$5,0)),"")</f>
        <v/>
      </c>
      <c r="AI155" s="54">
        <f>IF(AF155&gt;0,AD155/AF155,"")</f>
        <v/>
      </c>
      <c r="AJ155" s="54">
        <f>IF(AF155&gt;0,(AD155+AC155)/AF155,"")</f>
        <v/>
      </c>
      <c r="AK155" s="10">
        <f>IF(AF155=0,"",IF(AI155&gt;0.75,"Met or exceeded",IF(AJ155&gt;=0.5,"Partially met","Not met")))</f>
        <v/>
      </c>
    </row>
    <row r="156">
      <c r="A156">
        <f>F156&amp;"|"&amp;G156</f>
        <v/>
      </c>
      <c r="B156" s="13" t="inlineStr"/>
      <c r="C156" s="8" t="inlineStr"/>
      <c r="D156" s="8" t="inlineStr"/>
      <c r="E156" s="8" t="inlineStr"/>
      <c r="F156" s="8" t="inlineStr">
        <is>
          <t>NB2(c)</t>
        </is>
      </c>
      <c r="G156" s="8" t="inlineStr">
        <is>
          <t>OPTION 1:  Target-level reporting</t>
        </is>
      </c>
      <c r="H156" s="52">
        <f>IFERROR(IF(INDEX('Faculties'!$M$10:$M$19,MATCH($F156,'Faculties'!$B$10:$B$19,0))="","Cell will autofill based on response",INDEX('Faculties'!$M$10:$M$19,MATCH($F156,'Faculties'!$B$10:$B$19,0))),"N/A")</f>
        <v/>
      </c>
      <c r="I156" s="52">
        <f>IFERROR(IF(INDEX('Faculties'!$M$26:$M$35,MATCH($F156,'Faculties'!$B$26:$B$35,0))="","Cell will autofill based on response",INDEX('Faculties'!$M$26:$M$35,MATCH($F156,'Faculties'!$B$26:$B$35,0))),"N/A")</f>
        <v/>
      </c>
      <c r="J156" s="52">
        <f>IFERROR(IF(INDEX('Faculties'!$M$42:$M$51,MATCH($F156,'Faculties'!$B$42:$B$51,0))="","Cell will autofill based on response",INDEX('Faculties'!$M$42:$M$51,MATCH($F156,'Faculties'!$B$42:$B$51,0))),"N/A")</f>
        <v/>
      </c>
      <c r="K156" s="52">
        <f>IFERROR(IF(INDEX('Faculties'!$M$58:$M$67,MATCH($F156,'Faculties'!$B$58:$B$67,0))="","Cell will autofill based on response",INDEX('Faculties'!$M$58:$M$67,MATCH($F156,'Faculties'!$B$58:$B$67,0))),"N/A")</f>
        <v/>
      </c>
      <c r="L156" s="52">
        <f>IFERROR(IF(INDEX('CI&amp;S'!$M$10:$M$15,MATCH($F156,'CI&amp;S'!$B$10:$B$15,0))="","Cell will autofill based on response",INDEX('CI&amp;S'!$M$10:$M$15,MATCH($F156,'CI&amp;S'!$B$10:$B$15,0))),"N/A")</f>
        <v/>
      </c>
      <c r="M156" s="52">
        <f>IFERROR(IF(INDEX('CI&amp;S'!$M$22:$M$36,MATCH($F156,'CI&amp;S'!$B$22:$B$36,0))="","Cell will autofill based on response",INDEX('CI&amp;S'!$M$22:$M$36,MATCH($F156,'CI&amp;S'!$B$22:$B$36,0))),"N/A")</f>
        <v/>
      </c>
      <c r="N156" s="52">
        <f>IFERROR(IF(INDEX('CFOG'!$M$10:$M$16,MATCH($F156,'CFOG'!$B$10:$B$16,0))="","Cell will autofill based on response",INDEX('CFOG'!$M$10:$M$16,MATCH($F156,'CFOG'!$B$10:$B$16,0))),"N/A")</f>
        <v/>
      </c>
      <c r="O156" s="52">
        <f>IFERROR(IF(INDEX('CFOG'!$M$23:$M$24,MATCH($F156,'CFOG'!$B$23:$B$24,0))="","Cell will autofill based on response",INDEX('CFOG'!$M$23:$M$24,MATCH($F156,'CFOG'!$B$23:$B$24,0))),"N/A")</f>
        <v/>
      </c>
      <c r="P156" s="52">
        <f>IFERROR(IF(INDEX('ESG'!$M$10:$M$17,MATCH($F156,'ESG'!$B$10:$B$17,0))="","Cell will autofill based on response",INDEX('ESG'!$M$10:$M$17,MATCH($F156,'ESG'!$B$10:$B$17,0))),"N/A")</f>
        <v/>
      </c>
      <c r="Q156" s="52">
        <f>IFERROR(IF(INDEX('CIOG'!$M$10:$M$14,MATCH($F156,'CIOG'!$B$10:$B$14,0))="","Cell will autofill based on response",INDEX('CIOG'!$M$10:$M$14,MATCH($F156,'CIOG'!$B$10:$B$14,0))),"N/A")</f>
        <v/>
      </c>
      <c r="R156" s="52">
        <f>IFERROR(IF(INDEX('MRE'!$M$10:$M$18,MATCH($F156,'MRE'!$B$10:$B$18,0))="","Cell will autofill based on response",INDEX('MRE'!$M$10:$M$18,MATCH($F156,'MRE'!$B$10:$B$18,0))),"N/A")</f>
        <v/>
      </c>
      <c r="S156" s="52">
        <f>IFERROR(IF(INDEX('AC&amp;M'!$M$10:$M$14,MATCH($F156,'AC&amp;M'!$B$10:$B$14,0))="","Cell will autofill based on response",INDEX('AC&amp;M'!$M$10:$M$14,MATCH($F156,'AC&amp;M'!$B$10:$B$14,0))),"N/A")</f>
        <v/>
      </c>
      <c r="T156" s="52">
        <f>IFERROR(IF(INDEX('GCE'!$M$10:$M$12,MATCH($F156,'GCE'!$B$10:$B$12,0))="","Cell will autofill based on response",INDEX('GCE'!$M$10:$M$12,MATCH($F156,'GCE'!$B$10:$B$12,0))),"N/A")</f>
        <v/>
      </c>
      <c r="U156" s="52">
        <f>IFERROR(IF(INDEX('Education'!$M$10:$M$13,MATCH($F156,'Education'!$B$10:$B$13,0))="","Cell will autofill based on response",INDEX('Education'!$M$10:$M$13,MATCH($F156,'Education'!$B$10:$B$13,0))),"N/A")</f>
        <v/>
      </c>
      <c r="V156" s="52">
        <f>IFERROR(IF(INDEX('SaSS'!$M$10:$M$12,MATCH($F156,'SaSS'!$B$10:$B$12,0))="","Cell will autofill based on response",INDEX('SaSS'!$M$10:$M$12,MATCH($F156,'SaSS'!$B$10:$B$12,0))),"N/A")</f>
        <v/>
      </c>
      <c r="W156" s="52">
        <f>IFERROR(IF(INDEX('Indigenous'!$M$10:$M$11,MATCH($F156,'Indigenous'!$B$10:$B$11,0))="","Cell will autofill based on response",INDEX('Indigenous'!$M$10:$M$11,MATCH($F156,'Indigenous'!$B$10:$B$11,0))),"N/A")</f>
        <v/>
      </c>
      <c r="X156" s="52">
        <f>IFERROR(IF(INDEX('L&amp;R'!$M$10:$M$11,MATCH($F156,'L&amp;R'!$B$10:$B$11,0))="","Cell will autofill based on response",INDEX('L&amp;R'!$M$10:$M$11,MATCH($F156,'L&amp;R'!$B$10:$B$11,0))),"N/A")</f>
        <v/>
      </c>
    </row>
    <row r="157">
      <c r="A157">
        <f>F157&amp;"|"&amp;G157</f>
        <v/>
      </c>
      <c r="B157" s="13" t="inlineStr"/>
      <c r="C157" s="8" t="inlineStr"/>
      <c r="D157" s="8" t="inlineStr"/>
      <c r="E157" s="8" t="inlineStr"/>
      <c r="F157" s="8" t="inlineStr">
        <is>
          <t>NB2(c)</t>
        </is>
      </c>
      <c r="G157" s="8" t="inlineStr">
        <is>
          <t>OPTION 2:  Indicator level reporting</t>
        </is>
      </c>
      <c r="H157" s="52">
        <f>IFERROR(IF(INDEX('Faculties'!$N$10:$N$19,MATCH($F157,'Faculties'!$B$10:$B$19,0))="","Cell will autofill based on response",INDEX('Faculties'!$N$10:$N$19,MATCH($F157,'Faculties'!$B$10:$B$19,0))),"N/A")</f>
        <v/>
      </c>
      <c r="I157" s="52">
        <f>IFERROR(IF(INDEX('Faculties'!$N$26:$N$35,MATCH($F157,'Faculties'!$B$26:$B$35,0))="","Cell will autofill based on response",INDEX('Faculties'!$N$26:$N$35,MATCH($F157,'Faculties'!$B$26:$B$35,0))),"N/A")</f>
        <v/>
      </c>
      <c r="J157" s="52">
        <f>IFERROR(IF(INDEX('Faculties'!$N$42:$N$51,MATCH($F157,'Faculties'!$B$42:$B$51,0))="","Cell will autofill based on response",INDEX('Faculties'!$N$42:$N$51,MATCH($F157,'Faculties'!$B$42:$B$51,0))),"N/A")</f>
        <v/>
      </c>
      <c r="K157" s="52">
        <f>IFERROR(IF(INDEX('Faculties'!$N$58:$N$67,MATCH($F157,'Faculties'!$B$58:$B$67,0))="","Cell will autofill based on response",INDEX('Faculties'!$N$58:$N$67,MATCH($F157,'Faculties'!$B$58:$B$67,0))),"N/A")</f>
        <v/>
      </c>
      <c r="L157" s="52">
        <f>IFERROR(IF(INDEX('CI&amp;S'!$N$10:$N$15,MATCH($F157,'CI&amp;S'!$B$10:$B$15,0))="","Cell will autofill based on response",INDEX('CI&amp;S'!$N$10:$N$15,MATCH($F157,'CI&amp;S'!$B$10:$B$15,0))),"N/A")</f>
        <v/>
      </c>
      <c r="M157" s="52">
        <f>IFERROR(IF(INDEX('CI&amp;S'!$N$22:$N$36,MATCH($F157,'CI&amp;S'!$B$22:$B$36,0))="","Cell will autofill based on response",INDEX('CI&amp;S'!$N$22:$N$36,MATCH($F157,'CI&amp;S'!$B$22:$B$36,0))),"N/A")</f>
        <v/>
      </c>
      <c r="N157" s="52">
        <f>IFERROR(IF(INDEX('CFOG'!$N$10:$N$16,MATCH($F157,'CFOG'!$B$10:$B$16,0))="","Cell will autofill based on response",INDEX('CFOG'!$N$10:$N$16,MATCH($F157,'CFOG'!$B$10:$B$16,0))),"N/A")</f>
        <v/>
      </c>
      <c r="O157" s="52">
        <f>IFERROR(IF(INDEX('CFOG'!$N$23:$N$24,MATCH($F157,'CFOG'!$B$23:$B$24,0))="","Cell will autofill based on response",INDEX('CFOG'!$N$23:$N$24,MATCH($F157,'CFOG'!$B$23:$B$24,0))),"N/A")</f>
        <v/>
      </c>
      <c r="P157" s="52">
        <f>IFERROR(IF(INDEX('ESG'!$N$10:$N$17,MATCH($F157,'ESG'!$B$10:$B$17,0))="","Cell will autofill based on response",INDEX('ESG'!$N$10:$N$17,MATCH($F157,'ESG'!$B$10:$B$17,0))),"N/A")</f>
        <v/>
      </c>
      <c r="Q157" s="52">
        <f>IFERROR(IF(INDEX('CIOG'!$N$10:$N$14,MATCH($F157,'CIOG'!$B$10:$B$14,0))="","Cell will autofill based on response",INDEX('CIOG'!$N$10:$N$14,MATCH($F157,'CIOG'!$B$10:$B$14,0))),"N/A")</f>
        <v/>
      </c>
      <c r="R157" s="52">
        <f>IFERROR(IF(INDEX('MRE'!$N$10:$N$18,MATCH($F157,'MRE'!$B$10:$B$18,0))="","Cell will autofill based on response",INDEX('MRE'!$N$10:$N$18,MATCH($F157,'MRE'!$B$10:$B$18,0))),"N/A")</f>
        <v/>
      </c>
      <c r="S157" s="52">
        <f>IFERROR(IF(INDEX('AC&amp;M'!$N$10:$N$14,MATCH($F157,'AC&amp;M'!$B$10:$B$14,0))="","Cell will autofill based on response",INDEX('AC&amp;M'!$N$10:$N$14,MATCH($F157,'AC&amp;M'!$B$10:$B$14,0))),"N/A")</f>
        <v/>
      </c>
      <c r="T157" s="52">
        <f>IFERROR(IF(INDEX('GCE'!$N$10:$N$12,MATCH($F157,'GCE'!$B$10:$B$12,0))="","Cell will autofill based on response",INDEX('GCE'!$N$10:$N$12,MATCH($F157,'GCE'!$B$10:$B$12,0))),"N/A")</f>
        <v/>
      </c>
      <c r="U157" s="52">
        <f>IFERROR(IF(INDEX('Education'!$N$10:$N$13,MATCH($F157,'Education'!$B$10:$B$13,0))="","Cell will autofill based on response",INDEX('Education'!$N$10:$N$13,MATCH($F157,'Education'!$B$10:$B$13,0))),"N/A")</f>
        <v/>
      </c>
      <c r="V157" s="52">
        <f>IFERROR(IF(INDEX('SaSS'!$N$10:$N$12,MATCH($F157,'SaSS'!$B$10:$B$12,0))="","Cell will autofill based on response",INDEX('SaSS'!$N$10:$N$12,MATCH($F157,'SaSS'!$B$10:$B$12,0))),"N/A")</f>
        <v/>
      </c>
      <c r="W157" s="52">
        <f>IFERROR(IF(INDEX('Indigenous'!$N$10:$N$11,MATCH($F157,'Indigenous'!$B$10:$B$11,0))="","Cell will autofill based on response",INDEX('Indigenous'!$N$10:$N$11,MATCH($F157,'Indigenous'!$B$10:$B$11,0))),"N/A")</f>
        <v/>
      </c>
      <c r="X157" s="52">
        <f>IFERROR(IF(INDEX('L&amp;R'!$N$10:$N$11,MATCH($F157,'L&amp;R'!$B$10:$B$11,0))="","Cell will autofill based on response",INDEX('L&amp;R'!$N$10:$N$11,MATCH($F157,'L&amp;R'!$B$10:$B$11,0))),"N/A")</f>
        <v/>
      </c>
    </row>
    <row r="158">
      <c r="A158">
        <f>F158&amp;"|"&amp;G158</f>
        <v/>
      </c>
      <c r="B158" s="13" t="inlineStr"/>
      <c r="C158" s="8" t="inlineStr"/>
      <c r="D158" s="8" t="inlineStr"/>
      <c r="E158" s="8" t="inlineStr"/>
      <c r="F158" s="8" t="inlineStr">
        <is>
          <t>NB2(c)</t>
        </is>
      </c>
      <c r="G158" s="8" t="inlineStr">
        <is>
          <t>Supporting information/comments</t>
        </is>
      </c>
      <c r="H158" s="52">
        <f>IFERROR(IF(INDEX('Faculties'!$O$10:$O$19,MATCH($F158,'Faculties'!$B$10:$B$19,0))="","Cell will autofill based on response",INDEX('Faculties'!$O$10:$O$19,MATCH($F158,'Faculties'!$B$10:$B$19,0))),"N/A")</f>
        <v/>
      </c>
      <c r="I158" s="52">
        <f>IFERROR(IF(INDEX('Faculties'!$O$26:$O$35,MATCH($F158,'Faculties'!$B$26:$B$35,0))="","Cell will autofill based on response",INDEX('Faculties'!$O$26:$O$35,MATCH($F158,'Faculties'!$B$26:$B$35,0))),"N/A")</f>
        <v/>
      </c>
      <c r="J158" s="52">
        <f>IFERROR(IF(INDEX('Faculties'!$O$42:$O$51,MATCH($F158,'Faculties'!$B$42:$B$51,0))="","Cell will autofill based on response",INDEX('Faculties'!$O$42:$O$51,MATCH($F158,'Faculties'!$B$42:$B$51,0))),"N/A")</f>
        <v/>
      </c>
      <c r="K158" s="52">
        <f>IFERROR(IF(INDEX('Faculties'!$O$58:$O$67,MATCH($F158,'Faculties'!$B$58:$B$67,0))="","Cell will autofill based on response",INDEX('Faculties'!$O$58:$O$67,MATCH($F158,'Faculties'!$B$58:$B$67,0))),"N/A")</f>
        <v/>
      </c>
      <c r="L158" s="52">
        <f>IFERROR(IF(INDEX('CI&amp;S'!$O$10:$O$15,MATCH($F158,'CI&amp;S'!$B$10:$B$15,0))="","Cell will autofill based on response",INDEX('CI&amp;S'!$O$10:$O$15,MATCH($F158,'CI&amp;S'!$B$10:$B$15,0))),"N/A")</f>
        <v/>
      </c>
      <c r="M158" s="52">
        <f>IFERROR(IF(INDEX('CI&amp;S'!$O$22:$O$36,MATCH($F158,'CI&amp;S'!$B$22:$B$36,0))="","Cell will autofill based on response",INDEX('CI&amp;S'!$O$22:$O$36,MATCH($F158,'CI&amp;S'!$B$22:$B$36,0))),"N/A")</f>
        <v/>
      </c>
      <c r="N158" s="52">
        <f>IFERROR(IF(INDEX('CFOG'!$O$10:$O$16,MATCH($F158,'CFOG'!$B$10:$B$16,0))="","Cell will autofill based on response",INDEX('CFOG'!$O$10:$O$16,MATCH($F158,'CFOG'!$B$10:$B$16,0))),"N/A")</f>
        <v/>
      </c>
      <c r="O158" s="52">
        <f>IFERROR(IF(INDEX('CFOG'!$O$23:$O$24,MATCH($F158,'CFOG'!$B$23:$B$24,0))="","Cell will autofill based on response",INDEX('CFOG'!$O$23:$O$24,MATCH($F158,'CFOG'!$B$23:$B$24,0))),"N/A")</f>
        <v/>
      </c>
      <c r="P158" s="52">
        <f>IFERROR(IF(INDEX('ESG'!$O$10:$O$17,MATCH($F158,'ESG'!$B$10:$B$17,0))="","Cell will autofill based on response",INDEX('ESG'!$O$10:$O$17,MATCH($F158,'ESG'!$B$10:$B$17,0))),"N/A")</f>
        <v/>
      </c>
      <c r="Q158" s="52">
        <f>IFERROR(IF(INDEX('CIOG'!$O$10:$O$14,MATCH($F158,'CIOG'!$B$10:$B$14,0))="","Cell will autofill based on response",INDEX('CIOG'!$O$10:$O$14,MATCH($F158,'CIOG'!$B$10:$B$14,0))),"N/A")</f>
        <v/>
      </c>
      <c r="R158" s="52">
        <f>IFERROR(IF(INDEX('MRE'!$O$10:$O$18,MATCH($F158,'MRE'!$B$10:$B$18,0))="","Cell will autofill based on response",INDEX('MRE'!$O$10:$O$18,MATCH($F158,'MRE'!$B$10:$B$18,0))),"N/A")</f>
        <v/>
      </c>
      <c r="S158" s="52">
        <f>IFERROR(IF(INDEX('AC&amp;M'!$O$10:$O$14,MATCH($F158,'AC&amp;M'!$B$10:$B$14,0))="","Cell will autofill based on response",INDEX('AC&amp;M'!$O$10:$O$14,MATCH($F158,'AC&amp;M'!$B$10:$B$14,0))),"N/A")</f>
        <v/>
      </c>
      <c r="T158" s="52">
        <f>IFERROR(IF(INDEX('GCE'!$O$10:$O$12,MATCH($F158,'GCE'!$B$10:$B$12,0))="","Cell will autofill based on response",INDEX('GCE'!$O$10:$O$12,MATCH($F158,'GCE'!$B$10:$B$12,0))),"N/A")</f>
        <v/>
      </c>
      <c r="U158" s="52">
        <f>IFERROR(IF(INDEX('Education'!$O$10:$O$13,MATCH($F158,'Education'!$B$10:$B$13,0))="","Cell will autofill based on response",INDEX('Education'!$O$10:$O$13,MATCH($F158,'Education'!$B$10:$B$13,0))),"N/A")</f>
        <v/>
      </c>
      <c r="V158" s="52">
        <f>IFERROR(IF(INDEX('SaSS'!$O$10:$O$12,MATCH($F158,'SaSS'!$B$10:$B$12,0))="","Cell will autofill based on response",INDEX('SaSS'!$O$10:$O$12,MATCH($F158,'SaSS'!$B$10:$B$12,0))),"N/A")</f>
        <v/>
      </c>
      <c r="W158" s="52">
        <f>IFERROR(IF(INDEX('Indigenous'!$O$10:$O$11,MATCH($F158,'Indigenous'!$B$10:$B$11,0))="","Cell will autofill based on response",INDEX('Indigenous'!$O$10:$O$11,MATCH($F158,'Indigenous'!$B$10:$B$11,0))),"N/A")</f>
        <v/>
      </c>
      <c r="X158" s="52">
        <f>IFERROR(IF(INDEX('L&amp;R'!$O$10:$O$11,MATCH($F158,'L&amp;R'!$B$10:$B$11,0))="","Cell will autofill based on response",INDEX('L&amp;R'!$O$10:$O$11,MATCH($F158,'L&amp;R'!$B$10:$B$11,0))),"N/A")</f>
        <v/>
      </c>
    </row>
    <row r="159">
      <c r="A159">
        <f>F159&amp;"|"&amp;G159</f>
        <v/>
      </c>
      <c r="B159" s="13" t="inlineStr"/>
      <c r="C159" s="8" t="inlineStr"/>
      <c r="D159" s="8" t="inlineStr"/>
      <c r="E159" s="8" t="inlineStr"/>
      <c r="F159" s="8" t="inlineStr">
        <is>
          <t>NB2(c)</t>
        </is>
      </c>
      <c r="G159" s="8" t="inlineStr">
        <is>
          <t>Data source and limitations</t>
        </is>
      </c>
      <c r="H159" s="52">
        <f>IFERROR(IF(INDEX('Faculties'!$P$10:$P$19,MATCH($F159,'Faculties'!$B$10:$B$19,0))="","Cell will autofill based on response",INDEX('Faculties'!$P$10:$P$19,MATCH($F159,'Faculties'!$B$10:$B$19,0))),"N/A")</f>
        <v/>
      </c>
      <c r="I159" s="52">
        <f>IFERROR(IF(INDEX('Faculties'!$P$26:$P$35,MATCH($F159,'Faculties'!$B$26:$B$35,0))="","Cell will autofill based on response",INDEX('Faculties'!$P$26:$P$35,MATCH($F159,'Faculties'!$B$26:$B$35,0))),"N/A")</f>
        <v/>
      </c>
      <c r="J159" s="52">
        <f>IFERROR(IF(INDEX('Faculties'!$P$42:$P$51,MATCH($F159,'Faculties'!$B$42:$B$51,0))="","Cell will autofill based on response",INDEX('Faculties'!$P$42:$P$51,MATCH($F159,'Faculties'!$B$42:$B$51,0))),"N/A")</f>
        <v/>
      </c>
      <c r="K159" s="52">
        <f>IFERROR(IF(INDEX('Faculties'!$P$58:$P$67,MATCH($F159,'Faculties'!$B$58:$B$67,0))="","Cell will autofill based on response",INDEX('Faculties'!$P$58:$P$67,MATCH($F159,'Faculties'!$B$58:$B$67,0))),"N/A")</f>
        <v/>
      </c>
      <c r="L159" s="52">
        <f>IFERROR(IF(INDEX('CI&amp;S'!$P$10:$P$15,MATCH($F159,'CI&amp;S'!$B$10:$B$15,0))="","Cell will autofill based on response",INDEX('CI&amp;S'!$P$10:$P$15,MATCH($F159,'CI&amp;S'!$B$10:$B$15,0))),"N/A")</f>
        <v/>
      </c>
      <c r="M159" s="52">
        <f>IFERROR(IF(INDEX('CI&amp;S'!$P$22:$P$36,MATCH($F159,'CI&amp;S'!$B$22:$B$36,0))="","Cell will autofill based on response",INDEX('CI&amp;S'!$P$22:$P$36,MATCH($F159,'CI&amp;S'!$B$22:$B$36,0))),"N/A")</f>
        <v/>
      </c>
      <c r="N159" s="52">
        <f>IFERROR(IF(INDEX('CFOG'!$P$10:$P$16,MATCH($F159,'CFOG'!$B$10:$B$16,0))="","Cell will autofill based on response",INDEX('CFOG'!$P$10:$P$16,MATCH($F159,'CFOG'!$B$10:$B$16,0))),"N/A")</f>
        <v/>
      </c>
      <c r="O159" s="52">
        <f>IFERROR(IF(INDEX('CFOG'!$P$23:$P$24,MATCH($F159,'CFOG'!$B$23:$B$24,0))="","Cell will autofill based on response",INDEX('CFOG'!$P$23:$P$24,MATCH($F159,'CFOG'!$B$23:$B$24,0))),"N/A")</f>
        <v/>
      </c>
      <c r="P159" s="52">
        <f>IFERROR(IF(INDEX('ESG'!$P$10:$P$17,MATCH($F159,'ESG'!$B$10:$B$17,0))="","Cell will autofill based on response",INDEX('ESG'!$P$10:$P$17,MATCH($F159,'ESG'!$B$10:$B$17,0))),"N/A")</f>
        <v/>
      </c>
      <c r="Q159" s="52">
        <f>IFERROR(IF(INDEX('CIOG'!$P$10:$P$14,MATCH($F159,'CIOG'!$B$10:$B$14,0))="","Cell will autofill based on response",INDEX('CIOG'!$P$10:$P$14,MATCH($F159,'CIOG'!$B$10:$B$14,0))),"N/A")</f>
        <v/>
      </c>
      <c r="R159" s="52">
        <f>IFERROR(IF(INDEX('MRE'!$P$10:$P$18,MATCH($F159,'MRE'!$B$10:$B$18,0))="","Cell will autofill based on response",INDEX('MRE'!$P$10:$P$18,MATCH($F159,'MRE'!$B$10:$B$18,0))),"N/A")</f>
        <v/>
      </c>
      <c r="S159" s="52">
        <f>IFERROR(IF(INDEX('AC&amp;M'!$P$10:$P$14,MATCH($F159,'AC&amp;M'!$B$10:$B$14,0))="","Cell will autofill based on response",INDEX('AC&amp;M'!$P$10:$P$14,MATCH($F159,'AC&amp;M'!$B$10:$B$14,0))),"N/A")</f>
        <v/>
      </c>
      <c r="T159" s="52">
        <f>IFERROR(IF(INDEX('GCE'!$P$10:$P$12,MATCH($F159,'GCE'!$B$10:$B$12,0))="","Cell will autofill based on response",INDEX('GCE'!$P$10:$P$12,MATCH($F159,'GCE'!$B$10:$B$12,0))),"N/A")</f>
        <v/>
      </c>
      <c r="U159" s="52">
        <f>IFERROR(IF(INDEX('Education'!$P$10:$P$13,MATCH($F159,'Education'!$B$10:$B$13,0))="","Cell will autofill based on response",INDEX('Education'!$P$10:$P$13,MATCH($F159,'Education'!$B$10:$B$13,0))),"N/A")</f>
        <v/>
      </c>
      <c r="V159" s="52">
        <f>IFERROR(IF(INDEX('SaSS'!$P$10:$P$12,MATCH($F159,'SaSS'!$B$10:$B$12,0))="","Cell will autofill based on response",INDEX('SaSS'!$P$10:$P$12,MATCH($F159,'SaSS'!$B$10:$B$12,0))),"N/A")</f>
        <v/>
      </c>
      <c r="W159" s="52">
        <f>IFERROR(IF(INDEX('Indigenous'!$P$10:$P$11,MATCH($F159,'Indigenous'!$B$10:$B$11,0))="","Cell will autofill based on response",INDEX('Indigenous'!$P$10:$P$11,MATCH($F159,'Indigenous'!$B$10:$B$11,0))),"N/A")</f>
        <v/>
      </c>
      <c r="X159" s="52">
        <f>IFERROR(IF(INDEX('L&amp;R'!$P$10:$P$11,MATCH($F159,'L&amp;R'!$B$10:$B$11,0))="","Cell will autofill based on response",INDEX('L&amp;R'!$P$10:$P$11,MATCH($F159,'L&amp;R'!$B$10:$B$11,0))),"N/A")</f>
        <v/>
      </c>
    </row>
    <row r="160">
      <c r="A160">
        <f>F160&amp;"|"&amp;G160</f>
        <v/>
      </c>
      <c r="B160" s="13" t="inlineStr"/>
      <c r="C160" s="8" t="inlineStr"/>
      <c r="D160" s="8" t="inlineStr"/>
      <c r="E160" s="8" t="inlineStr"/>
      <c r="F160" s="8" t="inlineStr">
        <is>
          <t>NB2(c)</t>
        </is>
      </c>
      <c r="G160" s="8" t="inlineStr">
        <is>
          <t>Data owner confirms</t>
        </is>
      </c>
      <c r="H160" s="52">
        <f>IFERROR(IF(INDEX('Faculties'!$Q$10:$Q$19,MATCH($F160,'Faculties'!$B$10:$B$19,0))="","Cell will autofill based on response",INDEX('Faculties'!$Q$10:$Q$19,MATCH($F160,'Faculties'!$B$10:$B$19,0))),"N/A")</f>
        <v/>
      </c>
      <c r="I160" s="52">
        <f>IFERROR(IF(INDEX('Faculties'!$Q$26:$Q$35,MATCH($F160,'Faculties'!$B$26:$B$35,0))="","Cell will autofill based on response",INDEX('Faculties'!$Q$26:$Q$35,MATCH($F160,'Faculties'!$B$26:$B$35,0))),"N/A")</f>
        <v/>
      </c>
      <c r="J160" s="52">
        <f>IFERROR(IF(INDEX('Faculties'!$Q$42:$Q$51,MATCH($F160,'Faculties'!$B$42:$B$51,0))="","Cell will autofill based on response",INDEX('Faculties'!$Q$42:$Q$51,MATCH($F160,'Faculties'!$B$42:$B$51,0))),"N/A")</f>
        <v/>
      </c>
      <c r="K160" s="52">
        <f>IFERROR(IF(INDEX('Faculties'!$Q$58:$Q$67,MATCH($F160,'Faculties'!$B$58:$B$67,0))="","Cell will autofill based on response",INDEX('Faculties'!$Q$58:$Q$67,MATCH($F160,'Faculties'!$B$58:$B$67,0))),"N/A")</f>
        <v/>
      </c>
      <c r="L160" s="52">
        <f>IFERROR(IF(INDEX('CI&amp;S'!$Q$10:$Q$15,MATCH($F160,'CI&amp;S'!$B$10:$B$15,0))="","Cell will autofill based on response",INDEX('CI&amp;S'!$Q$10:$Q$15,MATCH($F160,'CI&amp;S'!$B$10:$B$15,0))),"N/A")</f>
        <v/>
      </c>
      <c r="M160" s="52">
        <f>IFERROR(IF(INDEX('CI&amp;S'!$Q$22:$Q$36,MATCH($F160,'CI&amp;S'!$B$22:$B$36,0))="","Cell will autofill based on response",INDEX('CI&amp;S'!$Q$22:$Q$36,MATCH($F160,'CI&amp;S'!$B$22:$B$36,0))),"N/A")</f>
        <v/>
      </c>
      <c r="N160" s="52">
        <f>IFERROR(IF(INDEX('CFOG'!$Q$10:$Q$16,MATCH($F160,'CFOG'!$B$10:$B$16,0))="","Cell will autofill based on response",INDEX('CFOG'!$Q$10:$Q$16,MATCH($F160,'CFOG'!$B$10:$B$16,0))),"N/A")</f>
        <v/>
      </c>
      <c r="O160" s="52">
        <f>IFERROR(IF(INDEX('CFOG'!$Q$23:$Q$24,MATCH($F160,'CFOG'!$B$23:$B$24,0))="","Cell will autofill based on response",INDEX('CFOG'!$Q$23:$Q$24,MATCH($F160,'CFOG'!$B$23:$B$24,0))),"N/A")</f>
        <v/>
      </c>
      <c r="P160" s="52">
        <f>IFERROR(IF(INDEX('ESG'!$Q$10:$Q$17,MATCH($F160,'ESG'!$B$10:$B$17,0))="","Cell will autofill based on response",INDEX('ESG'!$Q$10:$Q$17,MATCH($F160,'ESG'!$B$10:$B$17,0))),"N/A")</f>
        <v/>
      </c>
      <c r="Q160" s="52">
        <f>IFERROR(IF(INDEX('CIOG'!$Q$10:$Q$14,MATCH($F160,'CIOG'!$B$10:$B$14,0))="","Cell will autofill based on response",INDEX('CIOG'!$Q$10:$Q$14,MATCH($F160,'CIOG'!$B$10:$B$14,0))),"N/A")</f>
        <v/>
      </c>
      <c r="R160" s="52">
        <f>IFERROR(IF(INDEX('MRE'!$Q$10:$Q$18,MATCH($F160,'MRE'!$B$10:$B$18,0))="","Cell will autofill based on response",INDEX('MRE'!$Q$10:$Q$18,MATCH($F160,'MRE'!$B$10:$B$18,0))),"N/A")</f>
        <v/>
      </c>
      <c r="S160" s="52">
        <f>IFERROR(IF(INDEX('AC&amp;M'!$Q$10:$Q$14,MATCH($F160,'AC&amp;M'!$B$10:$B$14,0))="","Cell will autofill based on response",INDEX('AC&amp;M'!$Q$10:$Q$14,MATCH($F160,'AC&amp;M'!$B$10:$B$14,0))),"N/A")</f>
        <v/>
      </c>
      <c r="T160" s="52">
        <f>IFERROR(IF(INDEX('GCE'!$Q$10:$Q$12,MATCH($F160,'GCE'!$B$10:$B$12,0))="","Cell will autofill based on response",INDEX('GCE'!$Q$10:$Q$12,MATCH($F160,'GCE'!$B$10:$B$12,0))),"N/A")</f>
        <v/>
      </c>
      <c r="U160" s="52">
        <f>IFERROR(IF(INDEX('Education'!$Q$10:$Q$13,MATCH($F160,'Education'!$B$10:$B$13,0))="","Cell will autofill based on response",INDEX('Education'!$Q$10:$Q$13,MATCH($F160,'Education'!$B$10:$B$13,0))),"N/A")</f>
        <v/>
      </c>
      <c r="V160" s="52">
        <f>IFERROR(IF(INDEX('SaSS'!$Q$10:$Q$12,MATCH($F160,'SaSS'!$B$10:$B$12,0))="","Cell will autofill based on response",INDEX('SaSS'!$Q$10:$Q$12,MATCH($F160,'SaSS'!$B$10:$B$12,0))),"N/A")</f>
        <v/>
      </c>
      <c r="W160" s="52">
        <f>IFERROR(IF(INDEX('Indigenous'!$Q$10:$Q$11,MATCH($F160,'Indigenous'!$B$10:$B$11,0))="","Cell will autofill based on response",INDEX('Indigenous'!$Q$10:$Q$11,MATCH($F160,'Indigenous'!$B$10:$B$11,0))),"N/A")</f>
        <v/>
      </c>
      <c r="X160" s="52">
        <f>IFERROR(IF(INDEX('L&amp;R'!$Q$10:$Q$11,MATCH($F160,'L&amp;R'!$B$10:$B$11,0))="","Cell will autofill based on response",INDEX('L&amp;R'!$Q$10:$Q$11,MATCH($F160,'L&amp;R'!$B$10:$B$11,0))),"N/A")</f>
        <v/>
      </c>
    </row>
    <row r="161">
      <c r="A161">
        <f>F161&amp;"|"&amp;G161</f>
        <v/>
      </c>
      <c r="B161" s="7" t="inlineStr">
        <is>
          <t>AI1(a)</t>
        </is>
      </c>
      <c r="C161" s="50" t="inlineStr">
        <is>
          <t>Responsible AI</t>
        </is>
      </c>
      <c r="D161" s="50" t="inlineStr">
        <is>
          <t>Established measurement of estimated operational impacts and opportunities (eg operational impacts could include energy, water, emissions and intensity measures)</t>
        </is>
      </c>
      <c r="E161" s="50" t="inlineStr"/>
      <c r="F161" s="50" t="inlineStr">
        <is>
          <t>AI1(a)</t>
        </is>
      </c>
      <c r="G161" s="50" t="inlineStr">
        <is>
          <t>Confirm end-2026 target status</t>
        </is>
      </c>
      <c r="H161" s="52">
        <f>IFERROR(IF(INDEX('Faculties'!$L$10:$L$19,MATCH($F161,'Faculties'!$B$10:$B$19,0))="","Cell will autofill based on response",INDEX('Faculties'!$L$10:$L$19,MATCH($F161,'Faculties'!$B$10:$B$19,0))),"N/A")</f>
        <v/>
      </c>
      <c r="I161" s="52">
        <f>IFERROR(IF(INDEX('Faculties'!$L$26:$L$35,MATCH($F161,'Faculties'!$B$26:$B$35,0))="","Cell will autofill based on response",INDEX('Faculties'!$L$26:$L$35,MATCH($F161,'Faculties'!$B$26:$B$35,0))),"N/A")</f>
        <v/>
      </c>
      <c r="J161" s="52">
        <f>IFERROR(IF(INDEX('Faculties'!$L$42:$L$51,MATCH($F161,'Faculties'!$B$42:$B$51,0))="","Cell will autofill based on response",INDEX('Faculties'!$L$42:$L$51,MATCH($F161,'Faculties'!$B$42:$B$51,0))),"N/A")</f>
        <v/>
      </c>
      <c r="K161" s="52">
        <f>IFERROR(IF(INDEX('Faculties'!$L$58:$L$67,MATCH($F161,'Faculties'!$B$58:$B$67,0))="","Cell will autofill based on response",INDEX('Faculties'!$L$58:$L$67,MATCH($F161,'Faculties'!$B$58:$B$67,0))),"N/A")</f>
        <v/>
      </c>
      <c r="L161" s="52">
        <f>IFERROR(IF(INDEX('CI&amp;S'!$L$10:$L$15,MATCH($F161,'CI&amp;S'!$B$10:$B$15,0))="","Cell will autofill based on response",INDEX('CI&amp;S'!$L$10:$L$15,MATCH($F161,'CI&amp;S'!$B$10:$B$15,0))),"N/A")</f>
        <v/>
      </c>
      <c r="M161" s="52">
        <f>IFERROR(IF(INDEX('CI&amp;S'!$L$22:$L$36,MATCH($F161,'CI&amp;S'!$B$22:$B$36,0))="","Cell will autofill based on response",INDEX('CI&amp;S'!$L$22:$L$36,MATCH($F161,'CI&amp;S'!$B$22:$B$36,0))),"N/A")</f>
        <v/>
      </c>
      <c r="N161" s="52">
        <f>IFERROR(IF(INDEX('CFOG'!$L$10:$L$16,MATCH($F161,'CFOG'!$B$10:$B$16,0))="","Cell will autofill based on response",INDEX('CFOG'!$L$10:$L$16,MATCH($F161,'CFOG'!$B$10:$B$16,0))),"N/A")</f>
        <v/>
      </c>
      <c r="O161" s="52">
        <f>IFERROR(IF(INDEX('CFOG'!$L$23:$L$24,MATCH($F161,'CFOG'!$B$23:$B$24,0))="","Cell will autofill based on response",INDEX('CFOG'!$L$23:$L$24,MATCH($F161,'CFOG'!$B$23:$B$24,0))),"N/A")</f>
        <v/>
      </c>
      <c r="P161" s="52">
        <f>IFERROR(IF(INDEX('ESG'!$L$10:$L$17,MATCH($F161,'ESG'!$B$10:$B$17,0))="","Cell will autofill based on response",INDEX('ESG'!$L$10:$L$17,MATCH($F161,'ESG'!$B$10:$B$17,0))),"N/A")</f>
        <v/>
      </c>
      <c r="Q161" s="52">
        <f>IFERROR(IF(INDEX('CIOG'!$L$10:$L$14,MATCH($F161,'CIOG'!$B$10:$B$14,0))="","Cell will autofill based on response",INDEX('CIOG'!$L$10:$L$14,MATCH($F161,'CIOG'!$B$10:$B$14,0))),"N/A")</f>
        <v/>
      </c>
      <c r="R161" s="52">
        <f>IFERROR(IF(INDEX('MRE'!$L$10:$L$18,MATCH($F161,'MRE'!$B$10:$B$18,0))="","Cell will autofill based on response",INDEX('MRE'!$L$10:$L$18,MATCH($F161,'MRE'!$B$10:$B$18,0))),"N/A")</f>
        <v/>
      </c>
      <c r="S161" s="52">
        <f>IFERROR(IF(INDEX('AC&amp;M'!$L$10:$L$14,MATCH($F161,'AC&amp;M'!$B$10:$B$14,0))="","Cell will autofill based on response",INDEX('AC&amp;M'!$L$10:$L$14,MATCH($F161,'AC&amp;M'!$B$10:$B$14,0))),"N/A")</f>
        <v/>
      </c>
      <c r="T161" s="52">
        <f>IFERROR(IF(INDEX('GCE'!$L$10:$L$12,MATCH($F161,'GCE'!$B$10:$B$12,0))="","Cell will autofill based on response",INDEX('GCE'!$L$10:$L$12,MATCH($F161,'GCE'!$B$10:$B$12,0))),"N/A")</f>
        <v/>
      </c>
      <c r="U161" s="52">
        <f>IFERROR(IF(INDEX('Education'!$L$10:$L$13,MATCH($F161,'Education'!$B$10:$B$13,0))="","Cell will autofill based on response",INDEX('Education'!$L$10:$L$13,MATCH($F161,'Education'!$B$10:$B$13,0))),"N/A")</f>
        <v/>
      </c>
      <c r="V161" s="52">
        <f>IFERROR(IF(INDEX('SaSS'!$L$10:$L$12,MATCH($F161,'SaSS'!$B$10:$B$12,0))="","Cell will autofill based on response",INDEX('SaSS'!$L$10:$L$12,MATCH($F161,'SaSS'!$B$10:$B$12,0))),"N/A")</f>
        <v/>
      </c>
      <c r="W161" s="52">
        <f>IFERROR(IF(INDEX('Indigenous'!$L$10:$L$11,MATCH($F161,'Indigenous'!$B$10:$B$11,0))="","Cell will autofill based on response",INDEX('Indigenous'!$L$10:$L$11,MATCH($F161,'Indigenous'!$B$10:$B$11,0))),"N/A")</f>
        <v/>
      </c>
      <c r="X161" s="52">
        <f>IFERROR(IF(INDEX('L&amp;R'!$L$10:$L$11,MATCH($F161,'L&amp;R'!$B$10:$B$11,0))="","Cell will autofill based on response",INDEX('L&amp;R'!$L$10:$L$11,MATCH($F161,'L&amp;R'!$B$10:$B$11,0))),"N/A")</f>
        <v/>
      </c>
      <c r="Z161" s="10">
        <f>COUNTIF($H161:$X161,"Cell will autofill based on response")</f>
        <v/>
      </c>
      <c r="AA161" s="10">
        <f>COUNTIF($H161:$X161,"Not yet started")</f>
        <v/>
      </c>
      <c r="AB161" s="10">
        <f>COUNTIF($H161:$X161,"Not met")</f>
        <v/>
      </c>
      <c r="AC161" s="10">
        <f>COUNTIF($H161:$X161,"Partially met")</f>
        <v/>
      </c>
      <c r="AD161" s="10">
        <f>COUNTIF($H161:$X161,"Met or exceeded")</f>
        <v/>
      </c>
      <c r="AE161" s="10">
        <f>3*AD161+2*AC161+AB161</f>
        <v/>
      </c>
      <c r="AF161" s="10">
        <f>AD161+AC161+AB161+AA161</f>
        <v/>
      </c>
      <c r="AG161" s="53">
        <f>IF(AF161&gt;0,AE161/AF161,"No valid responses to date")</f>
        <v/>
      </c>
      <c r="AH161" s="10">
        <f>IF(ISNUMBER(AG161),INDEX(Lists!$G$2:$G$5,MATCH(ROUND(AG161,0),Lists!$H$2:$H$5,0)),"")</f>
        <v/>
      </c>
      <c r="AI161" s="54">
        <f>IF(AF161&gt;0,AD161/AF161,"")</f>
        <v/>
      </c>
      <c r="AJ161" s="54">
        <f>IF(AF161&gt;0,(AD161+AC161)/AF161,"")</f>
        <v/>
      </c>
      <c r="AK161" s="10">
        <f>IF(AF161=0,"",IF(AI161&gt;0.75,"Met or exceeded",IF(AJ161&gt;=0.5,"Partially met","Not met")))</f>
        <v/>
      </c>
    </row>
    <row r="162">
      <c r="A162">
        <f>F162&amp;"|"&amp;G162</f>
        <v/>
      </c>
      <c r="B162" s="13" t="inlineStr"/>
      <c r="C162" s="8" t="inlineStr"/>
      <c r="D162" s="8" t="inlineStr"/>
      <c r="E162" s="8" t="inlineStr"/>
      <c r="F162" s="8" t="inlineStr">
        <is>
          <t>AI1(a)</t>
        </is>
      </c>
      <c r="G162" s="8" t="inlineStr">
        <is>
          <t>OPTION 1:  Target-level reporting</t>
        </is>
      </c>
      <c r="H162" s="52">
        <f>IFERROR(IF(INDEX('Faculties'!$M$10:$M$19,MATCH($F162,'Faculties'!$B$10:$B$19,0))="","Cell will autofill based on response",INDEX('Faculties'!$M$10:$M$19,MATCH($F162,'Faculties'!$B$10:$B$19,0))),"N/A")</f>
        <v/>
      </c>
      <c r="I162" s="52">
        <f>IFERROR(IF(INDEX('Faculties'!$M$26:$M$35,MATCH($F162,'Faculties'!$B$26:$B$35,0))="","Cell will autofill based on response",INDEX('Faculties'!$M$26:$M$35,MATCH($F162,'Faculties'!$B$26:$B$35,0))),"N/A")</f>
        <v/>
      </c>
      <c r="J162" s="52">
        <f>IFERROR(IF(INDEX('Faculties'!$M$42:$M$51,MATCH($F162,'Faculties'!$B$42:$B$51,0))="","Cell will autofill based on response",INDEX('Faculties'!$M$42:$M$51,MATCH($F162,'Faculties'!$B$42:$B$51,0))),"N/A")</f>
        <v/>
      </c>
      <c r="K162" s="52">
        <f>IFERROR(IF(INDEX('Faculties'!$M$58:$M$67,MATCH($F162,'Faculties'!$B$58:$B$67,0))="","Cell will autofill based on response",INDEX('Faculties'!$M$58:$M$67,MATCH($F162,'Faculties'!$B$58:$B$67,0))),"N/A")</f>
        <v/>
      </c>
      <c r="L162" s="52">
        <f>IFERROR(IF(INDEX('CI&amp;S'!$M$10:$M$15,MATCH($F162,'CI&amp;S'!$B$10:$B$15,0))="","Cell will autofill based on response",INDEX('CI&amp;S'!$M$10:$M$15,MATCH($F162,'CI&amp;S'!$B$10:$B$15,0))),"N/A")</f>
        <v/>
      </c>
      <c r="M162" s="52">
        <f>IFERROR(IF(INDEX('CI&amp;S'!$M$22:$M$36,MATCH($F162,'CI&amp;S'!$B$22:$B$36,0))="","Cell will autofill based on response",INDEX('CI&amp;S'!$M$22:$M$36,MATCH($F162,'CI&amp;S'!$B$22:$B$36,0))),"N/A")</f>
        <v/>
      </c>
      <c r="N162" s="52">
        <f>IFERROR(IF(INDEX('CFOG'!$M$10:$M$16,MATCH($F162,'CFOG'!$B$10:$B$16,0))="","Cell will autofill based on response",INDEX('CFOG'!$M$10:$M$16,MATCH($F162,'CFOG'!$B$10:$B$16,0))),"N/A")</f>
        <v/>
      </c>
      <c r="O162" s="52">
        <f>IFERROR(IF(INDEX('CFOG'!$M$23:$M$24,MATCH($F162,'CFOG'!$B$23:$B$24,0))="","Cell will autofill based on response",INDEX('CFOG'!$M$23:$M$24,MATCH($F162,'CFOG'!$B$23:$B$24,0))),"N/A")</f>
        <v/>
      </c>
      <c r="P162" s="52">
        <f>IFERROR(IF(INDEX('ESG'!$M$10:$M$17,MATCH($F162,'ESG'!$B$10:$B$17,0))="","Cell will autofill based on response",INDEX('ESG'!$M$10:$M$17,MATCH($F162,'ESG'!$B$10:$B$17,0))),"N/A")</f>
        <v/>
      </c>
      <c r="Q162" s="52">
        <f>IFERROR(IF(INDEX('CIOG'!$M$10:$M$14,MATCH($F162,'CIOG'!$B$10:$B$14,0))="","Cell will autofill based on response",INDEX('CIOG'!$M$10:$M$14,MATCH($F162,'CIOG'!$B$10:$B$14,0))),"N/A")</f>
        <v/>
      </c>
      <c r="R162" s="52">
        <f>IFERROR(IF(INDEX('MRE'!$M$10:$M$18,MATCH($F162,'MRE'!$B$10:$B$18,0))="","Cell will autofill based on response",INDEX('MRE'!$M$10:$M$18,MATCH($F162,'MRE'!$B$10:$B$18,0))),"N/A")</f>
        <v/>
      </c>
      <c r="S162" s="52">
        <f>IFERROR(IF(INDEX('AC&amp;M'!$M$10:$M$14,MATCH($F162,'AC&amp;M'!$B$10:$B$14,0))="","Cell will autofill based on response",INDEX('AC&amp;M'!$M$10:$M$14,MATCH($F162,'AC&amp;M'!$B$10:$B$14,0))),"N/A")</f>
        <v/>
      </c>
      <c r="T162" s="52">
        <f>IFERROR(IF(INDEX('GCE'!$M$10:$M$12,MATCH($F162,'GCE'!$B$10:$B$12,0))="","Cell will autofill based on response",INDEX('GCE'!$M$10:$M$12,MATCH($F162,'GCE'!$B$10:$B$12,0))),"N/A")</f>
        <v/>
      </c>
      <c r="U162" s="52">
        <f>IFERROR(IF(INDEX('Education'!$M$10:$M$13,MATCH($F162,'Education'!$B$10:$B$13,0))="","Cell will autofill based on response",INDEX('Education'!$M$10:$M$13,MATCH($F162,'Education'!$B$10:$B$13,0))),"N/A")</f>
        <v/>
      </c>
      <c r="V162" s="52">
        <f>IFERROR(IF(INDEX('SaSS'!$M$10:$M$12,MATCH($F162,'SaSS'!$B$10:$B$12,0))="","Cell will autofill based on response",INDEX('SaSS'!$M$10:$M$12,MATCH($F162,'SaSS'!$B$10:$B$12,0))),"N/A")</f>
        <v/>
      </c>
      <c r="W162" s="52">
        <f>IFERROR(IF(INDEX('Indigenous'!$M$10:$M$11,MATCH($F162,'Indigenous'!$B$10:$B$11,0))="","Cell will autofill based on response",INDEX('Indigenous'!$M$10:$M$11,MATCH($F162,'Indigenous'!$B$10:$B$11,0))),"N/A")</f>
        <v/>
      </c>
      <c r="X162" s="52">
        <f>IFERROR(IF(INDEX('L&amp;R'!$M$10:$M$11,MATCH($F162,'L&amp;R'!$B$10:$B$11,0))="","Cell will autofill based on response",INDEX('L&amp;R'!$M$10:$M$11,MATCH($F162,'L&amp;R'!$B$10:$B$11,0))),"N/A")</f>
        <v/>
      </c>
    </row>
    <row r="163">
      <c r="A163">
        <f>F163&amp;"|"&amp;G163</f>
        <v/>
      </c>
      <c r="B163" s="13" t="inlineStr"/>
      <c r="C163" s="8" t="inlineStr"/>
      <c r="D163" s="8" t="inlineStr"/>
      <c r="E163" s="8" t="inlineStr"/>
      <c r="F163" s="8" t="inlineStr">
        <is>
          <t>AI1(a)</t>
        </is>
      </c>
      <c r="G163" s="8" t="inlineStr">
        <is>
          <t>OPTION 2:  Indicator level reporting</t>
        </is>
      </c>
      <c r="H163" s="52">
        <f>IFERROR(IF(INDEX('Faculties'!$N$10:$N$19,MATCH($F163,'Faculties'!$B$10:$B$19,0))="","Cell will autofill based on response",INDEX('Faculties'!$N$10:$N$19,MATCH($F163,'Faculties'!$B$10:$B$19,0))),"N/A")</f>
        <v/>
      </c>
      <c r="I163" s="52">
        <f>IFERROR(IF(INDEX('Faculties'!$N$26:$N$35,MATCH($F163,'Faculties'!$B$26:$B$35,0))="","Cell will autofill based on response",INDEX('Faculties'!$N$26:$N$35,MATCH($F163,'Faculties'!$B$26:$B$35,0))),"N/A")</f>
        <v/>
      </c>
      <c r="J163" s="52">
        <f>IFERROR(IF(INDEX('Faculties'!$N$42:$N$51,MATCH($F163,'Faculties'!$B$42:$B$51,0))="","Cell will autofill based on response",INDEX('Faculties'!$N$42:$N$51,MATCH($F163,'Faculties'!$B$42:$B$51,0))),"N/A")</f>
        <v/>
      </c>
      <c r="K163" s="52">
        <f>IFERROR(IF(INDEX('Faculties'!$N$58:$N$67,MATCH($F163,'Faculties'!$B$58:$B$67,0))="","Cell will autofill based on response",INDEX('Faculties'!$N$58:$N$67,MATCH($F163,'Faculties'!$B$58:$B$67,0))),"N/A")</f>
        <v/>
      </c>
      <c r="L163" s="52">
        <f>IFERROR(IF(INDEX('CI&amp;S'!$N$10:$N$15,MATCH($F163,'CI&amp;S'!$B$10:$B$15,0))="","Cell will autofill based on response",INDEX('CI&amp;S'!$N$10:$N$15,MATCH($F163,'CI&amp;S'!$B$10:$B$15,0))),"N/A")</f>
        <v/>
      </c>
      <c r="M163" s="52">
        <f>IFERROR(IF(INDEX('CI&amp;S'!$N$22:$N$36,MATCH($F163,'CI&amp;S'!$B$22:$B$36,0))="","Cell will autofill based on response",INDEX('CI&amp;S'!$N$22:$N$36,MATCH($F163,'CI&amp;S'!$B$22:$B$36,0))),"N/A")</f>
        <v/>
      </c>
      <c r="N163" s="52">
        <f>IFERROR(IF(INDEX('CFOG'!$N$10:$N$16,MATCH($F163,'CFOG'!$B$10:$B$16,0))="","Cell will autofill based on response",INDEX('CFOG'!$N$10:$N$16,MATCH($F163,'CFOG'!$B$10:$B$16,0))),"N/A")</f>
        <v/>
      </c>
      <c r="O163" s="52">
        <f>IFERROR(IF(INDEX('CFOG'!$N$23:$N$24,MATCH($F163,'CFOG'!$B$23:$B$24,0))="","Cell will autofill based on response",INDEX('CFOG'!$N$23:$N$24,MATCH($F163,'CFOG'!$B$23:$B$24,0))),"N/A")</f>
        <v/>
      </c>
      <c r="P163" s="52">
        <f>IFERROR(IF(INDEX('ESG'!$N$10:$N$17,MATCH($F163,'ESG'!$B$10:$B$17,0))="","Cell will autofill based on response",INDEX('ESG'!$N$10:$N$17,MATCH($F163,'ESG'!$B$10:$B$17,0))),"N/A")</f>
        <v/>
      </c>
      <c r="Q163" s="52">
        <f>IFERROR(IF(INDEX('CIOG'!$N$10:$N$14,MATCH($F163,'CIOG'!$B$10:$B$14,0))="","Cell will autofill based on response",INDEX('CIOG'!$N$10:$N$14,MATCH($F163,'CIOG'!$B$10:$B$14,0))),"N/A")</f>
        <v/>
      </c>
      <c r="R163" s="52">
        <f>IFERROR(IF(INDEX('MRE'!$N$10:$N$18,MATCH($F163,'MRE'!$B$10:$B$18,0))="","Cell will autofill based on response",INDEX('MRE'!$N$10:$N$18,MATCH($F163,'MRE'!$B$10:$B$18,0))),"N/A")</f>
        <v/>
      </c>
      <c r="S163" s="52">
        <f>IFERROR(IF(INDEX('AC&amp;M'!$N$10:$N$14,MATCH($F163,'AC&amp;M'!$B$10:$B$14,0))="","Cell will autofill based on response",INDEX('AC&amp;M'!$N$10:$N$14,MATCH($F163,'AC&amp;M'!$B$10:$B$14,0))),"N/A")</f>
        <v/>
      </c>
      <c r="T163" s="52">
        <f>IFERROR(IF(INDEX('GCE'!$N$10:$N$12,MATCH($F163,'GCE'!$B$10:$B$12,0))="","Cell will autofill based on response",INDEX('GCE'!$N$10:$N$12,MATCH($F163,'GCE'!$B$10:$B$12,0))),"N/A")</f>
        <v/>
      </c>
      <c r="U163" s="52">
        <f>IFERROR(IF(INDEX('Education'!$N$10:$N$13,MATCH($F163,'Education'!$B$10:$B$13,0))="","Cell will autofill based on response",INDEX('Education'!$N$10:$N$13,MATCH($F163,'Education'!$B$10:$B$13,0))),"N/A")</f>
        <v/>
      </c>
      <c r="V163" s="52">
        <f>IFERROR(IF(INDEX('SaSS'!$N$10:$N$12,MATCH($F163,'SaSS'!$B$10:$B$12,0))="","Cell will autofill based on response",INDEX('SaSS'!$N$10:$N$12,MATCH($F163,'SaSS'!$B$10:$B$12,0))),"N/A")</f>
        <v/>
      </c>
      <c r="W163" s="52">
        <f>IFERROR(IF(INDEX('Indigenous'!$N$10:$N$11,MATCH($F163,'Indigenous'!$B$10:$B$11,0))="","Cell will autofill based on response",INDEX('Indigenous'!$N$10:$N$11,MATCH($F163,'Indigenous'!$B$10:$B$11,0))),"N/A")</f>
        <v/>
      </c>
      <c r="X163" s="52">
        <f>IFERROR(IF(INDEX('L&amp;R'!$N$10:$N$11,MATCH($F163,'L&amp;R'!$B$10:$B$11,0))="","Cell will autofill based on response",INDEX('L&amp;R'!$N$10:$N$11,MATCH($F163,'L&amp;R'!$B$10:$B$11,0))),"N/A")</f>
        <v/>
      </c>
    </row>
    <row r="164">
      <c r="A164">
        <f>F164&amp;"|"&amp;G164</f>
        <v/>
      </c>
      <c r="B164" s="13" t="inlineStr"/>
      <c r="C164" s="8" t="inlineStr"/>
      <c r="D164" s="8" t="inlineStr"/>
      <c r="E164" s="8" t="inlineStr"/>
      <c r="F164" s="8" t="inlineStr">
        <is>
          <t>AI1(a)</t>
        </is>
      </c>
      <c r="G164" s="8" t="inlineStr">
        <is>
          <t>Supporting information/comments</t>
        </is>
      </c>
      <c r="H164" s="52">
        <f>IFERROR(IF(INDEX('Faculties'!$O$10:$O$19,MATCH($F164,'Faculties'!$B$10:$B$19,0))="","Cell will autofill based on response",INDEX('Faculties'!$O$10:$O$19,MATCH($F164,'Faculties'!$B$10:$B$19,0))),"N/A")</f>
        <v/>
      </c>
      <c r="I164" s="52">
        <f>IFERROR(IF(INDEX('Faculties'!$O$26:$O$35,MATCH($F164,'Faculties'!$B$26:$B$35,0))="","Cell will autofill based on response",INDEX('Faculties'!$O$26:$O$35,MATCH($F164,'Faculties'!$B$26:$B$35,0))),"N/A")</f>
        <v/>
      </c>
      <c r="J164" s="52">
        <f>IFERROR(IF(INDEX('Faculties'!$O$42:$O$51,MATCH($F164,'Faculties'!$B$42:$B$51,0))="","Cell will autofill based on response",INDEX('Faculties'!$O$42:$O$51,MATCH($F164,'Faculties'!$B$42:$B$51,0))),"N/A")</f>
        <v/>
      </c>
      <c r="K164" s="52">
        <f>IFERROR(IF(INDEX('Faculties'!$O$58:$O$67,MATCH($F164,'Faculties'!$B$58:$B$67,0))="","Cell will autofill based on response",INDEX('Faculties'!$O$58:$O$67,MATCH($F164,'Faculties'!$B$58:$B$67,0))),"N/A")</f>
        <v/>
      </c>
      <c r="L164" s="52">
        <f>IFERROR(IF(INDEX('CI&amp;S'!$O$10:$O$15,MATCH($F164,'CI&amp;S'!$B$10:$B$15,0))="","Cell will autofill based on response",INDEX('CI&amp;S'!$O$10:$O$15,MATCH($F164,'CI&amp;S'!$B$10:$B$15,0))),"N/A")</f>
        <v/>
      </c>
      <c r="M164" s="52">
        <f>IFERROR(IF(INDEX('CI&amp;S'!$O$22:$O$36,MATCH($F164,'CI&amp;S'!$B$22:$B$36,0))="","Cell will autofill based on response",INDEX('CI&amp;S'!$O$22:$O$36,MATCH($F164,'CI&amp;S'!$B$22:$B$36,0))),"N/A")</f>
        <v/>
      </c>
      <c r="N164" s="52">
        <f>IFERROR(IF(INDEX('CFOG'!$O$10:$O$16,MATCH($F164,'CFOG'!$B$10:$B$16,0))="","Cell will autofill based on response",INDEX('CFOG'!$O$10:$O$16,MATCH($F164,'CFOG'!$B$10:$B$16,0))),"N/A")</f>
        <v/>
      </c>
      <c r="O164" s="52">
        <f>IFERROR(IF(INDEX('CFOG'!$O$23:$O$24,MATCH($F164,'CFOG'!$B$23:$B$24,0))="","Cell will autofill based on response",INDEX('CFOG'!$O$23:$O$24,MATCH($F164,'CFOG'!$B$23:$B$24,0))),"N/A")</f>
        <v/>
      </c>
      <c r="P164" s="52">
        <f>IFERROR(IF(INDEX('ESG'!$O$10:$O$17,MATCH($F164,'ESG'!$B$10:$B$17,0))="","Cell will autofill based on response",INDEX('ESG'!$O$10:$O$17,MATCH($F164,'ESG'!$B$10:$B$17,0))),"N/A")</f>
        <v/>
      </c>
      <c r="Q164" s="52">
        <f>IFERROR(IF(INDEX('CIOG'!$O$10:$O$14,MATCH($F164,'CIOG'!$B$10:$B$14,0))="","Cell will autofill based on response",INDEX('CIOG'!$O$10:$O$14,MATCH($F164,'CIOG'!$B$10:$B$14,0))),"N/A")</f>
        <v/>
      </c>
      <c r="R164" s="52">
        <f>IFERROR(IF(INDEX('MRE'!$O$10:$O$18,MATCH($F164,'MRE'!$B$10:$B$18,0))="","Cell will autofill based on response",INDEX('MRE'!$O$10:$O$18,MATCH($F164,'MRE'!$B$10:$B$18,0))),"N/A")</f>
        <v/>
      </c>
      <c r="S164" s="52">
        <f>IFERROR(IF(INDEX('AC&amp;M'!$O$10:$O$14,MATCH($F164,'AC&amp;M'!$B$10:$B$14,0))="","Cell will autofill based on response",INDEX('AC&amp;M'!$O$10:$O$14,MATCH($F164,'AC&amp;M'!$B$10:$B$14,0))),"N/A")</f>
        <v/>
      </c>
      <c r="T164" s="52">
        <f>IFERROR(IF(INDEX('GCE'!$O$10:$O$12,MATCH($F164,'GCE'!$B$10:$B$12,0))="","Cell will autofill based on response",INDEX('GCE'!$O$10:$O$12,MATCH($F164,'GCE'!$B$10:$B$12,0))),"N/A")</f>
        <v/>
      </c>
      <c r="U164" s="52">
        <f>IFERROR(IF(INDEX('Education'!$O$10:$O$13,MATCH($F164,'Education'!$B$10:$B$13,0))="","Cell will autofill based on response",INDEX('Education'!$O$10:$O$13,MATCH($F164,'Education'!$B$10:$B$13,0))),"N/A")</f>
        <v/>
      </c>
      <c r="V164" s="52">
        <f>IFERROR(IF(INDEX('SaSS'!$O$10:$O$12,MATCH($F164,'SaSS'!$B$10:$B$12,0))="","Cell will autofill based on response",INDEX('SaSS'!$O$10:$O$12,MATCH($F164,'SaSS'!$B$10:$B$12,0))),"N/A")</f>
        <v/>
      </c>
      <c r="W164" s="52">
        <f>IFERROR(IF(INDEX('Indigenous'!$O$10:$O$11,MATCH($F164,'Indigenous'!$B$10:$B$11,0))="","Cell will autofill based on response",INDEX('Indigenous'!$O$10:$O$11,MATCH($F164,'Indigenous'!$B$10:$B$11,0))),"N/A")</f>
        <v/>
      </c>
      <c r="X164" s="52">
        <f>IFERROR(IF(INDEX('L&amp;R'!$O$10:$O$11,MATCH($F164,'L&amp;R'!$B$10:$B$11,0))="","Cell will autofill based on response",INDEX('L&amp;R'!$O$10:$O$11,MATCH($F164,'L&amp;R'!$B$10:$B$11,0))),"N/A")</f>
        <v/>
      </c>
    </row>
    <row r="165">
      <c r="A165">
        <f>F165&amp;"|"&amp;G165</f>
        <v/>
      </c>
      <c r="B165" s="13" t="inlineStr"/>
      <c r="C165" s="8" t="inlineStr"/>
      <c r="D165" s="8" t="inlineStr"/>
      <c r="E165" s="8" t="inlineStr"/>
      <c r="F165" s="8" t="inlineStr">
        <is>
          <t>AI1(a)</t>
        </is>
      </c>
      <c r="G165" s="8" t="inlineStr">
        <is>
          <t>Data source and limitations</t>
        </is>
      </c>
      <c r="H165" s="52">
        <f>IFERROR(IF(INDEX('Faculties'!$P$10:$P$19,MATCH($F165,'Faculties'!$B$10:$B$19,0))="","Cell will autofill based on response",INDEX('Faculties'!$P$10:$P$19,MATCH($F165,'Faculties'!$B$10:$B$19,0))),"N/A")</f>
        <v/>
      </c>
      <c r="I165" s="52">
        <f>IFERROR(IF(INDEX('Faculties'!$P$26:$P$35,MATCH($F165,'Faculties'!$B$26:$B$35,0))="","Cell will autofill based on response",INDEX('Faculties'!$P$26:$P$35,MATCH($F165,'Faculties'!$B$26:$B$35,0))),"N/A")</f>
        <v/>
      </c>
      <c r="J165" s="52">
        <f>IFERROR(IF(INDEX('Faculties'!$P$42:$P$51,MATCH($F165,'Faculties'!$B$42:$B$51,0))="","Cell will autofill based on response",INDEX('Faculties'!$P$42:$P$51,MATCH($F165,'Faculties'!$B$42:$B$51,0))),"N/A")</f>
        <v/>
      </c>
      <c r="K165" s="52">
        <f>IFERROR(IF(INDEX('Faculties'!$P$58:$P$67,MATCH($F165,'Faculties'!$B$58:$B$67,0))="","Cell will autofill based on response",INDEX('Faculties'!$P$58:$P$67,MATCH($F165,'Faculties'!$B$58:$B$67,0))),"N/A")</f>
        <v/>
      </c>
      <c r="L165" s="52">
        <f>IFERROR(IF(INDEX('CI&amp;S'!$P$10:$P$15,MATCH($F165,'CI&amp;S'!$B$10:$B$15,0))="","Cell will autofill based on response",INDEX('CI&amp;S'!$P$10:$P$15,MATCH($F165,'CI&amp;S'!$B$10:$B$15,0))),"N/A")</f>
        <v/>
      </c>
      <c r="M165" s="52">
        <f>IFERROR(IF(INDEX('CI&amp;S'!$P$22:$P$36,MATCH($F165,'CI&amp;S'!$B$22:$B$36,0))="","Cell will autofill based on response",INDEX('CI&amp;S'!$P$22:$P$36,MATCH($F165,'CI&amp;S'!$B$22:$B$36,0))),"N/A")</f>
        <v/>
      </c>
      <c r="N165" s="52">
        <f>IFERROR(IF(INDEX('CFOG'!$P$10:$P$16,MATCH($F165,'CFOG'!$B$10:$B$16,0))="","Cell will autofill based on response",INDEX('CFOG'!$P$10:$P$16,MATCH($F165,'CFOG'!$B$10:$B$16,0))),"N/A")</f>
        <v/>
      </c>
      <c r="O165" s="52">
        <f>IFERROR(IF(INDEX('CFOG'!$P$23:$P$24,MATCH($F165,'CFOG'!$B$23:$B$24,0))="","Cell will autofill based on response",INDEX('CFOG'!$P$23:$P$24,MATCH($F165,'CFOG'!$B$23:$B$24,0))),"N/A")</f>
        <v/>
      </c>
      <c r="P165" s="52">
        <f>IFERROR(IF(INDEX('ESG'!$P$10:$P$17,MATCH($F165,'ESG'!$B$10:$B$17,0))="","Cell will autofill based on response",INDEX('ESG'!$P$10:$P$17,MATCH($F165,'ESG'!$B$10:$B$17,0))),"N/A")</f>
        <v/>
      </c>
      <c r="Q165" s="52">
        <f>IFERROR(IF(INDEX('CIOG'!$P$10:$P$14,MATCH($F165,'CIOG'!$B$10:$B$14,0))="","Cell will autofill based on response",INDEX('CIOG'!$P$10:$P$14,MATCH($F165,'CIOG'!$B$10:$B$14,0))),"N/A")</f>
        <v/>
      </c>
      <c r="R165" s="52">
        <f>IFERROR(IF(INDEX('MRE'!$P$10:$P$18,MATCH($F165,'MRE'!$B$10:$B$18,0))="","Cell will autofill based on response",INDEX('MRE'!$P$10:$P$18,MATCH($F165,'MRE'!$B$10:$B$18,0))),"N/A")</f>
        <v/>
      </c>
      <c r="S165" s="52">
        <f>IFERROR(IF(INDEX('AC&amp;M'!$P$10:$P$14,MATCH($F165,'AC&amp;M'!$B$10:$B$14,0))="","Cell will autofill based on response",INDEX('AC&amp;M'!$P$10:$P$14,MATCH($F165,'AC&amp;M'!$B$10:$B$14,0))),"N/A")</f>
        <v/>
      </c>
      <c r="T165" s="52">
        <f>IFERROR(IF(INDEX('GCE'!$P$10:$P$12,MATCH($F165,'GCE'!$B$10:$B$12,0))="","Cell will autofill based on response",INDEX('GCE'!$P$10:$P$12,MATCH($F165,'GCE'!$B$10:$B$12,0))),"N/A")</f>
        <v/>
      </c>
      <c r="U165" s="52">
        <f>IFERROR(IF(INDEX('Education'!$P$10:$P$13,MATCH($F165,'Education'!$B$10:$B$13,0))="","Cell will autofill based on response",INDEX('Education'!$P$10:$P$13,MATCH($F165,'Education'!$B$10:$B$13,0))),"N/A")</f>
        <v/>
      </c>
      <c r="V165" s="52">
        <f>IFERROR(IF(INDEX('SaSS'!$P$10:$P$12,MATCH($F165,'SaSS'!$B$10:$B$12,0))="","Cell will autofill based on response",INDEX('SaSS'!$P$10:$P$12,MATCH($F165,'SaSS'!$B$10:$B$12,0))),"N/A")</f>
        <v/>
      </c>
      <c r="W165" s="52">
        <f>IFERROR(IF(INDEX('Indigenous'!$P$10:$P$11,MATCH($F165,'Indigenous'!$B$10:$B$11,0))="","Cell will autofill based on response",INDEX('Indigenous'!$P$10:$P$11,MATCH($F165,'Indigenous'!$B$10:$B$11,0))),"N/A")</f>
        <v/>
      </c>
      <c r="X165" s="52">
        <f>IFERROR(IF(INDEX('L&amp;R'!$P$10:$P$11,MATCH($F165,'L&amp;R'!$B$10:$B$11,0))="","Cell will autofill based on response",INDEX('L&amp;R'!$P$10:$P$11,MATCH($F165,'L&amp;R'!$B$10:$B$11,0))),"N/A")</f>
        <v/>
      </c>
    </row>
    <row r="166">
      <c r="A166">
        <f>F166&amp;"|"&amp;G166</f>
        <v/>
      </c>
      <c r="B166" s="13" t="inlineStr"/>
      <c r="C166" s="8" t="inlineStr"/>
      <c r="D166" s="8" t="inlineStr"/>
      <c r="E166" s="8" t="inlineStr"/>
      <c r="F166" s="8" t="inlineStr">
        <is>
          <t>AI1(a)</t>
        </is>
      </c>
      <c r="G166" s="8" t="inlineStr">
        <is>
          <t>Data owner confirms</t>
        </is>
      </c>
      <c r="H166" s="52">
        <f>IFERROR(IF(INDEX('Faculties'!$Q$10:$Q$19,MATCH($F166,'Faculties'!$B$10:$B$19,0))="","Cell will autofill based on response",INDEX('Faculties'!$Q$10:$Q$19,MATCH($F166,'Faculties'!$B$10:$B$19,0))),"N/A")</f>
        <v/>
      </c>
      <c r="I166" s="52">
        <f>IFERROR(IF(INDEX('Faculties'!$Q$26:$Q$35,MATCH($F166,'Faculties'!$B$26:$B$35,0))="","Cell will autofill based on response",INDEX('Faculties'!$Q$26:$Q$35,MATCH($F166,'Faculties'!$B$26:$B$35,0))),"N/A")</f>
        <v/>
      </c>
      <c r="J166" s="52">
        <f>IFERROR(IF(INDEX('Faculties'!$Q$42:$Q$51,MATCH($F166,'Faculties'!$B$42:$B$51,0))="","Cell will autofill based on response",INDEX('Faculties'!$Q$42:$Q$51,MATCH($F166,'Faculties'!$B$42:$B$51,0))),"N/A")</f>
        <v/>
      </c>
      <c r="K166" s="52">
        <f>IFERROR(IF(INDEX('Faculties'!$Q$58:$Q$67,MATCH($F166,'Faculties'!$B$58:$B$67,0))="","Cell will autofill based on response",INDEX('Faculties'!$Q$58:$Q$67,MATCH($F166,'Faculties'!$B$58:$B$67,0))),"N/A")</f>
        <v/>
      </c>
      <c r="L166" s="52">
        <f>IFERROR(IF(INDEX('CI&amp;S'!$Q$10:$Q$15,MATCH($F166,'CI&amp;S'!$B$10:$B$15,0))="","Cell will autofill based on response",INDEX('CI&amp;S'!$Q$10:$Q$15,MATCH($F166,'CI&amp;S'!$B$10:$B$15,0))),"N/A")</f>
        <v/>
      </c>
      <c r="M166" s="52">
        <f>IFERROR(IF(INDEX('CI&amp;S'!$Q$22:$Q$36,MATCH($F166,'CI&amp;S'!$B$22:$B$36,0))="","Cell will autofill based on response",INDEX('CI&amp;S'!$Q$22:$Q$36,MATCH($F166,'CI&amp;S'!$B$22:$B$36,0))),"N/A")</f>
        <v/>
      </c>
      <c r="N166" s="52">
        <f>IFERROR(IF(INDEX('CFOG'!$Q$10:$Q$16,MATCH($F166,'CFOG'!$B$10:$B$16,0))="","Cell will autofill based on response",INDEX('CFOG'!$Q$10:$Q$16,MATCH($F166,'CFOG'!$B$10:$B$16,0))),"N/A")</f>
        <v/>
      </c>
      <c r="O166" s="52">
        <f>IFERROR(IF(INDEX('CFOG'!$Q$23:$Q$24,MATCH($F166,'CFOG'!$B$23:$B$24,0))="","Cell will autofill based on response",INDEX('CFOG'!$Q$23:$Q$24,MATCH($F166,'CFOG'!$B$23:$B$24,0))),"N/A")</f>
        <v/>
      </c>
      <c r="P166" s="52">
        <f>IFERROR(IF(INDEX('ESG'!$Q$10:$Q$17,MATCH($F166,'ESG'!$B$10:$B$17,0))="","Cell will autofill based on response",INDEX('ESG'!$Q$10:$Q$17,MATCH($F166,'ESG'!$B$10:$B$17,0))),"N/A")</f>
        <v/>
      </c>
      <c r="Q166" s="52">
        <f>IFERROR(IF(INDEX('CIOG'!$Q$10:$Q$14,MATCH($F166,'CIOG'!$B$10:$B$14,0))="","Cell will autofill based on response",INDEX('CIOG'!$Q$10:$Q$14,MATCH($F166,'CIOG'!$B$10:$B$14,0))),"N/A")</f>
        <v/>
      </c>
      <c r="R166" s="52">
        <f>IFERROR(IF(INDEX('MRE'!$Q$10:$Q$18,MATCH($F166,'MRE'!$B$10:$B$18,0))="","Cell will autofill based on response",INDEX('MRE'!$Q$10:$Q$18,MATCH($F166,'MRE'!$B$10:$B$18,0))),"N/A")</f>
        <v/>
      </c>
      <c r="S166" s="52">
        <f>IFERROR(IF(INDEX('AC&amp;M'!$Q$10:$Q$14,MATCH($F166,'AC&amp;M'!$B$10:$B$14,0))="","Cell will autofill based on response",INDEX('AC&amp;M'!$Q$10:$Q$14,MATCH($F166,'AC&amp;M'!$B$10:$B$14,0))),"N/A")</f>
        <v/>
      </c>
      <c r="T166" s="52">
        <f>IFERROR(IF(INDEX('GCE'!$Q$10:$Q$12,MATCH($F166,'GCE'!$B$10:$B$12,0))="","Cell will autofill based on response",INDEX('GCE'!$Q$10:$Q$12,MATCH($F166,'GCE'!$B$10:$B$12,0))),"N/A")</f>
        <v/>
      </c>
      <c r="U166" s="52">
        <f>IFERROR(IF(INDEX('Education'!$Q$10:$Q$13,MATCH($F166,'Education'!$B$10:$B$13,0))="","Cell will autofill based on response",INDEX('Education'!$Q$10:$Q$13,MATCH($F166,'Education'!$B$10:$B$13,0))),"N/A")</f>
        <v/>
      </c>
      <c r="V166" s="52">
        <f>IFERROR(IF(INDEX('SaSS'!$Q$10:$Q$12,MATCH($F166,'SaSS'!$B$10:$B$12,0))="","Cell will autofill based on response",INDEX('SaSS'!$Q$10:$Q$12,MATCH($F166,'SaSS'!$B$10:$B$12,0))),"N/A")</f>
        <v/>
      </c>
      <c r="W166" s="52">
        <f>IFERROR(IF(INDEX('Indigenous'!$Q$10:$Q$11,MATCH($F166,'Indigenous'!$B$10:$B$11,0))="","Cell will autofill based on response",INDEX('Indigenous'!$Q$10:$Q$11,MATCH($F166,'Indigenous'!$B$10:$B$11,0))),"N/A")</f>
        <v/>
      </c>
      <c r="X166" s="52">
        <f>IFERROR(IF(INDEX('L&amp;R'!$Q$10:$Q$11,MATCH($F166,'L&amp;R'!$B$10:$B$11,0))="","Cell will autofill based on response",INDEX('L&amp;R'!$Q$10:$Q$11,MATCH($F166,'L&amp;R'!$B$10:$B$11,0))),"N/A")</f>
        <v/>
      </c>
    </row>
    <row r="167">
      <c r="A167">
        <f>F167&amp;"|"&amp;G167</f>
        <v/>
      </c>
      <c r="B167" s="7" t="inlineStr">
        <is>
          <t>AI1(b)</t>
        </is>
      </c>
      <c r="C167" s="50" t="inlineStr">
        <is>
          <t>Responsible AI</t>
        </is>
      </c>
      <c r="D167" s="50" t="inlineStr">
        <is>
          <t>Case studies of sustainability and AI-related education, research and collaboration activities.</t>
        </is>
      </c>
      <c r="E167" s="50" t="inlineStr">
        <is>
          <t>Please provide case studies from your Faculty/Portfolio of sustainability and AI-related education, research or collaboration activities, describing the activity, participants or partners, sustainability issue addressed and key outcomes or lessons.</t>
        </is>
      </c>
      <c r="F167" s="50" t="inlineStr">
        <is>
          <t>AI1(b)</t>
        </is>
      </c>
      <c r="G167" s="50" t="inlineStr">
        <is>
          <t>Confirm end-2026 target status</t>
        </is>
      </c>
      <c r="H167" s="52">
        <f>IFERROR(IF(INDEX('Faculties'!$L$10:$L$19,MATCH($F167,'Faculties'!$B$10:$B$19,0))="","Cell will autofill based on response",INDEX('Faculties'!$L$10:$L$19,MATCH($F167,'Faculties'!$B$10:$B$19,0))),"N/A")</f>
        <v/>
      </c>
      <c r="I167" s="52">
        <f>IFERROR(IF(INDEX('Faculties'!$L$26:$L$35,MATCH($F167,'Faculties'!$B$26:$B$35,0))="","Cell will autofill based on response",INDEX('Faculties'!$L$26:$L$35,MATCH($F167,'Faculties'!$B$26:$B$35,0))),"N/A")</f>
        <v/>
      </c>
      <c r="J167" s="52">
        <f>IFERROR(IF(INDEX('Faculties'!$L$42:$L$51,MATCH($F167,'Faculties'!$B$42:$B$51,0))="","Cell will autofill based on response",INDEX('Faculties'!$L$42:$L$51,MATCH($F167,'Faculties'!$B$42:$B$51,0))),"N/A")</f>
        <v/>
      </c>
      <c r="K167" s="52">
        <f>IFERROR(IF(INDEX('Faculties'!$L$58:$L$67,MATCH($F167,'Faculties'!$B$58:$B$67,0))="","Cell will autofill based on response",INDEX('Faculties'!$L$58:$L$67,MATCH($F167,'Faculties'!$B$58:$B$67,0))),"N/A")</f>
        <v/>
      </c>
      <c r="L167" s="52">
        <f>IFERROR(IF(INDEX('CI&amp;S'!$L$10:$L$15,MATCH($F167,'CI&amp;S'!$B$10:$B$15,0))="","Cell will autofill based on response",INDEX('CI&amp;S'!$L$10:$L$15,MATCH($F167,'CI&amp;S'!$B$10:$B$15,0))),"N/A")</f>
        <v/>
      </c>
      <c r="M167" s="52">
        <f>IFERROR(IF(INDEX('CI&amp;S'!$L$22:$L$36,MATCH($F167,'CI&amp;S'!$B$22:$B$36,0))="","Cell will autofill based on response",INDEX('CI&amp;S'!$L$22:$L$36,MATCH($F167,'CI&amp;S'!$B$22:$B$36,0))),"N/A")</f>
        <v/>
      </c>
      <c r="N167" s="52">
        <f>IFERROR(IF(INDEX('CFOG'!$L$10:$L$16,MATCH($F167,'CFOG'!$B$10:$B$16,0))="","Cell will autofill based on response",INDEX('CFOG'!$L$10:$L$16,MATCH($F167,'CFOG'!$B$10:$B$16,0))),"N/A")</f>
        <v/>
      </c>
      <c r="O167" s="52">
        <f>IFERROR(IF(INDEX('CFOG'!$L$23:$L$24,MATCH($F167,'CFOG'!$B$23:$B$24,0))="","Cell will autofill based on response",INDEX('CFOG'!$L$23:$L$24,MATCH($F167,'CFOG'!$B$23:$B$24,0))),"N/A")</f>
        <v/>
      </c>
      <c r="P167" s="52">
        <f>IFERROR(IF(INDEX('ESG'!$L$10:$L$17,MATCH($F167,'ESG'!$B$10:$B$17,0))="","Cell will autofill based on response",INDEX('ESG'!$L$10:$L$17,MATCH($F167,'ESG'!$B$10:$B$17,0))),"N/A")</f>
        <v/>
      </c>
      <c r="Q167" s="52">
        <f>IFERROR(IF(INDEX('CIOG'!$L$10:$L$14,MATCH($F167,'CIOG'!$B$10:$B$14,0))="","Cell will autofill based on response",INDEX('CIOG'!$L$10:$L$14,MATCH($F167,'CIOG'!$B$10:$B$14,0))),"N/A")</f>
        <v/>
      </c>
      <c r="R167" s="52">
        <f>IFERROR(IF(INDEX('MRE'!$L$10:$L$18,MATCH($F167,'MRE'!$B$10:$B$18,0))="","Cell will autofill based on response",INDEX('MRE'!$L$10:$L$18,MATCH($F167,'MRE'!$B$10:$B$18,0))),"N/A")</f>
        <v/>
      </c>
      <c r="S167" s="52">
        <f>IFERROR(IF(INDEX('AC&amp;M'!$L$10:$L$14,MATCH($F167,'AC&amp;M'!$B$10:$B$14,0))="","Cell will autofill based on response",INDEX('AC&amp;M'!$L$10:$L$14,MATCH($F167,'AC&amp;M'!$B$10:$B$14,0))),"N/A")</f>
        <v/>
      </c>
      <c r="T167" s="52">
        <f>IFERROR(IF(INDEX('GCE'!$L$10:$L$12,MATCH($F167,'GCE'!$B$10:$B$12,0))="","Cell will autofill based on response",INDEX('GCE'!$L$10:$L$12,MATCH($F167,'GCE'!$B$10:$B$12,0))),"N/A")</f>
        <v/>
      </c>
      <c r="U167" s="52">
        <f>IFERROR(IF(INDEX('Education'!$L$10:$L$13,MATCH($F167,'Education'!$B$10:$B$13,0))="","Cell will autofill based on response",INDEX('Education'!$L$10:$L$13,MATCH($F167,'Education'!$B$10:$B$13,0))),"N/A")</f>
        <v/>
      </c>
      <c r="V167" s="52">
        <f>IFERROR(IF(INDEX('SaSS'!$L$10:$L$12,MATCH($F167,'SaSS'!$B$10:$B$12,0))="","Cell will autofill based on response",INDEX('SaSS'!$L$10:$L$12,MATCH($F167,'SaSS'!$B$10:$B$12,0))),"N/A")</f>
        <v/>
      </c>
      <c r="W167" s="52">
        <f>IFERROR(IF(INDEX('Indigenous'!$L$10:$L$11,MATCH($F167,'Indigenous'!$B$10:$B$11,0))="","Cell will autofill based on response",INDEX('Indigenous'!$L$10:$L$11,MATCH($F167,'Indigenous'!$B$10:$B$11,0))),"N/A")</f>
        <v/>
      </c>
      <c r="X167" s="52">
        <f>IFERROR(IF(INDEX('L&amp;R'!$L$10:$L$11,MATCH($F167,'L&amp;R'!$B$10:$B$11,0))="","Cell will autofill based on response",INDEX('L&amp;R'!$L$10:$L$11,MATCH($F167,'L&amp;R'!$B$10:$B$11,0))),"N/A")</f>
        <v/>
      </c>
      <c r="Z167" s="10">
        <f>COUNTIF($H167:$X167,"Cell will autofill based on response")</f>
        <v/>
      </c>
      <c r="AA167" s="10">
        <f>COUNTIF($H167:$X167,"Not yet started")</f>
        <v/>
      </c>
      <c r="AB167" s="10">
        <f>COUNTIF($H167:$X167,"Not met")</f>
        <v/>
      </c>
      <c r="AC167" s="10">
        <f>COUNTIF($H167:$X167,"Partially met")</f>
        <v/>
      </c>
      <c r="AD167" s="10">
        <f>COUNTIF($H167:$X167,"Met or exceeded")</f>
        <v/>
      </c>
      <c r="AE167" s="10">
        <f>3*AD167+2*AC167+AB167</f>
        <v/>
      </c>
      <c r="AF167" s="10">
        <f>AD167+AC167+AB167+AA167</f>
        <v/>
      </c>
      <c r="AG167" s="53">
        <f>IF(AF167&gt;0,AE167/AF167,"No valid responses to date")</f>
        <v/>
      </c>
      <c r="AH167" s="10">
        <f>IF(ISNUMBER(AG167),INDEX(Lists!$G$2:$G$5,MATCH(ROUND(AG167,0),Lists!$H$2:$H$5,0)),"")</f>
        <v/>
      </c>
      <c r="AI167" s="54">
        <f>IF(AF167&gt;0,AD167/AF167,"")</f>
        <v/>
      </c>
      <c r="AJ167" s="54">
        <f>IF(AF167&gt;0,(AD167+AC167)/AF167,"")</f>
        <v/>
      </c>
      <c r="AK167" s="10">
        <f>IF(AF167=0,"",IF(AI167&gt;0.75,"Met or exceeded",IF(AJ167&gt;=0.5,"Partially met","Not met")))</f>
        <v/>
      </c>
    </row>
    <row r="168">
      <c r="A168">
        <f>F168&amp;"|"&amp;G168</f>
        <v/>
      </c>
      <c r="B168" s="13" t="inlineStr"/>
      <c r="C168" s="8" t="inlineStr"/>
      <c r="D168" s="8" t="inlineStr"/>
      <c r="E168" s="8" t="inlineStr"/>
      <c r="F168" s="8" t="inlineStr">
        <is>
          <t>AI1(b)</t>
        </is>
      </c>
      <c r="G168" s="8" t="inlineStr">
        <is>
          <t>OPTION 1:  Target-level reporting</t>
        </is>
      </c>
      <c r="H168" s="52">
        <f>IFERROR(IF(INDEX('Faculties'!$M$10:$M$19,MATCH($F168,'Faculties'!$B$10:$B$19,0))="","Cell will autofill based on response",INDEX('Faculties'!$M$10:$M$19,MATCH($F168,'Faculties'!$B$10:$B$19,0))),"N/A")</f>
        <v/>
      </c>
      <c r="I168" s="52">
        <f>IFERROR(IF(INDEX('Faculties'!$M$26:$M$35,MATCH($F168,'Faculties'!$B$26:$B$35,0))="","Cell will autofill based on response",INDEX('Faculties'!$M$26:$M$35,MATCH($F168,'Faculties'!$B$26:$B$35,0))),"N/A")</f>
        <v/>
      </c>
      <c r="J168" s="52">
        <f>IFERROR(IF(INDEX('Faculties'!$M$42:$M$51,MATCH($F168,'Faculties'!$B$42:$B$51,0))="","Cell will autofill based on response",INDEX('Faculties'!$M$42:$M$51,MATCH($F168,'Faculties'!$B$42:$B$51,0))),"N/A")</f>
        <v/>
      </c>
      <c r="K168" s="52">
        <f>IFERROR(IF(INDEX('Faculties'!$M$58:$M$67,MATCH($F168,'Faculties'!$B$58:$B$67,0))="","Cell will autofill based on response",INDEX('Faculties'!$M$58:$M$67,MATCH($F168,'Faculties'!$B$58:$B$67,0))),"N/A")</f>
        <v/>
      </c>
      <c r="L168" s="52">
        <f>IFERROR(IF(INDEX('CI&amp;S'!$M$10:$M$15,MATCH($F168,'CI&amp;S'!$B$10:$B$15,0))="","Cell will autofill based on response",INDEX('CI&amp;S'!$M$10:$M$15,MATCH($F168,'CI&amp;S'!$B$10:$B$15,0))),"N/A")</f>
        <v/>
      </c>
      <c r="M168" s="52">
        <f>IFERROR(IF(INDEX('CI&amp;S'!$M$22:$M$36,MATCH($F168,'CI&amp;S'!$B$22:$B$36,0))="","Cell will autofill based on response",INDEX('CI&amp;S'!$M$22:$M$36,MATCH($F168,'CI&amp;S'!$B$22:$B$36,0))),"N/A")</f>
        <v/>
      </c>
      <c r="N168" s="52">
        <f>IFERROR(IF(INDEX('CFOG'!$M$10:$M$16,MATCH($F168,'CFOG'!$B$10:$B$16,0))="","Cell will autofill based on response",INDEX('CFOG'!$M$10:$M$16,MATCH($F168,'CFOG'!$B$10:$B$16,0))),"N/A")</f>
        <v/>
      </c>
      <c r="O168" s="52">
        <f>IFERROR(IF(INDEX('CFOG'!$M$23:$M$24,MATCH($F168,'CFOG'!$B$23:$B$24,0))="","Cell will autofill based on response",INDEX('CFOG'!$M$23:$M$24,MATCH($F168,'CFOG'!$B$23:$B$24,0))),"N/A")</f>
        <v/>
      </c>
      <c r="P168" s="52">
        <f>IFERROR(IF(INDEX('ESG'!$M$10:$M$17,MATCH($F168,'ESG'!$B$10:$B$17,0))="","Cell will autofill based on response",INDEX('ESG'!$M$10:$M$17,MATCH($F168,'ESG'!$B$10:$B$17,0))),"N/A")</f>
        <v/>
      </c>
      <c r="Q168" s="52">
        <f>IFERROR(IF(INDEX('CIOG'!$M$10:$M$14,MATCH($F168,'CIOG'!$B$10:$B$14,0))="","Cell will autofill based on response",INDEX('CIOG'!$M$10:$M$14,MATCH($F168,'CIOG'!$B$10:$B$14,0))),"N/A")</f>
        <v/>
      </c>
      <c r="R168" s="52">
        <f>IFERROR(IF(INDEX('MRE'!$M$10:$M$18,MATCH($F168,'MRE'!$B$10:$B$18,0))="","Cell will autofill based on response",INDEX('MRE'!$M$10:$M$18,MATCH($F168,'MRE'!$B$10:$B$18,0))),"N/A")</f>
        <v/>
      </c>
      <c r="S168" s="52">
        <f>IFERROR(IF(INDEX('AC&amp;M'!$M$10:$M$14,MATCH($F168,'AC&amp;M'!$B$10:$B$14,0))="","Cell will autofill based on response",INDEX('AC&amp;M'!$M$10:$M$14,MATCH($F168,'AC&amp;M'!$B$10:$B$14,0))),"N/A")</f>
        <v/>
      </c>
      <c r="T168" s="52">
        <f>IFERROR(IF(INDEX('GCE'!$M$10:$M$12,MATCH($F168,'GCE'!$B$10:$B$12,0))="","Cell will autofill based on response",INDEX('GCE'!$M$10:$M$12,MATCH($F168,'GCE'!$B$10:$B$12,0))),"N/A")</f>
        <v/>
      </c>
      <c r="U168" s="52">
        <f>IFERROR(IF(INDEX('Education'!$M$10:$M$13,MATCH($F168,'Education'!$B$10:$B$13,0))="","Cell will autofill based on response",INDEX('Education'!$M$10:$M$13,MATCH($F168,'Education'!$B$10:$B$13,0))),"N/A")</f>
        <v/>
      </c>
      <c r="V168" s="52">
        <f>IFERROR(IF(INDEX('SaSS'!$M$10:$M$12,MATCH($F168,'SaSS'!$B$10:$B$12,0))="","Cell will autofill based on response",INDEX('SaSS'!$M$10:$M$12,MATCH($F168,'SaSS'!$B$10:$B$12,0))),"N/A")</f>
        <v/>
      </c>
      <c r="W168" s="52">
        <f>IFERROR(IF(INDEX('Indigenous'!$M$10:$M$11,MATCH($F168,'Indigenous'!$B$10:$B$11,0))="","Cell will autofill based on response",INDEX('Indigenous'!$M$10:$M$11,MATCH($F168,'Indigenous'!$B$10:$B$11,0))),"N/A")</f>
        <v/>
      </c>
      <c r="X168" s="52">
        <f>IFERROR(IF(INDEX('L&amp;R'!$M$10:$M$11,MATCH($F168,'L&amp;R'!$B$10:$B$11,0))="","Cell will autofill based on response",INDEX('L&amp;R'!$M$10:$M$11,MATCH($F168,'L&amp;R'!$B$10:$B$11,0))),"N/A")</f>
        <v/>
      </c>
    </row>
    <row r="169">
      <c r="A169">
        <f>F169&amp;"|"&amp;G169</f>
        <v/>
      </c>
      <c r="B169" s="13" t="inlineStr"/>
      <c r="C169" s="8" t="inlineStr"/>
      <c r="D169" s="8" t="inlineStr"/>
      <c r="E169" s="8" t="inlineStr"/>
      <c r="F169" s="8" t="inlineStr">
        <is>
          <t>AI1(b)</t>
        </is>
      </c>
      <c r="G169" s="8" t="inlineStr">
        <is>
          <t>OPTION 2:  Indicator level reporting</t>
        </is>
      </c>
      <c r="H169" s="52">
        <f>IFERROR(IF(INDEX('Faculties'!$N$10:$N$19,MATCH($F169,'Faculties'!$B$10:$B$19,0))="","Cell will autofill based on response",INDEX('Faculties'!$N$10:$N$19,MATCH($F169,'Faculties'!$B$10:$B$19,0))),"N/A")</f>
        <v/>
      </c>
      <c r="I169" s="52">
        <f>IFERROR(IF(INDEX('Faculties'!$N$26:$N$35,MATCH($F169,'Faculties'!$B$26:$B$35,0))="","Cell will autofill based on response",INDEX('Faculties'!$N$26:$N$35,MATCH($F169,'Faculties'!$B$26:$B$35,0))),"N/A")</f>
        <v/>
      </c>
      <c r="J169" s="52">
        <f>IFERROR(IF(INDEX('Faculties'!$N$42:$N$51,MATCH($F169,'Faculties'!$B$42:$B$51,0))="","Cell will autofill based on response",INDEX('Faculties'!$N$42:$N$51,MATCH($F169,'Faculties'!$B$42:$B$51,0))),"N/A")</f>
        <v/>
      </c>
      <c r="K169" s="52">
        <f>IFERROR(IF(INDEX('Faculties'!$N$58:$N$67,MATCH($F169,'Faculties'!$B$58:$B$67,0))="","Cell will autofill based on response",INDEX('Faculties'!$N$58:$N$67,MATCH($F169,'Faculties'!$B$58:$B$67,0))),"N/A")</f>
        <v/>
      </c>
      <c r="L169" s="52">
        <f>IFERROR(IF(INDEX('CI&amp;S'!$N$10:$N$15,MATCH($F169,'CI&amp;S'!$B$10:$B$15,0))="","Cell will autofill based on response",INDEX('CI&amp;S'!$N$10:$N$15,MATCH($F169,'CI&amp;S'!$B$10:$B$15,0))),"N/A")</f>
        <v/>
      </c>
      <c r="M169" s="52">
        <f>IFERROR(IF(INDEX('CI&amp;S'!$N$22:$N$36,MATCH($F169,'CI&amp;S'!$B$22:$B$36,0))="","Cell will autofill based on response",INDEX('CI&amp;S'!$N$22:$N$36,MATCH($F169,'CI&amp;S'!$B$22:$B$36,0))),"N/A")</f>
        <v/>
      </c>
      <c r="N169" s="52">
        <f>IFERROR(IF(INDEX('CFOG'!$N$10:$N$16,MATCH($F169,'CFOG'!$B$10:$B$16,0))="","Cell will autofill based on response",INDEX('CFOG'!$N$10:$N$16,MATCH($F169,'CFOG'!$B$10:$B$16,0))),"N/A")</f>
        <v/>
      </c>
      <c r="O169" s="52">
        <f>IFERROR(IF(INDEX('CFOG'!$N$23:$N$24,MATCH($F169,'CFOG'!$B$23:$B$24,0))="","Cell will autofill based on response",INDEX('CFOG'!$N$23:$N$24,MATCH($F169,'CFOG'!$B$23:$B$24,0))),"N/A")</f>
        <v/>
      </c>
      <c r="P169" s="52">
        <f>IFERROR(IF(INDEX('ESG'!$N$10:$N$17,MATCH($F169,'ESG'!$B$10:$B$17,0))="","Cell will autofill based on response",INDEX('ESG'!$N$10:$N$17,MATCH($F169,'ESG'!$B$10:$B$17,0))),"N/A")</f>
        <v/>
      </c>
      <c r="Q169" s="52">
        <f>IFERROR(IF(INDEX('CIOG'!$N$10:$N$14,MATCH($F169,'CIOG'!$B$10:$B$14,0))="","Cell will autofill based on response",INDEX('CIOG'!$N$10:$N$14,MATCH($F169,'CIOG'!$B$10:$B$14,0))),"N/A")</f>
        <v/>
      </c>
      <c r="R169" s="52">
        <f>IFERROR(IF(INDEX('MRE'!$N$10:$N$18,MATCH($F169,'MRE'!$B$10:$B$18,0))="","Cell will autofill based on response",INDEX('MRE'!$N$10:$N$18,MATCH($F169,'MRE'!$B$10:$B$18,0))),"N/A")</f>
        <v/>
      </c>
      <c r="S169" s="52">
        <f>IFERROR(IF(INDEX('AC&amp;M'!$N$10:$N$14,MATCH($F169,'AC&amp;M'!$B$10:$B$14,0))="","Cell will autofill based on response",INDEX('AC&amp;M'!$N$10:$N$14,MATCH($F169,'AC&amp;M'!$B$10:$B$14,0))),"N/A")</f>
        <v/>
      </c>
      <c r="T169" s="52">
        <f>IFERROR(IF(INDEX('GCE'!$N$10:$N$12,MATCH($F169,'GCE'!$B$10:$B$12,0))="","Cell will autofill based on response",INDEX('GCE'!$N$10:$N$12,MATCH($F169,'GCE'!$B$10:$B$12,0))),"N/A")</f>
        <v/>
      </c>
      <c r="U169" s="52">
        <f>IFERROR(IF(INDEX('Education'!$N$10:$N$13,MATCH($F169,'Education'!$B$10:$B$13,0))="","Cell will autofill based on response",INDEX('Education'!$N$10:$N$13,MATCH($F169,'Education'!$B$10:$B$13,0))),"N/A")</f>
        <v/>
      </c>
      <c r="V169" s="52">
        <f>IFERROR(IF(INDEX('SaSS'!$N$10:$N$12,MATCH($F169,'SaSS'!$B$10:$B$12,0))="","Cell will autofill based on response",INDEX('SaSS'!$N$10:$N$12,MATCH($F169,'SaSS'!$B$10:$B$12,0))),"N/A")</f>
        <v/>
      </c>
      <c r="W169" s="52">
        <f>IFERROR(IF(INDEX('Indigenous'!$N$10:$N$11,MATCH($F169,'Indigenous'!$B$10:$B$11,0))="","Cell will autofill based on response",INDEX('Indigenous'!$N$10:$N$11,MATCH($F169,'Indigenous'!$B$10:$B$11,0))),"N/A")</f>
        <v/>
      </c>
      <c r="X169" s="52">
        <f>IFERROR(IF(INDEX('L&amp;R'!$N$10:$N$11,MATCH($F169,'L&amp;R'!$B$10:$B$11,0))="","Cell will autofill based on response",INDEX('L&amp;R'!$N$10:$N$11,MATCH($F169,'L&amp;R'!$B$10:$B$11,0))),"N/A")</f>
        <v/>
      </c>
    </row>
    <row r="170">
      <c r="A170">
        <f>F170&amp;"|"&amp;G170</f>
        <v/>
      </c>
      <c r="B170" s="13" t="inlineStr"/>
      <c r="C170" s="8" t="inlineStr"/>
      <c r="D170" s="8" t="inlineStr"/>
      <c r="E170" s="8" t="inlineStr"/>
      <c r="F170" s="8" t="inlineStr">
        <is>
          <t>AI1(b)</t>
        </is>
      </c>
      <c r="G170" s="8" t="inlineStr">
        <is>
          <t>Supporting information/comments</t>
        </is>
      </c>
      <c r="H170" s="52">
        <f>IFERROR(IF(INDEX('Faculties'!$O$10:$O$19,MATCH($F170,'Faculties'!$B$10:$B$19,0))="","Cell will autofill based on response",INDEX('Faculties'!$O$10:$O$19,MATCH($F170,'Faculties'!$B$10:$B$19,0))),"N/A")</f>
        <v/>
      </c>
      <c r="I170" s="52">
        <f>IFERROR(IF(INDEX('Faculties'!$O$26:$O$35,MATCH($F170,'Faculties'!$B$26:$B$35,0))="","Cell will autofill based on response",INDEX('Faculties'!$O$26:$O$35,MATCH($F170,'Faculties'!$B$26:$B$35,0))),"N/A")</f>
        <v/>
      </c>
      <c r="J170" s="52">
        <f>IFERROR(IF(INDEX('Faculties'!$O$42:$O$51,MATCH($F170,'Faculties'!$B$42:$B$51,0))="","Cell will autofill based on response",INDEX('Faculties'!$O$42:$O$51,MATCH($F170,'Faculties'!$B$42:$B$51,0))),"N/A")</f>
        <v/>
      </c>
      <c r="K170" s="52">
        <f>IFERROR(IF(INDEX('Faculties'!$O$58:$O$67,MATCH($F170,'Faculties'!$B$58:$B$67,0))="","Cell will autofill based on response",INDEX('Faculties'!$O$58:$O$67,MATCH($F170,'Faculties'!$B$58:$B$67,0))),"N/A")</f>
        <v/>
      </c>
      <c r="L170" s="52">
        <f>IFERROR(IF(INDEX('CI&amp;S'!$O$10:$O$15,MATCH($F170,'CI&amp;S'!$B$10:$B$15,0))="","Cell will autofill based on response",INDEX('CI&amp;S'!$O$10:$O$15,MATCH($F170,'CI&amp;S'!$B$10:$B$15,0))),"N/A")</f>
        <v/>
      </c>
      <c r="M170" s="52">
        <f>IFERROR(IF(INDEX('CI&amp;S'!$O$22:$O$36,MATCH($F170,'CI&amp;S'!$B$22:$B$36,0))="","Cell will autofill based on response",INDEX('CI&amp;S'!$O$22:$O$36,MATCH($F170,'CI&amp;S'!$B$22:$B$36,0))),"N/A")</f>
        <v/>
      </c>
      <c r="N170" s="52">
        <f>IFERROR(IF(INDEX('CFOG'!$O$10:$O$16,MATCH($F170,'CFOG'!$B$10:$B$16,0))="","Cell will autofill based on response",INDEX('CFOG'!$O$10:$O$16,MATCH($F170,'CFOG'!$B$10:$B$16,0))),"N/A")</f>
        <v/>
      </c>
      <c r="O170" s="52">
        <f>IFERROR(IF(INDEX('CFOG'!$O$23:$O$24,MATCH($F170,'CFOG'!$B$23:$B$24,0))="","Cell will autofill based on response",INDEX('CFOG'!$O$23:$O$24,MATCH($F170,'CFOG'!$B$23:$B$24,0))),"N/A")</f>
        <v/>
      </c>
      <c r="P170" s="52">
        <f>IFERROR(IF(INDEX('ESG'!$O$10:$O$17,MATCH($F170,'ESG'!$B$10:$B$17,0))="","Cell will autofill based on response",INDEX('ESG'!$O$10:$O$17,MATCH($F170,'ESG'!$B$10:$B$17,0))),"N/A")</f>
        <v/>
      </c>
      <c r="Q170" s="52">
        <f>IFERROR(IF(INDEX('CIOG'!$O$10:$O$14,MATCH($F170,'CIOG'!$B$10:$B$14,0))="","Cell will autofill based on response",INDEX('CIOG'!$O$10:$O$14,MATCH($F170,'CIOG'!$B$10:$B$14,0))),"N/A")</f>
        <v/>
      </c>
      <c r="R170" s="52">
        <f>IFERROR(IF(INDEX('MRE'!$O$10:$O$18,MATCH($F170,'MRE'!$B$10:$B$18,0))="","Cell will autofill based on response",INDEX('MRE'!$O$10:$O$18,MATCH($F170,'MRE'!$B$10:$B$18,0))),"N/A")</f>
        <v/>
      </c>
      <c r="S170" s="52">
        <f>IFERROR(IF(INDEX('AC&amp;M'!$O$10:$O$14,MATCH($F170,'AC&amp;M'!$B$10:$B$14,0))="","Cell will autofill based on response",INDEX('AC&amp;M'!$O$10:$O$14,MATCH($F170,'AC&amp;M'!$B$10:$B$14,0))),"N/A")</f>
        <v/>
      </c>
      <c r="T170" s="52">
        <f>IFERROR(IF(INDEX('GCE'!$O$10:$O$12,MATCH($F170,'GCE'!$B$10:$B$12,0))="","Cell will autofill based on response",INDEX('GCE'!$O$10:$O$12,MATCH($F170,'GCE'!$B$10:$B$12,0))),"N/A")</f>
        <v/>
      </c>
      <c r="U170" s="52">
        <f>IFERROR(IF(INDEX('Education'!$O$10:$O$13,MATCH($F170,'Education'!$B$10:$B$13,0))="","Cell will autofill based on response",INDEX('Education'!$O$10:$O$13,MATCH($F170,'Education'!$B$10:$B$13,0))),"N/A")</f>
        <v/>
      </c>
      <c r="V170" s="52">
        <f>IFERROR(IF(INDEX('SaSS'!$O$10:$O$12,MATCH($F170,'SaSS'!$B$10:$B$12,0))="","Cell will autofill based on response",INDEX('SaSS'!$O$10:$O$12,MATCH($F170,'SaSS'!$B$10:$B$12,0))),"N/A")</f>
        <v/>
      </c>
      <c r="W170" s="52">
        <f>IFERROR(IF(INDEX('Indigenous'!$O$10:$O$11,MATCH($F170,'Indigenous'!$B$10:$B$11,0))="","Cell will autofill based on response",INDEX('Indigenous'!$O$10:$O$11,MATCH($F170,'Indigenous'!$B$10:$B$11,0))),"N/A")</f>
        <v/>
      </c>
      <c r="X170" s="52">
        <f>IFERROR(IF(INDEX('L&amp;R'!$O$10:$O$11,MATCH($F170,'L&amp;R'!$B$10:$B$11,0))="","Cell will autofill based on response",INDEX('L&amp;R'!$O$10:$O$11,MATCH($F170,'L&amp;R'!$B$10:$B$11,0))),"N/A")</f>
        <v/>
      </c>
    </row>
    <row r="171">
      <c r="A171">
        <f>F171&amp;"|"&amp;G171</f>
        <v/>
      </c>
      <c r="B171" s="13" t="inlineStr"/>
      <c r="C171" s="8" t="inlineStr"/>
      <c r="D171" s="8" t="inlineStr"/>
      <c r="E171" s="8" t="inlineStr"/>
      <c r="F171" s="8" t="inlineStr">
        <is>
          <t>AI1(b)</t>
        </is>
      </c>
      <c r="G171" s="8" t="inlineStr">
        <is>
          <t>Data source and limitations</t>
        </is>
      </c>
      <c r="H171" s="52">
        <f>IFERROR(IF(INDEX('Faculties'!$P$10:$P$19,MATCH($F171,'Faculties'!$B$10:$B$19,0))="","Cell will autofill based on response",INDEX('Faculties'!$P$10:$P$19,MATCH($F171,'Faculties'!$B$10:$B$19,0))),"N/A")</f>
        <v/>
      </c>
      <c r="I171" s="52">
        <f>IFERROR(IF(INDEX('Faculties'!$P$26:$P$35,MATCH($F171,'Faculties'!$B$26:$B$35,0))="","Cell will autofill based on response",INDEX('Faculties'!$P$26:$P$35,MATCH($F171,'Faculties'!$B$26:$B$35,0))),"N/A")</f>
        <v/>
      </c>
      <c r="J171" s="52">
        <f>IFERROR(IF(INDEX('Faculties'!$P$42:$P$51,MATCH($F171,'Faculties'!$B$42:$B$51,0))="","Cell will autofill based on response",INDEX('Faculties'!$P$42:$P$51,MATCH($F171,'Faculties'!$B$42:$B$51,0))),"N/A")</f>
        <v/>
      </c>
      <c r="K171" s="52">
        <f>IFERROR(IF(INDEX('Faculties'!$P$58:$P$67,MATCH($F171,'Faculties'!$B$58:$B$67,0))="","Cell will autofill based on response",INDEX('Faculties'!$P$58:$P$67,MATCH($F171,'Faculties'!$B$58:$B$67,0))),"N/A")</f>
        <v/>
      </c>
      <c r="L171" s="52">
        <f>IFERROR(IF(INDEX('CI&amp;S'!$P$10:$P$15,MATCH($F171,'CI&amp;S'!$B$10:$B$15,0))="","Cell will autofill based on response",INDEX('CI&amp;S'!$P$10:$P$15,MATCH($F171,'CI&amp;S'!$B$10:$B$15,0))),"N/A")</f>
        <v/>
      </c>
      <c r="M171" s="52">
        <f>IFERROR(IF(INDEX('CI&amp;S'!$P$22:$P$36,MATCH($F171,'CI&amp;S'!$B$22:$B$36,0))="","Cell will autofill based on response",INDEX('CI&amp;S'!$P$22:$P$36,MATCH($F171,'CI&amp;S'!$B$22:$B$36,0))),"N/A")</f>
        <v/>
      </c>
      <c r="N171" s="52">
        <f>IFERROR(IF(INDEX('CFOG'!$P$10:$P$16,MATCH($F171,'CFOG'!$B$10:$B$16,0))="","Cell will autofill based on response",INDEX('CFOG'!$P$10:$P$16,MATCH($F171,'CFOG'!$B$10:$B$16,0))),"N/A")</f>
        <v/>
      </c>
      <c r="O171" s="52">
        <f>IFERROR(IF(INDEX('CFOG'!$P$23:$P$24,MATCH($F171,'CFOG'!$B$23:$B$24,0))="","Cell will autofill based on response",INDEX('CFOG'!$P$23:$P$24,MATCH($F171,'CFOG'!$B$23:$B$24,0))),"N/A")</f>
        <v/>
      </c>
      <c r="P171" s="52">
        <f>IFERROR(IF(INDEX('ESG'!$P$10:$P$17,MATCH($F171,'ESG'!$B$10:$B$17,0))="","Cell will autofill based on response",INDEX('ESG'!$P$10:$P$17,MATCH($F171,'ESG'!$B$10:$B$17,0))),"N/A")</f>
        <v/>
      </c>
      <c r="Q171" s="52">
        <f>IFERROR(IF(INDEX('CIOG'!$P$10:$P$14,MATCH($F171,'CIOG'!$B$10:$B$14,0))="","Cell will autofill based on response",INDEX('CIOG'!$P$10:$P$14,MATCH($F171,'CIOG'!$B$10:$B$14,0))),"N/A")</f>
        <v/>
      </c>
      <c r="R171" s="52">
        <f>IFERROR(IF(INDEX('MRE'!$P$10:$P$18,MATCH($F171,'MRE'!$B$10:$B$18,0))="","Cell will autofill based on response",INDEX('MRE'!$P$10:$P$18,MATCH($F171,'MRE'!$B$10:$B$18,0))),"N/A")</f>
        <v/>
      </c>
      <c r="S171" s="52">
        <f>IFERROR(IF(INDEX('AC&amp;M'!$P$10:$P$14,MATCH($F171,'AC&amp;M'!$B$10:$B$14,0))="","Cell will autofill based on response",INDEX('AC&amp;M'!$P$10:$P$14,MATCH($F171,'AC&amp;M'!$B$10:$B$14,0))),"N/A")</f>
        <v/>
      </c>
      <c r="T171" s="52">
        <f>IFERROR(IF(INDEX('GCE'!$P$10:$P$12,MATCH($F171,'GCE'!$B$10:$B$12,0))="","Cell will autofill based on response",INDEX('GCE'!$P$10:$P$12,MATCH($F171,'GCE'!$B$10:$B$12,0))),"N/A")</f>
        <v/>
      </c>
      <c r="U171" s="52">
        <f>IFERROR(IF(INDEX('Education'!$P$10:$P$13,MATCH($F171,'Education'!$B$10:$B$13,0))="","Cell will autofill based on response",INDEX('Education'!$P$10:$P$13,MATCH($F171,'Education'!$B$10:$B$13,0))),"N/A")</f>
        <v/>
      </c>
      <c r="V171" s="52">
        <f>IFERROR(IF(INDEX('SaSS'!$P$10:$P$12,MATCH($F171,'SaSS'!$B$10:$B$12,0))="","Cell will autofill based on response",INDEX('SaSS'!$P$10:$P$12,MATCH($F171,'SaSS'!$B$10:$B$12,0))),"N/A")</f>
        <v/>
      </c>
      <c r="W171" s="52">
        <f>IFERROR(IF(INDEX('Indigenous'!$P$10:$P$11,MATCH($F171,'Indigenous'!$B$10:$B$11,0))="","Cell will autofill based on response",INDEX('Indigenous'!$P$10:$P$11,MATCH($F171,'Indigenous'!$B$10:$B$11,0))),"N/A")</f>
        <v/>
      </c>
      <c r="X171" s="52">
        <f>IFERROR(IF(INDEX('L&amp;R'!$P$10:$P$11,MATCH($F171,'L&amp;R'!$B$10:$B$11,0))="","Cell will autofill based on response",INDEX('L&amp;R'!$P$10:$P$11,MATCH($F171,'L&amp;R'!$B$10:$B$11,0))),"N/A")</f>
        <v/>
      </c>
    </row>
    <row r="172">
      <c r="A172">
        <f>F172&amp;"|"&amp;G172</f>
        <v/>
      </c>
      <c r="B172" s="13" t="inlineStr"/>
      <c r="C172" s="8" t="inlineStr"/>
      <c r="D172" s="8" t="inlineStr"/>
      <c r="E172" s="8" t="inlineStr"/>
      <c r="F172" s="8" t="inlineStr">
        <is>
          <t>AI1(b)</t>
        </is>
      </c>
      <c r="G172" s="8" t="inlineStr">
        <is>
          <t>Data owner confirms</t>
        </is>
      </c>
      <c r="H172" s="52">
        <f>IFERROR(IF(INDEX('Faculties'!$Q$10:$Q$19,MATCH($F172,'Faculties'!$B$10:$B$19,0))="","Cell will autofill based on response",INDEX('Faculties'!$Q$10:$Q$19,MATCH($F172,'Faculties'!$B$10:$B$19,0))),"N/A")</f>
        <v/>
      </c>
      <c r="I172" s="52">
        <f>IFERROR(IF(INDEX('Faculties'!$Q$26:$Q$35,MATCH($F172,'Faculties'!$B$26:$B$35,0))="","Cell will autofill based on response",INDEX('Faculties'!$Q$26:$Q$35,MATCH($F172,'Faculties'!$B$26:$B$35,0))),"N/A")</f>
        <v/>
      </c>
      <c r="J172" s="52">
        <f>IFERROR(IF(INDEX('Faculties'!$Q$42:$Q$51,MATCH($F172,'Faculties'!$B$42:$B$51,0))="","Cell will autofill based on response",INDEX('Faculties'!$Q$42:$Q$51,MATCH($F172,'Faculties'!$B$42:$B$51,0))),"N/A")</f>
        <v/>
      </c>
      <c r="K172" s="52">
        <f>IFERROR(IF(INDEX('Faculties'!$Q$58:$Q$67,MATCH($F172,'Faculties'!$B$58:$B$67,0))="","Cell will autofill based on response",INDEX('Faculties'!$Q$58:$Q$67,MATCH($F172,'Faculties'!$B$58:$B$67,0))),"N/A")</f>
        <v/>
      </c>
      <c r="L172" s="52">
        <f>IFERROR(IF(INDEX('CI&amp;S'!$Q$10:$Q$15,MATCH($F172,'CI&amp;S'!$B$10:$B$15,0))="","Cell will autofill based on response",INDEX('CI&amp;S'!$Q$10:$Q$15,MATCH($F172,'CI&amp;S'!$B$10:$B$15,0))),"N/A")</f>
        <v/>
      </c>
      <c r="M172" s="52">
        <f>IFERROR(IF(INDEX('CI&amp;S'!$Q$22:$Q$36,MATCH($F172,'CI&amp;S'!$B$22:$B$36,0))="","Cell will autofill based on response",INDEX('CI&amp;S'!$Q$22:$Q$36,MATCH($F172,'CI&amp;S'!$B$22:$B$36,0))),"N/A")</f>
        <v/>
      </c>
      <c r="N172" s="52">
        <f>IFERROR(IF(INDEX('CFOG'!$Q$10:$Q$16,MATCH($F172,'CFOG'!$B$10:$B$16,0))="","Cell will autofill based on response",INDEX('CFOG'!$Q$10:$Q$16,MATCH($F172,'CFOG'!$B$10:$B$16,0))),"N/A")</f>
        <v/>
      </c>
      <c r="O172" s="52">
        <f>IFERROR(IF(INDEX('CFOG'!$Q$23:$Q$24,MATCH($F172,'CFOG'!$B$23:$B$24,0))="","Cell will autofill based on response",INDEX('CFOG'!$Q$23:$Q$24,MATCH($F172,'CFOG'!$B$23:$B$24,0))),"N/A")</f>
        <v/>
      </c>
      <c r="P172" s="52">
        <f>IFERROR(IF(INDEX('ESG'!$Q$10:$Q$17,MATCH($F172,'ESG'!$B$10:$B$17,0))="","Cell will autofill based on response",INDEX('ESG'!$Q$10:$Q$17,MATCH($F172,'ESG'!$B$10:$B$17,0))),"N/A")</f>
        <v/>
      </c>
      <c r="Q172" s="52">
        <f>IFERROR(IF(INDEX('CIOG'!$Q$10:$Q$14,MATCH($F172,'CIOG'!$B$10:$B$14,0))="","Cell will autofill based on response",INDEX('CIOG'!$Q$10:$Q$14,MATCH($F172,'CIOG'!$B$10:$B$14,0))),"N/A")</f>
        <v/>
      </c>
      <c r="R172" s="52">
        <f>IFERROR(IF(INDEX('MRE'!$Q$10:$Q$18,MATCH($F172,'MRE'!$B$10:$B$18,0))="","Cell will autofill based on response",INDEX('MRE'!$Q$10:$Q$18,MATCH($F172,'MRE'!$B$10:$B$18,0))),"N/A")</f>
        <v/>
      </c>
      <c r="S172" s="52">
        <f>IFERROR(IF(INDEX('AC&amp;M'!$Q$10:$Q$14,MATCH($F172,'AC&amp;M'!$B$10:$B$14,0))="","Cell will autofill based on response",INDEX('AC&amp;M'!$Q$10:$Q$14,MATCH($F172,'AC&amp;M'!$B$10:$B$14,0))),"N/A")</f>
        <v/>
      </c>
      <c r="T172" s="52">
        <f>IFERROR(IF(INDEX('GCE'!$Q$10:$Q$12,MATCH($F172,'GCE'!$B$10:$B$12,0))="","Cell will autofill based on response",INDEX('GCE'!$Q$10:$Q$12,MATCH($F172,'GCE'!$B$10:$B$12,0))),"N/A")</f>
        <v/>
      </c>
      <c r="U172" s="52">
        <f>IFERROR(IF(INDEX('Education'!$Q$10:$Q$13,MATCH($F172,'Education'!$B$10:$B$13,0))="","Cell will autofill based on response",INDEX('Education'!$Q$10:$Q$13,MATCH($F172,'Education'!$B$10:$B$13,0))),"N/A")</f>
        <v/>
      </c>
      <c r="V172" s="52">
        <f>IFERROR(IF(INDEX('SaSS'!$Q$10:$Q$12,MATCH($F172,'SaSS'!$B$10:$B$12,0))="","Cell will autofill based on response",INDEX('SaSS'!$Q$10:$Q$12,MATCH($F172,'SaSS'!$B$10:$B$12,0))),"N/A")</f>
        <v/>
      </c>
      <c r="W172" s="52">
        <f>IFERROR(IF(INDEX('Indigenous'!$Q$10:$Q$11,MATCH($F172,'Indigenous'!$B$10:$B$11,0))="","Cell will autofill based on response",INDEX('Indigenous'!$Q$10:$Q$11,MATCH($F172,'Indigenous'!$B$10:$B$11,0))),"N/A")</f>
        <v/>
      </c>
      <c r="X172" s="52">
        <f>IFERROR(IF(INDEX('L&amp;R'!$Q$10:$Q$11,MATCH($F172,'L&amp;R'!$B$10:$B$11,0))="","Cell will autofill based on response",INDEX('L&amp;R'!$Q$10:$Q$11,MATCH($F172,'L&amp;R'!$B$10:$B$11,0))),"N/A")</f>
        <v/>
      </c>
    </row>
    <row r="173">
      <c r="A173">
        <f>F173&amp;"|"&amp;G173</f>
        <v/>
      </c>
      <c r="B173" s="7" t="inlineStr">
        <is>
          <t>EI1(a)</t>
        </is>
      </c>
      <c r="C173" s="50" t="inlineStr">
        <is>
          <t>Estate and infrastructure</t>
        </is>
      </c>
      <c r="D173" s="50" t="inlineStr">
        <is>
          <t>Evidence of increased maturity of estate and infrastructure planning, development and operations to support the other priority areas in Sustainability 2030</t>
        </is>
      </c>
      <c r="E173" s="50"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73" s="50" t="inlineStr">
        <is>
          <t>EI1(a)</t>
        </is>
      </c>
      <c r="G173" s="50" t="inlineStr">
        <is>
          <t>Confirm end-2026 target status</t>
        </is>
      </c>
      <c r="H173" s="52">
        <f>IFERROR(IF(INDEX('Faculties'!$L$10:$L$19,MATCH($F173,'Faculties'!$B$10:$B$19,0))="","Cell will autofill based on response",INDEX('Faculties'!$L$10:$L$19,MATCH($F173,'Faculties'!$B$10:$B$19,0))),"N/A")</f>
        <v/>
      </c>
      <c r="I173" s="52">
        <f>IFERROR(IF(INDEX('Faculties'!$L$26:$L$35,MATCH($F173,'Faculties'!$B$26:$B$35,0))="","Cell will autofill based on response",INDEX('Faculties'!$L$26:$L$35,MATCH($F173,'Faculties'!$B$26:$B$35,0))),"N/A")</f>
        <v/>
      </c>
      <c r="J173" s="52">
        <f>IFERROR(IF(INDEX('Faculties'!$L$42:$L$51,MATCH($F173,'Faculties'!$B$42:$B$51,0))="","Cell will autofill based on response",INDEX('Faculties'!$L$42:$L$51,MATCH($F173,'Faculties'!$B$42:$B$51,0))),"N/A")</f>
        <v/>
      </c>
      <c r="K173" s="52">
        <f>IFERROR(IF(INDEX('Faculties'!$L$58:$L$67,MATCH($F173,'Faculties'!$B$58:$B$67,0))="","Cell will autofill based on response",INDEX('Faculties'!$L$58:$L$67,MATCH($F173,'Faculties'!$B$58:$B$67,0))),"N/A")</f>
        <v/>
      </c>
      <c r="L173" s="52">
        <f>IFERROR(IF(INDEX('CI&amp;S'!$L$10:$L$15,MATCH($F173,'CI&amp;S'!$B$10:$B$15,0))="","Cell will autofill based on response",INDEX('CI&amp;S'!$L$10:$L$15,MATCH($F173,'CI&amp;S'!$B$10:$B$15,0))),"N/A")</f>
        <v/>
      </c>
      <c r="M173" s="52">
        <f>IFERROR(IF(INDEX('CI&amp;S'!$L$22:$L$36,MATCH($F173,'CI&amp;S'!$B$22:$B$36,0))="","Cell will autofill based on response",INDEX('CI&amp;S'!$L$22:$L$36,MATCH($F173,'CI&amp;S'!$B$22:$B$36,0))),"N/A")</f>
        <v/>
      </c>
      <c r="N173" s="52">
        <f>IFERROR(IF(INDEX('CFOG'!$L$10:$L$16,MATCH($F173,'CFOG'!$B$10:$B$16,0))="","Cell will autofill based on response",INDEX('CFOG'!$L$10:$L$16,MATCH($F173,'CFOG'!$B$10:$B$16,0))),"N/A")</f>
        <v/>
      </c>
      <c r="O173" s="52">
        <f>IFERROR(IF(INDEX('CFOG'!$L$23:$L$24,MATCH($F173,'CFOG'!$B$23:$B$24,0))="","Cell will autofill based on response",INDEX('CFOG'!$L$23:$L$24,MATCH($F173,'CFOG'!$B$23:$B$24,0))),"N/A")</f>
        <v/>
      </c>
      <c r="P173" s="52">
        <f>IFERROR(IF(INDEX('ESG'!$L$10:$L$17,MATCH($F173,'ESG'!$B$10:$B$17,0))="","Cell will autofill based on response",INDEX('ESG'!$L$10:$L$17,MATCH($F173,'ESG'!$B$10:$B$17,0))),"N/A")</f>
        <v/>
      </c>
      <c r="Q173" s="52">
        <f>IFERROR(IF(INDEX('CIOG'!$L$10:$L$14,MATCH($F173,'CIOG'!$B$10:$B$14,0))="","Cell will autofill based on response",INDEX('CIOG'!$L$10:$L$14,MATCH($F173,'CIOG'!$B$10:$B$14,0))),"N/A")</f>
        <v/>
      </c>
      <c r="R173" s="52">
        <f>IFERROR(IF(INDEX('MRE'!$L$10:$L$18,MATCH($F173,'MRE'!$B$10:$B$18,0))="","Cell will autofill based on response",INDEX('MRE'!$L$10:$L$18,MATCH($F173,'MRE'!$B$10:$B$18,0))),"N/A")</f>
        <v/>
      </c>
      <c r="S173" s="52">
        <f>IFERROR(IF(INDEX('AC&amp;M'!$L$10:$L$14,MATCH($F173,'AC&amp;M'!$B$10:$B$14,0))="","Cell will autofill based on response",INDEX('AC&amp;M'!$L$10:$L$14,MATCH($F173,'AC&amp;M'!$B$10:$B$14,0))),"N/A")</f>
        <v/>
      </c>
      <c r="T173" s="52">
        <f>IFERROR(IF(INDEX('GCE'!$L$10:$L$12,MATCH($F173,'GCE'!$B$10:$B$12,0))="","Cell will autofill based on response",INDEX('GCE'!$L$10:$L$12,MATCH($F173,'GCE'!$B$10:$B$12,0))),"N/A")</f>
        <v/>
      </c>
      <c r="U173" s="52">
        <f>IFERROR(IF(INDEX('Education'!$L$10:$L$13,MATCH($F173,'Education'!$B$10:$B$13,0))="","Cell will autofill based on response",INDEX('Education'!$L$10:$L$13,MATCH($F173,'Education'!$B$10:$B$13,0))),"N/A")</f>
        <v/>
      </c>
      <c r="V173" s="52">
        <f>IFERROR(IF(INDEX('SaSS'!$L$10:$L$12,MATCH($F173,'SaSS'!$B$10:$B$12,0))="","Cell will autofill based on response",INDEX('SaSS'!$L$10:$L$12,MATCH($F173,'SaSS'!$B$10:$B$12,0))),"N/A")</f>
        <v/>
      </c>
      <c r="W173" s="52">
        <f>IFERROR(IF(INDEX('Indigenous'!$L$10:$L$11,MATCH($F173,'Indigenous'!$B$10:$B$11,0))="","Cell will autofill based on response",INDEX('Indigenous'!$L$10:$L$11,MATCH($F173,'Indigenous'!$B$10:$B$11,0))),"N/A")</f>
        <v/>
      </c>
      <c r="X173" s="52">
        <f>IFERROR(IF(INDEX('L&amp;R'!$L$10:$L$11,MATCH($F173,'L&amp;R'!$B$10:$B$11,0))="","Cell will autofill based on response",INDEX('L&amp;R'!$L$10:$L$11,MATCH($F173,'L&amp;R'!$B$10:$B$11,0))),"N/A")</f>
        <v/>
      </c>
      <c r="Z173" s="10">
        <f>COUNTIF($H173:$X173,"Cell will autofill based on response")</f>
        <v/>
      </c>
      <c r="AA173" s="10">
        <f>COUNTIF($H173:$X173,"Not yet started")</f>
        <v/>
      </c>
      <c r="AB173" s="10">
        <f>COUNTIF($H173:$X173,"Not met")</f>
        <v/>
      </c>
      <c r="AC173" s="10">
        <f>COUNTIF($H173:$X173,"Partially met")</f>
        <v/>
      </c>
      <c r="AD173" s="10">
        <f>COUNTIF($H173:$X173,"Met or exceeded")</f>
        <v/>
      </c>
      <c r="AE173" s="10">
        <f>3*AD173+2*AC173+AB173</f>
        <v/>
      </c>
      <c r="AF173" s="10">
        <f>AD173+AC173+AB173+AA173</f>
        <v/>
      </c>
      <c r="AG173" s="53">
        <f>IF(AF173&gt;0,AE173/AF173,"No valid responses to date")</f>
        <v/>
      </c>
      <c r="AH173" s="10">
        <f>IF(ISNUMBER(AG173),INDEX(Lists!$G$2:$G$5,MATCH(ROUND(AG173,0),Lists!$H$2:$H$5,0)),"")</f>
        <v/>
      </c>
      <c r="AI173" s="54">
        <f>IF(AF173&gt;0,AD173/AF173,"")</f>
        <v/>
      </c>
      <c r="AJ173" s="54">
        <f>IF(AF173&gt;0,(AD173+AC173)/AF173,"")</f>
        <v/>
      </c>
      <c r="AK173" s="10">
        <f>IF(AF173=0,"",IF(AI173&gt;0.75,"Met or exceeded",IF(AJ173&gt;=0.5,"Partially met","Not met")))</f>
        <v/>
      </c>
    </row>
    <row r="174">
      <c r="A174">
        <f>F174&amp;"|"&amp;G174</f>
        <v/>
      </c>
      <c r="B174" s="13" t="inlineStr"/>
      <c r="C174" s="8" t="inlineStr"/>
      <c r="D174" s="8" t="inlineStr"/>
      <c r="E174" s="8" t="inlineStr"/>
      <c r="F174" s="8" t="inlineStr">
        <is>
          <t>EI1(a)</t>
        </is>
      </c>
      <c r="G174" s="8" t="inlineStr">
        <is>
          <t>OPTION 1:  Target-level reporting</t>
        </is>
      </c>
      <c r="H174" s="52">
        <f>IFERROR(IF(INDEX('Faculties'!$M$10:$M$19,MATCH($F174,'Faculties'!$B$10:$B$19,0))="","Cell will autofill based on response",INDEX('Faculties'!$M$10:$M$19,MATCH($F174,'Faculties'!$B$10:$B$19,0))),"N/A")</f>
        <v/>
      </c>
      <c r="I174" s="52">
        <f>IFERROR(IF(INDEX('Faculties'!$M$26:$M$35,MATCH($F174,'Faculties'!$B$26:$B$35,0))="","Cell will autofill based on response",INDEX('Faculties'!$M$26:$M$35,MATCH($F174,'Faculties'!$B$26:$B$35,0))),"N/A")</f>
        <v/>
      </c>
      <c r="J174" s="52">
        <f>IFERROR(IF(INDEX('Faculties'!$M$42:$M$51,MATCH($F174,'Faculties'!$B$42:$B$51,0))="","Cell will autofill based on response",INDEX('Faculties'!$M$42:$M$51,MATCH($F174,'Faculties'!$B$42:$B$51,0))),"N/A")</f>
        <v/>
      </c>
      <c r="K174" s="52">
        <f>IFERROR(IF(INDEX('Faculties'!$M$58:$M$67,MATCH($F174,'Faculties'!$B$58:$B$67,0))="","Cell will autofill based on response",INDEX('Faculties'!$M$58:$M$67,MATCH($F174,'Faculties'!$B$58:$B$67,0))),"N/A")</f>
        <v/>
      </c>
      <c r="L174" s="52">
        <f>IFERROR(IF(INDEX('CI&amp;S'!$M$10:$M$15,MATCH($F174,'CI&amp;S'!$B$10:$B$15,0))="","Cell will autofill based on response",INDEX('CI&amp;S'!$M$10:$M$15,MATCH($F174,'CI&amp;S'!$B$10:$B$15,0))),"N/A")</f>
        <v/>
      </c>
      <c r="M174" s="52">
        <f>IFERROR(IF(INDEX('CI&amp;S'!$M$22:$M$36,MATCH($F174,'CI&amp;S'!$B$22:$B$36,0))="","Cell will autofill based on response",INDEX('CI&amp;S'!$M$22:$M$36,MATCH($F174,'CI&amp;S'!$B$22:$B$36,0))),"N/A")</f>
        <v/>
      </c>
      <c r="N174" s="52">
        <f>IFERROR(IF(INDEX('CFOG'!$M$10:$M$16,MATCH($F174,'CFOG'!$B$10:$B$16,0))="","Cell will autofill based on response",INDEX('CFOG'!$M$10:$M$16,MATCH($F174,'CFOG'!$B$10:$B$16,0))),"N/A")</f>
        <v/>
      </c>
      <c r="O174" s="52">
        <f>IFERROR(IF(INDEX('CFOG'!$M$23:$M$24,MATCH($F174,'CFOG'!$B$23:$B$24,0))="","Cell will autofill based on response",INDEX('CFOG'!$M$23:$M$24,MATCH($F174,'CFOG'!$B$23:$B$24,0))),"N/A")</f>
        <v/>
      </c>
      <c r="P174" s="52">
        <f>IFERROR(IF(INDEX('ESG'!$M$10:$M$17,MATCH($F174,'ESG'!$B$10:$B$17,0))="","Cell will autofill based on response",INDEX('ESG'!$M$10:$M$17,MATCH($F174,'ESG'!$B$10:$B$17,0))),"N/A")</f>
        <v/>
      </c>
      <c r="Q174" s="52">
        <f>IFERROR(IF(INDEX('CIOG'!$M$10:$M$14,MATCH($F174,'CIOG'!$B$10:$B$14,0))="","Cell will autofill based on response",INDEX('CIOG'!$M$10:$M$14,MATCH($F174,'CIOG'!$B$10:$B$14,0))),"N/A")</f>
        <v/>
      </c>
      <c r="R174" s="52">
        <f>IFERROR(IF(INDEX('MRE'!$M$10:$M$18,MATCH($F174,'MRE'!$B$10:$B$18,0))="","Cell will autofill based on response",INDEX('MRE'!$M$10:$M$18,MATCH($F174,'MRE'!$B$10:$B$18,0))),"N/A")</f>
        <v/>
      </c>
      <c r="S174" s="52">
        <f>IFERROR(IF(INDEX('AC&amp;M'!$M$10:$M$14,MATCH($F174,'AC&amp;M'!$B$10:$B$14,0))="","Cell will autofill based on response",INDEX('AC&amp;M'!$M$10:$M$14,MATCH($F174,'AC&amp;M'!$B$10:$B$14,0))),"N/A")</f>
        <v/>
      </c>
      <c r="T174" s="52">
        <f>IFERROR(IF(INDEX('GCE'!$M$10:$M$12,MATCH($F174,'GCE'!$B$10:$B$12,0))="","Cell will autofill based on response",INDEX('GCE'!$M$10:$M$12,MATCH($F174,'GCE'!$B$10:$B$12,0))),"N/A")</f>
        <v/>
      </c>
      <c r="U174" s="52">
        <f>IFERROR(IF(INDEX('Education'!$M$10:$M$13,MATCH($F174,'Education'!$B$10:$B$13,0))="","Cell will autofill based on response",INDEX('Education'!$M$10:$M$13,MATCH($F174,'Education'!$B$10:$B$13,0))),"N/A")</f>
        <v/>
      </c>
      <c r="V174" s="52">
        <f>IFERROR(IF(INDEX('SaSS'!$M$10:$M$12,MATCH($F174,'SaSS'!$B$10:$B$12,0))="","Cell will autofill based on response",INDEX('SaSS'!$M$10:$M$12,MATCH($F174,'SaSS'!$B$10:$B$12,0))),"N/A")</f>
        <v/>
      </c>
      <c r="W174" s="52">
        <f>IFERROR(IF(INDEX('Indigenous'!$M$10:$M$11,MATCH($F174,'Indigenous'!$B$10:$B$11,0))="","Cell will autofill based on response",INDEX('Indigenous'!$M$10:$M$11,MATCH($F174,'Indigenous'!$B$10:$B$11,0))),"N/A")</f>
        <v/>
      </c>
      <c r="X174" s="52">
        <f>IFERROR(IF(INDEX('L&amp;R'!$M$10:$M$11,MATCH($F174,'L&amp;R'!$B$10:$B$11,0))="","Cell will autofill based on response",INDEX('L&amp;R'!$M$10:$M$11,MATCH($F174,'L&amp;R'!$B$10:$B$11,0))),"N/A")</f>
        <v/>
      </c>
    </row>
    <row r="175">
      <c r="A175">
        <f>F175&amp;"|"&amp;G175</f>
        <v/>
      </c>
      <c r="B175" s="13" t="inlineStr"/>
      <c r="C175" s="8" t="inlineStr"/>
      <c r="D175" s="8" t="inlineStr"/>
      <c r="E175" s="8" t="inlineStr"/>
      <c r="F175" s="8" t="inlineStr">
        <is>
          <t>EI1(a)</t>
        </is>
      </c>
      <c r="G175" s="8" t="inlineStr">
        <is>
          <t>OPTION 2:  Indicator level reporting</t>
        </is>
      </c>
      <c r="H175" s="52">
        <f>IFERROR(IF(INDEX('Faculties'!$N$10:$N$19,MATCH($F175,'Faculties'!$B$10:$B$19,0))="","Cell will autofill based on response",INDEX('Faculties'!$N$10:$N$19,MATCH($F175,'Faculties'!$B$10:$B$19,0))),"N/A")</f>
        <v/>
      </c>
      <c r="I175" s="52">
        <f>IFERROR(IF(INDEX('Faculties'!$N$26:$N$35,MATCH($F175,'Faculties'!$B$26:$B$35,0))="","Cell will autofill based on response",INDEX('Faculties'!$N$26:$N$35,MATCH($F175,'Faculties'!$B$26:$B$35,0))),"N/A")</f>
        <v/>
      </c>
      <c r="J175" s="52">
        <f>IFERROR(IF(INDEX('Faculties'!$N$42:$N$51,MATCH($F175,'Faculties'!$B$42:$B$51,0))="","Cell will autofill based on response",INDEX('Faculties'!$N$42:$N$51,MATCH($F175,'Faculties'!$B$42:$B$51,0))),"N/A")</f>
        <v/>
      </c>
      <c r="K175" s="52">
        <f>IFERROR(IF(INDEX('Faculties'!$N$58:$N$67,MATCH($F175,'Faculties'!$B$58:$B$67,0))="","Cell will autofill based on response",INDEX('Faculties'!$N$58:$N$67,MATCH($F175,'Faculties'!$B$58:$B$67,0))),"N/A")</f>
        <v/>
      </c>
      <c r="L175" s="52">
        <f>IFERROR(IF(INDEX('CI&amp;S'!$N$10:$N$15,MATCH($F175,'CI&amp;S'!$B$10:$B$15,0))="","Cell will autofill based on response",INDEX('CI&amp;S'!$N$10:$N$15,MATCH($F175,'CI&amp;S'!$B$10:$B$15,0))),"N/A")</f>
        <v/>
      </c>
      <c r="M175" s="52">
        <f>IFERROR(IF(INDEX('CI&amp;S'!$N$22:$N$36,MATCH($F175,'CI&amp;S'!$B$22:$B$36,0))="","Cell will autofill based on response",INDEX('CI&amp;S'!$N$22:$N$36,MATCH($F175,'CI&amp;S'!$B$22:$B$36,0))),"N/A")</f>
        <v/>
      </c>
      <c r="N175" s="52">
        <f>IFERROR(IF(INDEX('CFOG'!$N$10:$N$16,MATCH($F175,'CFOG'!$B$10:$B$16,0))="","Cell will autofill based on response",INDEX('CFOG'!$N$10:$N$16,MATCH($F175,'CFOG'!$B$10:$B$16,0))),"N/A")</f>
        <v/>
      </c>
      <c r="O175" s="52">
        <f>IFERROR(IF(INDEX('CFOG'!$N$23:$N$24,MATCH($F175,'CFOG'!$B$23:$B$24,0))="","Cell will autofill based on response",INDEX('CFOG'!$N$23:$N$24,MATCH($F175,'CFOG'!$B$23:$B$24,0))),"N/A")</f>
        <v/>
      </c>
      <c r="P175" s="52">
        <f>IFERROR(IF(INDEX('ESG'!$N$10:$N$17,MATCH($F175,'ESG'!$B$10:$B$17,0))="","Cell will autofill based on response",INDEX('ESG'!$N$10:$N$17,MATCH($F175,'ESG'!$B$10:$B$17,0))),"N/A")</f>
        <v/>
      </c>
      <c r="Q175" s="52">
        <f>IFERROR(IF(INDEX('CIOG'!$N$10:$N$14,MATCH($F175,'CIOG'!$B$10:$B$14,0))="","Cell will autofill based on response",INDEX('CIOG'!$N$10:$N$14,MATCH($F175,'CIOG'!$B$10:$B$14,0))),"N/A")</f>
        <v/>
      </c>
      <c r="R175" s="52">
        <f>IFERROR(IF(INDEX('MRE'!$N$10:$N$18,MATCH($F175,'MRE'!$B$10:$B$18,0))="","Cell will autofill based on response",INDEX('MRE'!$N$10:$N$18,MATCH($F175,'MRE'!$B$10:$B$18,0))),"N/A")</f>
        <v/>
      </c>
      <c r="S175" s="52">
        <f>IFERROR(IF(INDEX('AC&amp;M'!$N$10:$N$14,MATCH($F175,'AC&amp;M'!$B$10:$B$14,0))="","Cell will autofill based on response",INDEX('AC&amp;M'!$N$10:$N$14,MATCH($F175,'AC&amp;M'!$B$10:$B$14,0))),"N/A")</f>
        <v/>
      </c>
      <c r="T175" s="52">
        <f>IFERROR(IF(INDEX('GCE'!$N$10:$N$12,MATCH($F175,'GCE'!$B$10:$B$12,0))="","Cell will autofill based on response",INDEX('GCE'!$N$10:$N$12,MATCH($F175,'GCE'!$B$10:$B$12,0))),"N/A")</f>
        <v/>
      </c>
      <c r="U175" s="52">
        <f>IFERROR(IF(INDEX('Education'!$N$10:$N$13,MATCH($F175,'Education'!$B$10:$B$13,0))="","Cell will autofill based on response",INDEX('Education'!$N$10:$N$13,MATCH($F175,'Education'!$B$10:$B$13,0))),"N/A")</f>
        <v/>
      </c>
      <c r="V175" s="52">
        <f>IFERROR(IF(INDEX('SaSS'!$N$10:$N$12,MATCH($F175,'SaSS'!$B$10:$B$12,0))="","Cell will autofill based on response",INDEX('SaSS'!$N$10:$N$12,MATCH($F175,'SaSS'!$B$10:$B$12,0))),"N/A")</f>
        <v/>
      </c>
      <c r="W175" s="52">
        <f>IFERROR(IF(INDEX('Indigenous'!$N$10:$N$11,MATCH($F175,'Indigenous'!$B$10:$B$11,0))="","Cell will autofill based on response",INDEX('Indigenous'!$N$10:$N$11,MATCH($F175,'Indigenous'!$B$10:$B$11,0))),"N/A")</f>
        <v/>
      </c>
      <c r="X175" s="52">
        <f>IFERROR(IF(INDEX('L&amp;R'!$N$10:$N$11,MATCH($F175,'L&amp;R'!$B$10:$B$11,0))="","Cell will autofill based on response",INDEX('L&amp;R'!$N$10:$N$11,MATCH($F175,'L&amp;R'!$B$10:$B$11,0))),"N/A")</f>
        <v/>
      </c>
    </row>
    <row r="176">
      <c r="A176">
        <f>F176&amp;"|"&amp;G176</f>
        <v/>
      </c>
      <c r="B176" s="13" t="inlineStr"/>
      <c r="C176" s="8" t="inlineStr"/>
      <c r="D176" s="8" t="inlineStr"/>
      <c r="E176" s="8" t="inlineStr"/>
      <c r="F176" s="8" t="inlineStr">
        <is>
          <t>EI1(a)</t>
        </is>
      </c>
      <c r="G176" s="8" t="inlineStr">
        <is>
          <t>Supporting information/comments</t>
        </is>
      </c>
      <c r="H176" s="52">
        <f>IFERROR(IF(INDEX('Faculties'!$O$10:$O$19,MATCH($F176,'Faculties'!$B$10:$B$19,0))="","Cell will autofill based on response",INDEX('Faculties'!$O$10:$O$19,MATCH($F176,'Faculties'!$B$10:$B$19,0))),"N/A")</f>
        <v/>
      </c>
      <c r="I176" s="52">
        <f>IFERROR(IF(INDEX('Faculties'!$O$26:$O$35,MATCH($F176,'Faculties'!$B$26:$B$35,0))="","Cell will autofill based on response",INDEX('Faculties'!$O$26:$O$35,MATCH($F176,'Faculties'!$B$26:$B$35,0))),"N/A")</f>
        <v/>
      </c>
      <c r="J176" s="52">
        <f>IFERROR(IF(INDEX('Faculties'!$O$42:$O$51,MATCH($F176,'Faculties'!$B$42:$B$51,0))="","Cell will autofill based on response",INDEX('Faculties'!$O$42:$O$51,MATCH($F176,'Faculties'!$B$42:$B$51,0))),"N/A")</f>
        <v/>
      </c>
      <c r="K176" s="52">
        <f>IFERROR(IF(INDEX('Faculties'!$O$58:$O$67,MATCH($F176,'Faculties'!$B$58:$B$67,0))="","Cell will autofill based on response",INDEX('Faculties'!$O$58:$O$67,MATCH($F176,'Faculties'!$B$58:$B$67,0))),"N/A")</f>
        <v/>
      </c>
      <c r="L176" s="52">
        <f>IFERROR(IF(INDEX('CI&amp;S'!$O$10:$O$15,MATCH($F176,'CI&amp;S'!$B$10:$B$15,0))="","Cell will autofill based on response",INDEX('CI&amp;S'!$O$10:$O$15,MATCH($F176,'CI&amp;S'!$B$10:$B$15,0))),"N/A")</f>
        <v/>
      </c>
      <c r="M176" s="52">
        <f>IFERROR(IF(INDEX('CI&amp;S'!$O$22:$O$36,MATCH($F176,'CI&amp;S'!$B$22:$B$36,0))="","Cell will autofill based on response",INDEX('CI&amp;S'!$O$22:$O$36,MATCH($F176,'CI&amp;S'!$B$22:$B$36,0))),"N/A")</f>
        <v/>
      </c>
      <c r="N176" s="52">
        <f>IFERROR(IF(INDEX('CFOG'!$O$10:$O$16,MATCH($F176,'CFOG'!$B$10:$B$16,0))="","Cell will autofill based on response",INDEX('CFOG'!$O$10:$O$16,MATCH($F176,'CFOG'!$B$10:$B$16,0))),"N/A")</f>
        <v/>
      </c>
      <c r="O176" s="52">
        <f>IFERROR(IF(INDEX('CFOG'!$O$23:$O$24,MATCH($F176,'CFOG'!$B$23:$B$24,0))="","Cell will autofill based on response",INDEX('CFOG'!$O$23:$O$24,MATCH($F176,'CFOG'!$B$23:$B$24,0))),"N/A")</f>
        <v/>
      </c>
      <c r="P176" s="52">
        <f>IFERROR(IF(INDEX('ESG'!$O$10:$O$17,MATCH($F176,'ESG'!$B$10:$B$17,0))="","Cell will autofill based on response",INDEX('ESG'!$O$10:$O$17,MATCH($F176,'ESG'!$B$10:$B$17,0))),"N/A")</f>
        <v/>
      </c>
      <c r="Q176" s="52">
        <f>IFERROR(IF(INDEX('CIOG'!$O$10:$O$14,MATCH($F176,'CIOG'!$B$10:$B$14,0))="","Cell will autofill based on response",INDEX('CIOG'!$O$10:$O$14,MATCH($F176,'CIOG'!$B$10:$B$14,0))),"N/A")</f>
        <v/>
      </c>
      <c r="R176" s="52">
        <f>IFERROR(IF(INDEX('MRE'!$O$10:$O$18,MATCH($F176,'MRE'!$B$10:$B$18,0))="","Cell will autofill based on response",INDEX('MRE'!$O$10:$O$18,MATCH($F176,'MRE'!$B$10:$B$18,0))),"N/A")</f>
        <v/>
      </c>
      <c r="S176" s="52">
        <f>IFERROR(IF(INDEX('AC&amp;M'!$O$10:$O$14,MATCH($F176,'AC&amp;M'!$B$10:$B$14,0))="","Cell will autofill based on response",INDEX('AC&amp;M'!$O$10:$O$14,MATCH($F176,'AC&amp;M'!$B$10:$B$14,0))),"N/A")</f>
        <v/>
      </c>
      <c r="T176" s="52">
        <f>IFERROR(IF(INDEX('GCE'!$O$10:$O$12,MATCH($F176,'GCE'!$B$10:$B$12,0))="","Cell will autofill based on response",INDEX('GCE'!$O$10:$O$12,MATCH($F176,'GCE'!$B$10:$B$12,0))),"N/A")</f>
        <v/>
      </c>
      <c r="U176" s="52">
        <f>IFERROR(IF(INDEX('Education'!$O$10:$O$13,MATCH($F176,'Education'!$B$10:$B$13,0))="","Cell will autofill based on response",INDEX('Education'!$O$10:$O$13,MATCH($F176,'Education'!$B$10:$B$13,0))),"N/A")</f>
        <v/>
      </c>
      <c r="V176" s="52">
        <f>IFERROR(IF(INDEX('SaSS'!$O$10:$O$12,MATCH($F176,'SaSS'!$B$10:$B$12,0))="","Cell will autofill based on response",INDEX('SaSS'!$O$10:$O$12,MATCH($F176,'SaSS'!$B$10:$B$12,0))),"N/A")</f>
        <v/>
      </c>
      <c r="W176" s="52">
        <f>IFERROR(IF(INDEX('Indigenous'!$O$10:$O$11,MATCH($F176,'Indigenous'!$B$10:$B$11,0))="","Cell will autofill based on response",INDEX('Indigenous'!$O$10:$O$11,MATCH($F176,'Indigenous'!$B$10:$B$11,0))),"N/A")</f>
        <v/>
      </c>
      <c r="X176" s="52">
        <f>IFERROR(IF(INDEX('L&amp;R'!$O$10:$O$11,MATCH($F176,'L&amp;R'!$B$10:$B$11,0))="","Cell will autofill based on response",INDEX('L&amp;R'!$O$10:$O$11,MATCH($F176,'L&amp;R'!$B$10:$B$11,0))),"N/A")</f>
        <v/>
      </c>
    </row>
    <row r="177">
      <c r="A177">
        <f>F177&amp;"|"&amp;G177</f>
        <v/>
      </c>
      <c r="B177" s="13" t="inlineStr"/>
      <c r="C177" s="8" t="inlineStr"/>
      <c r="D177" s="8" t="inlineStr"/>
      <c r="E177" s="8" t="inlineStr"/>
      <c r="F177" s="8" t="inlineStr">
        <is>
          <t>EI1(a)</t>
        </is>
      </c>
      <c r="G177" s="8" t="inlineStr">
        <is>
          <t>Data source and limitations</t>
        </is>
      </c>
      <c r="H177" s="52">
        <f>IFERROR(IF(INDEX('Faculties'!$P$10:$P$19,MATCH($F177,'Faculties'!$B$10:$B$19,0))="","Cell will autofill based on response",INDEX('Faculties'!$P$10:$P$19,MATCH($F177,'Faculties'!$B$10:$B$19,0))),"N/A")</f>
        <v/>
      </c>
      <c r="I177" s="52">
        <f>IFERROR(IF(INDEX('Faculties'!$P$26:$P$35,MATCH($F177,'Faculties'!$B$26:$B$35,0))="","Cell will autofill based on response",INDEX('Faculties'!$P$26:$P$35,MATCH($F177,'Faculties'!$B$26:$B$35,0))),"N/A")</f>
        <v/>
      </c>
      <c r="J177" s="52">
        <f>IFERROR(IF(INDEX('Faculties'!$P$42:$P$51,MATCH($F177,'Faculties'!$B$42:$B$51,0))="","Cell will autofill based on response",INDEX('Faculties'!$P$42:$P$51,MATCH($F177,'Faculties'!$B$42:$B$51,0))),"N/A")</f>
        <v/>
      </c>
      <c r="K177" s="52">
        <f>IFERROR(IF(INDEX('Faculties'!$P$58:$P$67,MATCH($F177,'Faculties'!$B$58:$B$67,0))="","Cell will autofill based on response",INDEX('Faculties'!$P$58:$P$67,MATCH($F177,'Faculties'!$B$58:$B$67,0))),"N/A")</f>
        <v/>
      </c>
      <c r="L177" s="52">
        <f>IFERROR(IF(INDEX('CI&amp;S'!$P$10:$P$15,MATCH($F177,'CI&amp;S'!$B$10:$B$15,0))="","Cell will autofill based on response",INDEX('CI&amp;S'!$P$10:$P$15,MATCH($F177,'CI&amp;S'!$B$10:$B$15,0))),"N/A")</f>
        <v/>
      </c>
      <c r="M177" s="52">
        <f>IFERROR(IF(INDEX('CI&amp;S'!$P$22:$P$36,MATCH($F177,'CI&amp;S'!$B$22:$B$36,0))="","Cell will autofill based on response",INDEX('CI&amp;S'!$P$22:$P$36,MATCH($F177,'CI&amp;S'!$B$22:$B$36,0))),"N/A")</f>
        <v/>
      </c>
      <c r="N177" s="52">
        <f>IFERROR(IF(INDEX('CFOG'!$P$10:$P$16,MATCH($F177,'CFOG'!$B$10:$B$16,0))="","Cell will autofill based on response",INDEX('CFOG'!$P$10:$P$16,MATCH($F177,'CFOG'!$B$10:$B$16,0))),"N/A")</f>
        <v/>
      </c>
      <c r="O177" s="52">
        <f>IFERROR(IF(INDEX('CFOG'!$P$23:$P$24,MATCH($F177,'CFOG'!$B$23:$B$24,0))="","Cell will autofill based on response",INDEX('CFOG'!$P$23:$P$24,MATCH($F177,'CFOG'!$B$23:$B$24,0))),"N/A")</f>
        <v/>
      </c>
      <c r="P177" s="52">
        <f>IFERROR(IF(INDEX('ESG'!$P$10:$P$17,MATCH($F177,'ESG'!$B$10:$B$17,0))="","Cell will autofill based on response",INDEX('ESG'!$P$10:$P$17,MATCH($F177,'ESG'!$B$10:$B$17,0))),"N/A")</f>
        <v/>
      </c>
      <c r="Q177" s="52">
        <f>IFERROR(IF(INDEX('CIOG'!$P$10:$P$14,MATCH($F177,'CIOG'!$B$10:$B$14,0))="","Cell will autofill based on response",INDEX('CIOG'!$P$10:$P$14,MATCH($F177,'CIOG'!$B$10:$B$14,0))),"N/A")</f>
        <v/>
      </c>
      <c r="R177" s="52">
        <f>IFERROR(IF(INDEX('MRE'!$P$10:$P$18,MATCH($F177,'MRE'!$B$10:$B$18,0))="","Cell will autofill based on response",INDEX('MRE'!$P$10:$P$18,MATCH($F177,'MRE'!$B$10:$B$18,0))),"N/A")</f>
        <v/>
      </c>
      <c r="S177" s="52">
        <f>IFERROR(IF(INDEX('AC&amp;M'!$P$10:$P$14,MATCH($F177,'AC&amp;M'!$B$10:$B$14,0))="","Cell will autofill based on response",INDEX('AC&amp;M'!$P$10:$P$14,MATCH($F177,'AC&amp;M'!$B$10:$B$14,0))),"N/A")</f>
        <v/>
      </c>
      <c r="T177" s="52">
        <f>IFERROR(IF(INDEX('GCE'!$P$10:$P$12,MATCH($F177,'GCE'!$B$10:$B$12,0))="","Cell will autofill based on response",INDEX('GCE'!$P$10:$P$12,MATCH($F177,'GCE'!$B$10:$B$12,0))),"N/A")</f>
        <v/>
      </c>
      <c r="U177" s="52">
        <f>IFERROR(IF(INDEX('Education'!$P$10:$P$13,MATCH($F177,'Education'!$B$10:$B$13,0))="","Cell will autofill based on response",INDEX('Education'!$P$10:$P$13,MATCH($F177,'Education'!$B$10:$B$13,0))),"N/A")</f>
        <v/>
      </c>
      <c r="V177" s="52">
        <f>IFERROR(IF(INDEX('SaSS'!$P$10:$P$12,MATCH($F177,'SaSS'!$B$10:$B$12,0))="","Cell will autofill based on response",INDEX('SaSS'!$P$10:$P$12,MATCH($F177,'SaSS'!$B$10:$B$12,0))),"N/A")</f>
        <v/>
      </c>
      <c r="W177" s="52">
        <f>IFERROR(IF(INDEX('Indigenous'!$P$10:$P$11,MATCH($F177,'Indigenous'!$B$10:$B$11,0))="","Cell will autofill based on response",INDEX('Indigenous'!$P$10:$P$11,MATCH($F177,'Indigenous'!$B$10:$B$11,0))),"N/A")</f>
        <v/>
      </c>
      <c r="X177" s="52">
        <f>IFERROR(IF(INDEX('L&amp;R'!$P$10:$P$11,MATCH($F177,'L&amp;R'!$B$10:$B$11,0))="","Cell will autofill based on response",INDEX('L&amp;R'!$P$10:$P$11,MATCH($F177,'L&amp;R'!$B$10:$B$11,0))),"N/A")</f>
        <v/>
      </c>
    </row>
    <row r="178">
      <c r="A178">
        <f>F178&amp;"|"&amp;G178</f>
        <v/>
      </c>
      <c r="B178" s="13" t="inlineStr"/>
      <c r="C178" s="8" t="inlineStr"/>
      <c r="D178" s="8" t="inlineStr"/>
      <c r="E178" s="8" t="inlineStr"/>
      <c r="F178" s="8" t="inlineStr">
        <is>
          <t>EI1(a)</t>
        </is>
      </c>
      <c r="G178" s="8" t="inlineStr">
        <is>
          <t>Data owner confirms</t>
        </is>
      </c>
      <c r="H178" s="52">
        <f>IFERROR(IF(INDEX('Faculties'!$Q$10:$Q$19,MATCH($F178,'Faculties'!$B$10:$B$19,0))="","Cell will autofill based on response",INDEX('Faculties'!$Q$10:$Q$19,MATCH($F178,'Faculties'!$B$10:$B$19,0))),"N/A")</f>
        <v/>
      </c>
      <c r="I178" s="52">
        <f>IFERROR(IF(INDEX('Faculties'!$Q$26:$Q$35,MATCH($F178,'Faculties'!$B$26:$B$35,0))="","Cell will autofill based on response",INDEX('Faculties'!$Q$26:$Q$35,MATCH($F178,'Faculties'!$B$26:$B$35,0))),"N/A")</f>
        <v/>
      </c>
      <c r="J178" s="52">
        <f>IFERROR(IF(INDEX('Faculties'!$Q$42:$Q$51,MATCH($F178,'Faculties'!$B$42:$B$51,0))="","Cell will autofill based on response",INDEX('Faculties'!$Q$42:$Q$51,MATCH($F178,'Faculties'!$B$42:$B$51,0))),"N/A")</f>
        <v/>
      </c>
      <c r="K178" s="52">
        <f>IFERROR(IF(INDEX('Faculties'!$Q$58:$Q$67,MATCH($F178,'Faculties'!$B$58:$B$67,0))="","Cell will autofill based on response",INDEX('Faculties'!$Q$58:$Q$67,MATCH($F178,'Faculties'!$B$58:$B$67,0))),"N/A")</f>
        <v/>
      </c>
      <c r="L178" s="52">
        <f>IFERROR(IF(INDEX('CI&amp;S'!$Q$10:$Q$15,MATCH($F178,'CI&amp;S'!$B$10:$B$15,0))="","Cell will autofill based on response",INDEX('CI&amp;S'!$Q$10:$Q$15,MATCH($F178,'CI&amp;S'!$B$10:$B$15,0))),"N/A")</f>
        <v/>
      </c>
      <c r="M178" s="52">
        <f>IFERROR(IF(INDEX('CI&amp;S'!$Q$22:$Q$36,MATCH($F178,'CI&amp;S'!$B$22:$B$36,0))="","Cell will autofill based on response",INDEX('CI&amp;S'!$Q$22:$Q$36,MATCH($F178,'CI&amp;S'!$B$22:$B$36,0))),"N/A")</f>
        <v/>
      </c>
      <c r="N178" s="52">
        <f>IFERROR(IF(INDEX('CFOG'!$Q$10:$Q$16,MATCH($F178,'CFOG'!$B$10:$B$16,0))="","Cell will autofill based on response",INDEX('CFOG'!$Q$10:$Q$16,MATCH($F178,'CFOG'!$B$10:$B$16,0))),"N/A")</f>
        <v/>
      </c>
      <c r="O178" s="52">
        <f>IFERROR(IF(INDEX('CFOG'!$Q$23:$Q$24,MATCH($F178,'CFOG'!$B$23:$B$24,0))="","Cell will autofill based on response",INDEX('CFOG'!$Q$23:$Q$24,MATCH($F178,'CFOG'!$B$23:$B$24,0))),"N/A")</f>
        <v/>
      </c>
      <c r="P178" s="52">
        <f>IFERROR(IF(INDEX('ESG'!$Q$10:$Q$17,MATCH($F178,'ESG'!$B$10:$B$17,0))="","Cell will autofill based on response",INDEX('ESG'!$Q$10:$Q$17,MATCH($F178,'ESG'!$B$10:$B$17,0))),"N/A")</f>
        <v/>
      </c>
      <c r="Q178" s="52">
        <f>IFERROR(IF(INDEX('CIOG'!$Q$10:$Q$14,MATCH($F178,'CIOG'!$B$10:$B$14,0))="","Cell will autofill based on response",INDEX('CIOG'!$Q$10:$Q$14,MATCH($F178,'CIOG'!$B$10:$B$14,0))),"N/A")</f>
        <v/>
      </c>
      <c r="R178" s="52">
        <f>IFERROR(IF(INDEX('MRE'!$Q$10:$Q$18,MATCH($F178,'MRE'!$B$10:$B$18,0))="","Cell will autofill based on response",INDEX('MRE'!$Q$10:$Q$18,MATCH($F178,'MRE'!$B$10:$B$18,0))),"N/A")</f>
        <v/>
      </c>
      <c r="S178" s="52">
        <f>IFERROR(IF(INDEX('AC&amp;M'!$Q$10:$Q$14,MATCH($F178,'AC&amp;M'!$B$10:$B$14,0))="","Cell will autofill based on response",INDEX('AC&amp;M'!$Q$10:$Q$14,MATCH($F178,'AC&amp;M'!$B$10:$B$14,0))),"N/A")</f>
        <v/>
      </c>
      <c r="T178" s="52">
        <f>IFERROR(IF(INDEX('GCE'!$Q$10:$Q$12,MATCH($F178,'GCE'!$B$10:$B$12,0))="","Cell will autofill based on response",INDEX('GCE'!$Q$10:$Q$12,MATCH($F178,'GCE'!$B$10:$B$12,0))),"N/A")</f>
        <v/>
      </c>
      <c r="U178" s="52">
        <f>IFERROR(IF(INDEX('Education'!$Q$10:$Q$13,MATCH($F178,'Education'!$B$10:$B$13,0))="","Cell will autofill based on response",INDEX('Education'!$Q$10:$Q$13,MATCH($F178,'Education'!$B$10:$B$13,0))),"N/A")</f>
        <v/>
      </c>
      <c r="V178" s="52">
        <f>IFERROR(IF(INDEX('SaSS'!$Q$10:$Q$12,MATCH($F178,'SaSS'!$B$10:$B$12,0))="","Cell will autofill based on response",INDEX('SaSS'!$Q$10:$Q$12,MATCH($F178,'SaSS'!$B$10:$B$12,0))),"N/A")</f>
        <v/>
      </c>
      <c r="W178" s="52">
        <f>IFERROR(IF(INDEX('Indigenous'!$Q$10:$Q$11,MATCH($F178,'Indigenous'!$B$10:$B$11,0))="","Cell will autofill based on response",INDEX('Indigenous'!$Q$10:$Q$11,MATCH($F178,'Indigenous'!$B$10:$B$11,0))),"N/A")</f>
        <v/>
      </c>
      <c r="X178" s="52">
        <f>IFERROR(IF(INDEX('L&amp;R'!$Q$10:$Q$11,MATCH($F178,'L&amp;R'!$B$10:$B$11,0))="","Cell will autofill based on response",INDEX('L&amp;R'!$Q$10:$Q$11,MATCH($F178,'L&amp;R'!$B$10:$B$11,0))),"N/A")</f>
        <v/>
      </c>
    </row>
    <row r="179">
      <c r="A179">
        <f>F179&amp;"|"&amp;G179</f>
        <v/>
      </c>
      <c r="B179" s="7" t="inlineStr">
        <is>
          <t>EI1(b)</t>
        </is>
      </c>
      <c r="C179" s="50" t="inlineStr">
        <is>
          <t>Estate and infrastructure</t>
        </is>
      </c>
      <c r="D179" s="50" t="inlineStr">
        <is>
          <t>Estimated sustainability impacts of the University’s estate and infrastructure capital plan to inform progress towards emissions reduction targets and other priority areas (to the extent enabled by available information)</t>
        </is>
      </c>
      <c r="E179" s="50"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79" s="50" t="inlineStr">
        <is>
          <t>EI1(b)</t>
        </is>
      </c>
      <c r="G179" s="50" t="inlineStr">
        <is>
          <t>Confirm end-2026 target status</t>
        </is>
      </c>
      <c r="H179" s="52">
        <f>IFERROR(IF(INDEX('Faculties'!$L$10:$L$19,MATCH($F179,'Faculties'!$B$10:$B$19,0))="","Cell will autofill based on response",INDEX('Faculties'!$L$10:$L$19,MATCH($F179,'Faculties'!$B$10:$B$19,0))),"N/A")</f>
        <v/>
      </c>
      <c r="I179" s="52">
        <f>IFERROR(IF(INDEX('Faculties'!$L$26:$L$35,MATCH($F179,'Faculties'!$B$26:$B$35,0))="","Cell will autofill based on response",INDEX('Faculties'!$L$26:$L$35,MATCH($F179,'Faculties'!$B$26:$B$35,0))),"N/A")</f>
        <v/>
      </c>
      <c r="J179" s="52">
        <f>IFERROR(IF(INDEX('Faculties'!$L$42:$L$51,MATCH($F179,'Faculties'!$B$42:$B$51,0))="","Cell will autofill based on response",INDEX('Faculties'!$L$42:$L$51,MATCH($F179,'Faculties'!$B$42:$B$51,0))),"N/A")</f>
        <v/>
      </c>
      <c r="K179" s="52">
        <f>IFERROR(IF(INDEX('Faculties'!$L$58:$L$67,MATCH($F179,'Faculties'!$B$58:$B$67,0))="","Cell will autofill based on response",INDEX('Faculties'!$L$58:$L$67,MATCH($F179,'Faculties'!$B$58:$B$67,0))),"N/A")</f>
        <v/>
      </c>
      <c r="L179" s="52">
        <f>IFERROR(IF(INDEX('CI&amp;S'!$L$10:$L$15,MATCH($F179,'CI&amp;S'!$B$10:$B$15,0))="","Cell will autofill based on response",INDEX('CI&amp;S'!$L$10:$L$15,MATCH($F179,'CI&amp;S'!$B$10:$B$15,0))),"N/A")</f>
        <v/>
      </c>
      <c r="M179" s="52">
        <f>IFERROR(IF(INDEX('CI&amp;S'!$L$22:$L$36,MATCH($F179,'CI&amp;S'!$B$22:$B$36,0))="","Cell will autofill based on response",INDEX('CI&amp;S'!$L$22:$L$36,MATCH($F179,'CI&amp;S'!$B$22:$B$36,0))),"N/A")</f>
        <v/>
      </c>
      <c r="N179" s="52">
        <f>IFERROR(IF(INDEX('CFOG'!$L$10:$L$16,MATCH($F179,'CFOG'!$B$10:$B$16,0))="","Cell will autofill based on response",INDEX('CFOG'!$L$10:$L$16,MATCH($F179,'CFOG'!$B$10:$B$16,0))),"N/A")</f>
        <v/>
      </c>
      <c r="O179" s="52">
        <f>IFERROR(IF(INDEX('CFOG'!$L$23:$L$24,MATCH($F179,'CFOG'!$B$23:$B$24,0))="","Cell will autofill based on response",INDEX('CFOG'!$L$23:$L$24,MATCH($F179,'CFOG'!$B$23:$B$24,0))),"N/A")</f>
        <v/>
      </c>
      <c r="P179" s="52">
        <f>IFERROR(IF(INDEX('ESG'!$L$10:$L$17,MATCH($F179,'ESG'!$B$10:$B$17,0))="","Cell will autofill based on response",INDEX('ESG'!$L$10:$L$17,MATCH($F179,'ESG'!$B$10:$B$17,0))),"N/A")</f>
        <v/>
      </c>
      <c r="Q179" s="52">
        <f>IFERROR(IF(INDEX('CIOG'!$L$10:$L$14,MATCH($F179,'CIOG'!$B$10:$B$14,0))="","Cell will autofill based on response",INDEX('CIOG'!$L$10:$L$14,MATCH($F179,'CIOG'!$B$10:$B$14,0))),"N/A")</f>
        <v/>
      </c>
      <c r="R179" s="52">
        <f>IFERROR(IF(INDEX('MRE'!$L$10:$L$18,MATCH($F179,'MRE'!$B$10:$B$18,0))="","Cell will autofill based on response",INDEX('MRE'!$L$10:$L$18,MATCH($F179,'MRE'!$B$10:$B$18,0))),"N/A")</f>
        <v/>
      </c>
      <c r="S179" s="52">
        <f>IFERROR(IF(INDEX('AC&amp;M'!$L$10:$L$14,MATCH($F179,'AC&amp;M'!$B$10:$B$14,0))="","Cell will autofill based on response",INDEX('AC&amp;M'!$L$10:$L$14,MATCH($F179,'AC&amp;M'!$B$10:$B$14,0))),"N/A")</f>
        <v/>
      </c>
      <c r="T179" s="52">
        <f>IFERROR(IF(INDEX('GCE'!$L$10:$L$12,MATCH($F179,'GCE'!$B$10:$B$12,0))="","Cell will autofill based on response",INDEX('GCE'!$L$10:$L$12,MATCH($F179,'GCE'!$B$10:$B$12,0))),"N/A")</f>
        <v/>
      </c>
      <c r="U179" s="52">
        <f>IFERROR(IF(INDEX('Education'!$L$10:$L$13,MATCH($F179,'Education'!$B$10:$B$13,0))="","Cell will autofill based on response",INDEX('Education'!$L$10:$L$13,MATCH($F179,'Education'!$B$10:$B$13,0))),"N/A")</f>
        <v/>
      </c>
      <c r="V179" s="52">
        <f>IFERROR(IF(INDEX('SaSS'!$L$10:$L$12,MATCH($F179,'SaSS'!$B$10:$B$12,0))="","Cell will autofill based on response",INDEX('SaSS'!$L$10:$L$12,MATCH($F179,'SaSS'!$B$10:$B$12,0))),"N/A")</f>
        <v/>
      </c>
      <c r="W179" s="52">
        <f>IFERROR(IF(INDEX('Indigenous'!$L$10:$L$11,MATCH($F179,'Indigenous'!$B$10:$B$11,0))="","Cell will autofill based on response",INDEX('Indigenous'!$L$10:$L$11,MATCH($F179,'Indigenous'!$B$10:$B$11,0))),"N/A")</f>
        <v/>
      </c>
      <c r="X179" s="52">
        <f>IFERROR(IF(INDEX('L&amp;R'!$L$10:$L$11,MATCH($F179,'L&amp;R'!$B$10:$B$11,0))="","Cell will autofill based on response",INDEX('L&amp;R'!$L$10:$L$11,MATCH($F179,'L&amp;R'!$B$10:$B$11,0))),"N/A")</f>
        <v/>
      </c>
      <c r="Z179" s="10">
        <f>COUNTIF($H179:$X179,"Cell will autofill based on response")</f>
        <v/>
      </c>
      <c r="AA179" s="10">
        <f>COUNTIF($H179:$X179,"Not yet started")</f>
        <v/>
      </c>
      <c r="AB179" s="10">
        <f>COUNTIF($H179:$X179,"Not met")</f>
        <v/>
      </c>
      <c r="AC179" s="10">
        <f>COUNTIF($H179:$X179,"Partially met")</f>
        <v/>
      </c>
      <c r="AD179" s="10">
        <f>COUNTIF($H179:$X179,"Met or exceeded")</f>
        <v/>
      </c>
      <c r="AE179" s="10">
        <f>3*AD179+2*AC179+AB179</f>
        <v/>
      </c>
      <c r="AF179" s="10">
        <f>AD179+AC179+AB179+AA179</f>
        <v/>
      </c>
      <c r="AG179" s="53">
        <f>IF(AF179&gt;0,AE179/AF179,"No valid responses to date")</f>
        <v/>
      </c>
      <c r="AH179" s="10">
        <f>IF(ISNUMBER(AG179),INDEX(Lists!$G$2:$G$5,MATCH(ROUND(AG179,0),Lists!$H$2:$H$5,0)),"")</f>
        <v/>
      </c>
      <c r="AI179" s="54">
        <f>IF(AF179&gt;0,AD179/AF179,"")</f>
        <v/>
      </c>
      <c r="AJ179" s="54">
        <f>IF(AF179&gt;0,(AD179+AC179)/AF179,"")</f>
        <v/>
      </c>
      <c r="AK179" s="10">
        <f>IF(AF179=0,"",IF(AI179&gt;0.75,"Met or exceeded",IF(AJ179&gt;=0.5,"Partially met","Not met")))</f>
        <v/>
      </c>
    </row>
    <row r="180">
      <c r="A180">
        <f>F180&amp;"|"&amp;G180</f>
        <v/>
      </c>
      <c r="B180" s="13" t="inlineStr"/>
      <c r="C180" s="8" t="inlineStr"/>
      <c r="D180" s="8" t="inlineStr"/>
      <c r="E180" s="8" t="inlineStr"/>
      <c r="F180" s="8" t="inlineStr">
        <is>
          <t>EI1(b)</t>
        </is>
      </c>
      <c r="G180" s="8" t="inlineStr">
        <is>
          <t>OPTION 1:  Target-level reporting</t>
        </is>
      </c>
      <c r="H180" s="52">
        <f>IFERROR(IF(INDEX('Faculties'!$M$10:$M$19,MATCH($F180,'Faculties'!$B$10:$B$19,0))="","Cell will autofill based on response",INDEX('Faculties'!$M$10:$M$19,MATCH($F180,'Faculties'!$B$10:$B$19,0))),"N/A")</f>
        <v/>
      </c>
      <c r="I180" s="52">
        <f>IFERROR(IF(INDEX('Faculties'!$M$26:$M$35,MATCH($F180,'Faculties'!$B$26:$B$35,0))="","Cell will autofill based on response",INDEX('Faculties'!$M$26:$M$35,MATCH($F180,'Faculties'!$B$26:$B$35,0))),"N/A")</f>
        <v/>
      </c>
      <c r="J180" s="52">
        <f>IFERROR(IF(INDEX('Faculties'!$M$42:$M$51,MATCH($F180,'Faculties'!$B$42:$B$51,0))="","Cell will autofill based on response",INDEX('Faculties'!$M$42:$M$51,MATCH($F180,'Faculties'!$B$42:$B$51,0))),"N/A")</f>
        <v/>
      </c>
      <c r="K180" s="52">
        <f>IFERROR(IF(INDEX('Faculties'!$M$58:$M$67,MATCH($F180,'Faculties'!$B$58:$B$67,0))="","Cell will autofill based on response",INDEX('Faculties'!$M$58:$M$67,MATCH($F180,'Faculties'!$B$58:$B$67,0))),"N/A")</f>
        <v/>
      </c>
      <c r="L180" s="52">
        <f>IFERROR(IF(INDEX('CI&amp;S'!$M$10:$M$15,MATCH($F180,'CI&amp;S'!$B$10:$B$15,0))="","Cell will autofill based on response",INDEX('CI&amp;S'!$M$10:$M$15,MATCH($F180,'CI&amp;S'!$B$10:$B$15,0))),"N/A")</f>
        <v/>
      </c>
      <c r="M180" s="52">
        <f>IFERROR(IF(INDEX('CI&amp;S'!$M$22:$M$36,MATCH($F180,'CI&amp;S'!$B$22:$B$36,0))="","Cell will autofill based on response",INDEX('CI&amp;S'!$M$22:$M$36,MATCH($F180,'CI&amp;S'!$B$22:$B$36,0))),"N/A")</f>
        <v/>
      </c>
      <c r="N180" s="52">
        <f>IFERROR(IF(INDEX('CFOG'!$M$10:$M$16,MATCH($F180,'CFOG'!$B$10:$B$16,0))="","Cell will autofill based on response",INDEX('CFOG'!$M$10:$M$16,MATCH($F180,'CFOG'!$B$10:$B$16,0))),"N/A")</f>
        <v/>
      </c>
      <c r="O180" s="52">
        <f>IFERROR(IF(INDEX('CFOG'!$M$23:$M$24,MATCH($F180,'CFOG'!$B$23:$B$24,0))="","Cell will autofill based on response",INDEX('CFOG'!$M$23:$M$24,MATCH($F180,'CFOG'!$B$23:$B$24,0))),"N/A")</f>
        <v/>
      </c>
      <c r="P180" s="52">
        <f>IFERROR(IF(INDEX('ESG'!$M$10:$M$17,MATCH($F180,'ESG'!$B$10:$B$17,0))="","Cell will autofill based on response",INDEX('ESG'!$M$10:$M$17,MATCH($F180,'ESG'!$B$10:$B$17,0))),"N/A")</f>
        <v/>
      </c>
      <c r="Q180" s="52">
        <f>IFERROR(IF(INDEX('CIOG'!$M$10:$M$14,MATCH($F180,'CIOG'!$B$10:$B$14,0))="","Cell will autofill based on response",INDEX('CIOG'!$M$10:$M$14,MATCH($F180,'CIOG'!$B$10:$B$14,0))),"N/A")</f>
        <v/>
      </c>
      <c r="R180" s="52">
        <f>IFERROR(IF(INDEX('MRE'!$M$10:$M$18,MATCH($F180,'MRE'!$B$10:$B$18,0))="","Cell will autofill based on response",INDEX('MRE'!$M$10:$M$18,MATCH($F180,'MRE'!$B$10:$B$18,0))),"N/A")</f>
        <v/>
      </c>
      <c r="S180" s="52">
        <f>IFERROR(IF(INDEX('AC&amp;M'!$M$10:$M$14,MATCH($F180,'AC&amp;M'!$B$10:$B$14,0))="","Cell will autofill based on response",INDEX('AC&amp;M'!$M$10:$M$14,MATCH($F180,'AC&amp;M'!$B$10:$B$14,0))),"N/A")</f>
        <v/>
      </c>
      <c r="T180" s="52">
        <f>IFERROR(IF(INDEX('GCE'!$M$10:$M$12,MATCH($F180,'GCE'!$B$10:$B$12,0))="","Cell will autofill based on response",INDEX('GCE'!$M$10:$M$12,MATCH($F180,'GCE'!$B$10:$B$12,0))),"N/A")</f>
        <v/>
      </c>
      <c r="U180" s="52">
        <f>IFERROR(IF(INDEX('Education'!$M$10:$M$13,MATCH($F180,'Education'!$B$10:$B$13,0))="","Cell will autofill based on response",INDEX('Education'!$M$10:$M$13,MATCH($F180,'Education'!$B$10:$B$13,0))),"N/A")</f>
        <v/>
      </c>
      <c r="V180" s="52">
        <f>IFERROR(IF(INDEX('SaSS'!$M$10:$M$12,MATCH($F180,'SaSS'!$B$10:$B$12,0))="","Cell will autofill based on response",INDEX('SaSS'!$M$10:$M$12,MATCH($F180,'SaSS'!$B$10:$B$12,0))),"N/A")</f>
        <v/>
      </c>
      <c r="W180" s="52">
        <f>IFERROR(IF(INDEX('Indigenous'!$M$10:$M$11,MATCH($F180,'Indigenous'!$B$10:$B$11,0))="","Cell will autofill based on response",INDEX('Indigenous'!$M$10:$M$11,MATCH($F180,'Indigenous'!$B$10:$B$11,0))),"N/A")</f>
        <v/>
      </c>
      <c r="X180" s="52">
        <f>IFERROR(IF(INDEX('L&amp;R'!$M$10:$M$11,MATCH($F180,'L&amp;R'!$B$10:$B$11,0))="","Cell will autofill based on response",INDEX('L&amp;R'!$M$10:$M$11,MATCH($F180,'L&amp;R'!$B$10:$B$11,0))),"N/A")</f>
        <v/>
      </c>
    </row>
    <row r="181">
      <c r="A181">
        <f>F181&amp;"|"&amp;G181</f>
        <v/>
      </c>
      <c r="B181" s="13" t="inlineStr"/>
      <c r="C181" s="8" t="inlineStr"/>
      <c r="D181" s="8" t="inlineStr"/>
      <c r="E181" s="8" t="inlineStr"/>
      <c r="F181" s="8" t="inlineStr">
        <is>
          <t>EI1(b)</t>
        </is>
      </c>
      <c r="G181" s="8" t="inlineStr">
        <is>
          <t>OPTION 2:  Indicator level reporting</t>
        </is>
      </c>
      <c r="H181" s="52">
        <f>IFERROR(IF(INDEX('Faculties'!$N$10:$N$19,MATCH($F181,'Faculties'!$B$10:$B$19,0))="","Cell will autofill based on response",INDEX('Faculties'!$N$10:$N$19,MATCH($F181,'Faculties'!$B$10:$B$19,0))),"N/A")</f>
        <v/>
      </c>
      <c r="I181" s="52">
        <f>IFERROR(IF(INDEX('Faculties'!$N$26:$N$35,MATCH($F181,'Faculties'!$B$26:$B$35,0))="","Cell will autofill based on response",INDEX('Faculties'!$N$26:$N$35,MATCH($F181,'Faculties'!$B$26:$B$35,0))),"N/A")</f>
        <v/>
      </c>
      <c r="J181" s="52">
        <f>IFERROR(IF(INDEX('Faculties'!$N$42:$N$51,MATCH($F181,'Faculties'!$B$42:$B$51,0))="","Cell will autofill based on response",INDEX('Faculties'!$N$42:$N$51,MATCH($F181,'Faculties'!$B$42:$B$51,0))),"N/A")</f>
        <v/>
      </c>
      <c r="K181" s="52">
        <f>IFERROR(IF(INDEX('Faculties'!$N$58:$N$67,MATCH($F181,'Faculties'!$B$58:$B$67,0))="","Cell will autofill based on response",INDEX('Faculties'!$N$58:$N$67,MATCH($F181,'Faculties'!$B$58:$B$67,0))),"N/A")</f>
        <v/>
      </c>
      <c r="L181" s="52">
        <f>IFERROR(IF(INDEX('CI&amp;S'!$N$10:$N$15,MATCH($F181,'CI&amp;S'!$B$10:$B$15,0))="","Cell will autofill based on response",INDEX('CI&amp;S'!$N$10:$N$15,MATCH($F181,'CI&amp;S'!$B$10:$B$15,0))),"N/A")</f>
        <v/>
      </c>
      <c r="M181" s="52">
        <f>IFERROR(IF(INDEX('CI&amp;S'!$N$22:$N$36,MATCH($F181,'CI&amp;S'!$B$22:$B$36,0))="","Cell will autofill based on response",INDEX('CI&amp;S'!$N$22:$N$36,MATCH($F181,'CI&amp;S'!$B$22:$B$36,0))),"N/A")</f>
        <v/>
      </c>
      <c r="N181" s="52">
        <f>IFERROR(IF(INDEX('CFOG'!$N$10:$N$16,MATCH($F181,'CFOG'!$B$10:$B$16,0))="","Cell will autofill based on response",INDEX('CFOG'!$N$10:$N$16,MATCH($F181,'CFOG'!$B$10:$B$16,0))),"N/A")</f>
        <v/>
      </c>
      <c r="O181" s="52">
        <f>IFERROR(IF(INDEX('CFOG'!$N$23:$N$24,MATCH($F181,'CFOG'!$B$23:$B$24,0))="","Cell will autofill based on response",INDEX('CFOG'!$N$23:$N$24,MATCH($F181,'CFOG'!$B$23:$B$24,0))),"N/A")</f>
        <v/>
      </c>
      <c r="P181" s="52">
        <f>IFERROR(IF(INDEX('ESG'!$N$10:$N$17,MATCH($F181,'ESG'!$B$10:$B$17,0))="","Cell will autofill based on response",INDEX('ESG'!$N$10:$N$17,MATCH($F181,'ESG'!$B$10:$B$17,0))),"N/A")</f>
        <v/>
      </c>
      <c r="Q181" s="52">
        <f>IFERROR(IF(INDEX('CIOG'!$N$10:$N$14,MATCH($F181,'CIOG'!$B$10:$B$14,0))="","Cell will autofill based on response",INDEX('CIOG'!$N$10:$N$14,MATCH($F181,'CIOG'!$B$10:$B$14,0))),"N/A")</f>
        <v/>
      </c>
      <c r="R181" s="52">
        <f>IFERROR(IF(INDEX('MRE'!$N$10:$N$18,MATCH($F181,'MRE'!$B$10:$B$18,0))="","Cell will autofill based on response",INDEX('MRE'!$N$10:$N$18,MATCH($F181,'MRE'!$B$10:$B$18,0))),"N/A")</f>
        <v/>
      </c>
      <c r="S181" s="52">
        <f>IFERROR(IF(INDEX('AC&amp;M'!$N$10:$N$14,MATCH($F181,'AC&amp;M'!$B$10:$B$14,0))="","Cell will autofill based on response",INDEX('AC&amp;M'!$N$10:$N$14,MATCH($F181,'AC&amp;M'!$B$10:$B$14,0))),"N/A")</f>
        <v/>
      </c>
      <c r="T181" s="52">
        <f>IFERROR(IF(INDEX('GCE'!$N$10:$N$12,MATCH($F181,'GCE'!$B$10:$B$12,0))="","Cell will autofill based on response",INDEX('GCE'!$N$10:$N$12,MATCH($F181,'GCE'!$B$10:$B$12,0))),"N/A")</f>
        <v/>
      </c>
      <c r="U181" s="52">
        <f>IFERROR(IF(INDEX('Education'!$N$10:$N$13,MATCH($F181,'Education'!$B$10:$B$13,0))="","Cell will autofill based on response",INDEX('Education'!$N$10:$N$13,MATCH($F181,'Education'!$B$10:$B$13,0))),"N/A")</f>
        <v/>
      </c>
      <c r="V181" s="52">
        <f>IFERROR(IF(INDEX('SaSS'!$N$10:$N$12,MATCH($F181,'SaSS'!$B$10:$B$12,0))="","Cell will autofill based on response",INDEX('SaSS'!$N$10:$N$12,MATCH($F181,'SaSS'!$B$10:$B$12,0))),"N/A")</f>
        <v/>
      </c>
      <c r="W181" s="52">
        <f>IFERROR(IF(INDEX('Indigenous'!$N$10:$N$11,MATCH($F181,'Indigenous'!$B$10:$B$11,0))="","Cell will autofill based on response",INDEX('Indigenous'!$N$10:$N$11,MATCH($F181,'Indigenous'!$B$10:$B$11,0))),"N/A")</f>
        <v/>
      </c>
      <c r="X181" s="52">
        <f>IFERROR(IF(INDEX('L&amp;R'!$N$10:$N$11,MATCH($F181,'L&amp;R'!$B$10:$B$11,0))="","Cell will autofill based on response",INDEX('L&amp;R'!$N$10:$N$11,MATCH($F181,'L&amp;R'!$B$10:$B$11,0))),"N/A")</f>
        <v/>
      </c>
    </row>
    <row r="182">
      <c r="A182">
        <f>F182&amp;"|"&amp;G182</f>
        <v/>
      </c>
      <c r="B182" s="13" t="inlineStr"/>
      <c r="C182" s="8" t="inlineStr"/>
      <c r="D182" s="8" t="inlineStr"/>
      <c r="E182" s="8" t="inlineStr"/>
      <c r="F182" s="8" t="inlineStr">
        <is>
          <t>EI1(b)</t>
        </is>
      </c>
      <c r="G182" s="8" t="inlineStr">
        <is>
          <t>Supporting information/comments</t>
        </is>
      </c>
      <c r="H182" s="52">
        <f>IFERROR(IF(INDEX('Faculties'!$O$10:$O$19,MATCH($F182,'Faculties'!$B$10:$B$19,0))="","Cell will autofill based on response",INDEX('Faculties'!$O$10:$O$19,MATCH($F182,'Faculties'!$B$10:$B$19,0))),"N/A")</f>
        <v/>
      </c>
      <c r="I182" s="52">
        <f>IFERROR(IF(INDEX('Faculties'!$O$26:$O$35,MATCH($F182,'Faculties'!$B$26:$B$35,0))="","Cell will autofill based on response",INDEX('Faculties'!$O$26:$O$35,MATCH($F182,'Faculties'!$B$26:$B$35,0))),"N/A")</f>
        <v/>
      </c>
      <c r="J182" s="52">
        <f>IFERROR(IF(INDEX('Faculties'!$O$42:$O$51,MATCH($F182,'Faculties'!$B$42:$B$51,0))="","Cell will autofill based on response",INDEX('Faculties'!$O$42:$O$51,MATCH($F182,'Faculties'!$B$42:$B$51,0))),"N/A")</f>
        <v/>
      </c>
      <c r="K182" s="52">
        <f>IFERROR(IF(INDEX('Faculties'!$O$58:$O$67,MATCH($F182,'Faculties'!$B$58:$B$67,0))="","Cell will autofill based on response",INDEX('Faculties'!$O$58:$O$67,MATCH($F182,'Faculties'!$B$58:$B$67,0))),"N/A")</f>
        <v/>
      </c>
      <c r="L182" s="52">
        <f>IFERROR(IF(INDEX('CI&amp;S'!$O$10:$O$15,MATCH($F182,'CI&amp;S'!$B$10:$B$15,0))="","Cell will autofill based on response",INDEX('CI&amp;S'!$O$10:$O$15,MATCH($F182,'CI&amp;S'!$B$10:$B$15,0))),"N/A")</f>
        <v/>
      </c>
      <c r="M182" s="52">
        <f>IFERROR(IF(INDEX('CI&amp;S'!$O$22:$O$36,MATCH($F182,'CI&amp;S'!$B$22:$B$36,0))="","Cell will autofill based on response",INDEX('CI&amp;S'!$O$22:$O$36,MATCH($F182,'CI&amp;S'!$B$22:$B$36,0))),"N/A")</f>
        <v/>
      </c>
      <c r="N182" s="52">
        <f>IFERROR(IF(INDEX('CFOG'!$O$10:$O$16,MATCH($F182,'CFOG'!$B$10:$B$16,0))="","Cell will autofill based on response",INDEX('CFOG'!$O$10:$O$16,MATCH($F182,'CFOG'!$B$10:$B$16,0))),"N/A")</f>
        <v/>
      </c>
      <c r="O182" s="52">
        <f>IFERROR(IF(INDEX('CFOG'!$O$23:$O$24,MATCH($F182,'CFOG'!$B$23:$B$24,0))="","Cell will autofill based on response",INDEX('CFOG'!$O$23:$O$24,MATCH($F182,'CFOG'!$B$23:$B$24,0))),"N/A")</f>
        <v/>
      </c>
      <c r="P182" s="52">
        <f>IFERROR(IF(INDEX('ESG'!$O$10:$O$17,MATCH($F182,'ESG'!$B$10:$B$17,0))="","Cell will autofill based on response",INDEX('ESG'!$O$10:$O$17,MATCH($F182,'ESG'!$B$10:$B$17,0))),"N/A")</f>
        <v/>
      </c>
      <c r="Q182" s="52">
        <f>IFERROR(IF(INDEX('CIOG'!$O$10:$O$14,MATCH($F182,'CIOG'!$B$10:$B$14,0))="","Cell will autofill based on response",INDEX('CIOG'!$O$10:$O$14,MATCH($F182,'CIOG'!$B$10:$B$14,0))),"N/A")</f>
        <v/>
      </c>
      <c r="R182" s="52">
        <f>IFERROR(IF(INDEX('MRE'!$O$10:$O$18,MATCH($F182,'MRE'!$B$10:$B$18,0))="","Cell will autofill based on response",INDEX('MRE'!$O$10:$O$18,MATCH($F182,'MRE'!$B$10:$B$18,0))),"N/A")</f>
        <v/>
      </c>
      <c r="S182" s="52">
        <f>IFERROR(IF(INDEX('AC&amp;M'!$O$10:$O$14,MATCH($F182,'AC&amp;M'!$B$10:$B$14,0))="","Cell will autofill based on response",INDEX('AC&amp;M'!$O$10:$O$14,MATCH($F182,'AC&amp;M'!$B$10:$B$14,0))),"N/A")</f>
        <v/>
      </c>
      <c r="T182" s="52">
        <f>IFERROR(IF(INDEX('GCE'!$O$10:$O$12,MATCH($F182,'GCE'!$B$10:$B$12,0))="","Cell will autofill based on response",INDEX('GCE'!$O$10:$O$12,MATCH($F182,'GCE'!$B$10:$B$12,0))),"N/A")</f>
        <v/>
      </c>
      <c r="U182" s="52">
        <f>IFERROR(IF(INDEX('Education'!$O$10:$O$13,MATCH($F182,'Education'!$B$10:$B$13,0))="","Cell will autofill based on response",INDEX('Education'!$O$10:$O$13,MATCH($F182,'Education'!$B$10:$B$13,0))),"N/A")</f>
        <v/>
      </c>
      <c r="V182" s="52">
        <f>IFERROR(IF(INDEX('SaSS'!$O$10:$O$12,MATCH($F182,'SaSS'!$B$10:$B$12,0))="","Cell will autofill based on response",INDEX('SaSS'!$O$10:$O$12,MATCH($F182,'SaSS'!$B$10:$B$12,0))),"N/A")</f>
        <v/>
      </c>
      <c r="W182" s="52">
        <f>IFERROR(IF(INDEX('Indigenous'!$O$10:$O$11,MATCH($F182,'Indigenous'!$B$10:$B$11,0))="","Cell will autofill based on response",INDEX('Indigenous'!$O$10:$O$11,MATCH($F182,'Indigenous'!$B$10:$B$11,0))),"N/A")</f>
        <v/>
      </c>
      <c r="X182" s="52">
        <f>IFERROR(IF(INDEX('L&amp;R'!$O$10:$O$11,MATCH($F182,'L&amp;R'!$B$10:$B$11,0))="","Cell will autofill based on response",INDEX('L&amp;R'!$O$10:$O$11,MATCH($F182,'L&amp;R'!$B$10:$B$11,0))),"N/A")</f>
        <v/>
      </c>
    </row>
    <row r="183">
      <c r="A183">
        <f>F183&amp;"|"&amp;G183</f>
        <v/>
      </c>
      <c r="B183" s="13" t="inlineStr"/>
      <c r="C183" s="8" t="inlineStr"/>
      <c r="D183" s="8" t="inlineStr"/>
      <c r="E183" s="8" t="inlineStr"/>
      <c r="F183" s="8" t="inlineStr">
        <is>
          <t>EI1(b)</t>
        </is>
      </c>
      <c r="G183" s="8" t="inlineStr">
        <is>
          <t>Data source and limitations</t>
        </is>
      </c>
      <c r="H183" s="52">
        <f>IFERROR(IF(INDEX('Faculties'!$P$10:$P$19,MATCH($F183,'Faculties'!$B$10:$B$19,0))="","Cell will autofill based on response",INDEX('Faculties'!$P$10:$P$19,MATCH($F183,'Faculties'!$B$10:$B$19,0))),"N/A")</f>
        <v/>
      </c>
      <c r="I183" s="52">
        <f>IFERROR(IF(INDEX('Faculties'!$P$26:$P$35,MATCH($F183,'Faculties'!$B$26:$B$35,0))="","Cell will autofill based on response",INDEX('Faculties'!$P$26:$P$35,MATCH($F183,'Faculties'!$B$26:$B$35,0))),"N/A")</f>
        <v/>
      </c>
      <c r="J183" s="52">
        <f>IFERROR(IF(INDEX('Faculties'!$P$42:$P$51,MATCH($F183,'Faculties'!$B$42:$B$51,0))="","Cell will autofill based on response",INDEX('Faculties'!$P$42:$P$51,MATCH($F183,'Faculties'!$B$42:$B$51,0))),"N/A")</f>
        <v/>
      </c>
      <c r="K183" s="52">
        <f>IFERROR(IF(INDEX('Faculties'!$P$58:$P$67,MATCH($F183,'Faculties'!$B$58:$B$67,0))="","Cell will autofill based on response",INDEX('Faculties'!$P$58:$P$67,MATCH($F183,'Faculties'!$B$58:$B$67,0))),"N/A")</f>
        <v/>
      </c>
      <c r="L183" s="52">
        <f>IFERROR(IF(INDEX('CI&amp;S'!$P$10:$P$15,MATCH($F183,'CI&amp;S'!$B$10:$B$15,0))="","Cell will autofill based on response",INDEX('CI&amp;S'!$P$10:$P$15,MATCH($F183,'CI&amp;S'!$B$10:$B$15,0))),"N/A")</f>
        <v/>
      </c>
      <c r="M183" s="52">
        <f>IFERROR(IF(INDEX('CI&amp;S'!$P$22:$P$36,MATCH($F183,'CI&amp;S'!$B$22:$B$36,0))="","Cell will autofill based on response",INDEX('CI&amp;S'!$P$22:$P$36,MATCH($F183,'CI&amp;S'!$B$22:$B$36,0))),"N/A")</f>
        <v/>
      </c>
      <c r="N183" s="52">
        <f>IFERROR(IF(INDEX('CFOG'!$P$10:$P$16,MATCH($F183,'CFOG'!$B$10:$B$16,0))="","Cell will autofill based on response",INDEX('CFOG'!$P$10:$P$16,MATCH($F183,'CFOG'!$B$10:$B$16,0))),"N/A")</f>
        <v/>
      </c>
      <c r="O183" s="52">
        <f>IFERROR(IF(INDEX('CFOG'!$P$23:$P$24,MATCH($F183,'CFOG'!$B$23:$B$24,0))="","Cell will autofill based on response",INDEX('CFOG'!$P$23:$P$24,MATCH($F183,'CFOG'!$B$23:$B$24,0))),"N/A")</f>
        <v/>
      </c>
      <c r="P183" s="52">
        <f>IFERROR(IF(INDEX('ESG'!$P$10:$P$17,MATCH($F183,'ESG'!$B$10:$B$17,0))="","Cell will autofill based on response",INDEX('ESG'!$P$10:$P$17,MATCH($F183,'ESG'!$B$10:$B$17,0))),"N/A")</f>
        <v/>
      </c>
      <c r="Q183" s="52">
        <f>IFERROR(IF(INDEX('CIOG'!$P$10:$P$14,MATCH($F183,'CIOG'!$B$10:$B$14,0))="","Cell will autofill based on response",INDEX('CIOG'!$P$10:$P$14,MATCH($F183,'CIOG'!$B$10:$B$14,0))),"N/A")</f>
        <v/>
      </c>
      <c r="R183" s="52">
        <f>IFERROR(IF(INDEX('MRE'!$P$10:$P$18,MATCH($F183,'MRE'!$B$10:$B$18,0))="","Cell will autofill based on response",INDEX('MRE'!$P$10:$P$18,MATCH($F183,'MRE'!$B$10:$B$18,0))),"N/A")</f>
        <v/>
      </c>
      <c r="S183" s="52">
        <f>IFERROR(IF(INDEX('AC&amp;M'!$P$10:$P$14,MATCH($F183,'AC&amp;M'!$B$10:$B$14,0))="","Cell will autofill based on response",INDEX('AC&amp;M'!$P$10:$P$14,MATCH($F183,'AC&amp;M'!$B$10:$B$14,0))),"N/A")</f>
        <v/>
      </c>
      <c r="T183" s="52">
        <f>IFERROR(IF(INDEX('GCE'!$P$10:$P$12,MATCH($F183,'GCE'!$B$10:$B$12,0))="","Cell will autofill based on response",INDEX('GCE'!$P$10:$P$12,MATCH($F183,'GCE'!$B$10:$B$12,0))),"N/A")</f>
        <v/>
      </c>
      <c r="U183" s="52">
        <f>IFERROR(IF(INDEX('Education'!$P$10:$P$13,MATCH($F183,'Education'!$B$10:$B$13,0))="","Cell will autofill based on response",INDEX('Education'!$P$10:$P$13,MATCH($F183,'Education'!$B$10:$B$13,0))),"N/A")</f>
        <v/>
      </c>
      <c r="V183" s="52">
        <f>IFERROR(IF(INDEX('SaSS'!$P$10:$P$12,MATCH($F183,'SaSS'!$B$10:$B$12,0))="","Cell will autofill based on response",INDEX('SaSS'!$P$10:$P$12,MATCH($F183,'SaSS'!$B$10:$B$12,0))),"N/A")</f>
        <v/>
      </c>
      <c r="W183" s="52">
        <f>IFERROR(IF(INDEX('Indigenous'!$P$10:$P$11,MATCH($F183,'Indigenous'!$B$10:$B$11,0))="","Cell will autofill based on response",INDEX('Indigenous'!$P$10:$P$11,MATCH($F183,'Indigenous'!$B$10:$B$11,0))),"N/A")</f>
        <v/>
      </c>
      <c r="X183" s="52">
        <f>IFERROR(IF(INDEX('L&amp;R'!$P$10:$P$11,MATCH($F183,'L&amp;R'!$B$10:$B$11,0))="","Cell will autofill based on response",INDEX('L&amp;R'!$P$10:$P$11,MATCH($F183,'L&amp;R'!$B$10:$B$11,0))),"N/A")</f>
        <v/>
      </c>
    </row>
    <row r="184">
      <c r="A184">
        <f>F184&amp;"|"&amp;G184</f>
        <v/>
      </c>
      <c r="B184" s="13" t="inlineStr"/>
      <c r="C184" s="8" t="inlineStr"/>
      <c r="D184" s="8" t="inlineStr"/>
      <c r="E184" s="8" t="inlineStr"/>
      <c r="F184" s="8" t="inlineStr">
        <is>
          <t>EI1(b)</t>
        </is>
      </c>
      <c r="G184" s="8" t="inlineStr">
        <is>
          <t>Data owner confirms</t>
        </is>
      </c>
      <c r="H184" s="52">
        <f>IFERROR(IF(INDEX('Faculties'!$Q$10:$Q$19,MATCH($F184,'Faculties'!$B$10:$B$19,0))="","Cell will autofill based on response",INDEX('Faculties'!$Q$10:$Q$19,MATCH($F184,'Faculties'!$B$10:$B$19,0))),"N/A")</f>
        <v/>
      </c>
      <c r="I184" s="52">
        <f>IFERROR(IF(INDEX('Faculties'!$Q$26:$Q$35,MATCH($F184,'Faculties'!$B$26:$B$35,0))="","Cell will autofill based on response",INDEX('Faculties'!$Q$26:$Q$35,MATCH($F184,'Faculties'!$B$26:$B$35,0))),"N/A")</f>
        <v/>
      </c>
      <c r="J184" s="52">
        <f>IFERROR(IF(INDEX('Faculties'!$Q$42:$Q$51,MATCH($F184,'Faculties'!$B$42:$B$51,0))="","Cell will autofill based on response",INDEX('Faculties'!$Q$42:$Q$51,MATCH($F184,'Faculties'!$B$42:$B$51,0))),"N/A")</f>
        <v/>
      </c>
      <c r="K184" s="52">
        <f>IFERROR(IF(INDEX('Faculties'!$Q$58:$Q$67,MATCH($F184,'Faculties'!$B$58:$B$67,0))="","Cell will autofill based on response",INDEX('Faculties'!$Q$58:$Q$67,MATCH($F184,'Faculties'!$B$58:$B$67,0))),"N/A")</f>
        <v/>
      </c>
      <c r="L184" s="52">
        <f>IFERROR(IF(INDEX('CI&amp;S'!$Q$10:$Q$15,MATCH($F184,'CI&amp;S'!$B$10:$B$15,0))="","Cell will autofill based on response",INDEX('CI&amp;S'!$Q$10:$Q$15,MATCH($F184,'CI&amp;S'!$B$10:$B$15,0))),"N/A")</f>
        <v/>
      </c>
      <c r="M184" s="52">
        <f>IFERROR(IF(INDEX('CI&amp;S'!$Q$22:$Q$36,MATCH($F184,'CI&amp;S'!$B$22:$B$36,0))="","Cell will autofill based on response",INDEX('CI&amp;S'!$Q$22:$Q$36,MATCH($F184,'CI&amp;S'!$B$22:$B$36,0))),"N/A")</f>
        <v/>
      </c>
      <c r="N184" s="52">
        <f>IFERROR(IF(INDEX('CFOG'!$Q$10:$Q$16,MATCH($F184,'CFOG'!$B$10:$B$16,0))="","Cell will autofill based on response",INDEX('CFOG'!$Q$10:$Q$16,MATCH($F184,'CFOG'!$B$10:$B$16,0))),"N/A")</f>
        <v/>
      </c>
      <c r="O184" s="52">
        <f>IFERROR(IF(INDEX('CFOG'!$Q$23:$Q$24,MATCH($F184,'CFOG'!$B$23:$B$24,0))="","Cell will autofill based on response",INDEX('CFOG'!$Q$23:$Q$24,MATCH($F184,'CFOG'!$B$23:$B$24,0))),"N/A")</f>
        <v/>
      </c>
      <c r="P184" s="52">
        <f>IFERROR(IF(INDEX('ESG'!$Q$10:$Q$17,MATCH($F184,'ESG'!$B$10:$B$17,0))="","Cell will autofill based on response",INDEX('ESG'!$Q$10:$Q$17,MATCH($F184,'ESG'!$B$10:$B$17,0))),"N/A")</f>
        <v/>
      </c>
      <c r="Q184" s="52">
        <f>IFERROR(IF(INDEX('CIOG'!$Q$10:$Q$14,MATCH($F184,'CIOG'!$B$10:$B$14,0))="","Cell will autofill based on response",INDEX('CIOG'!$Q$10:$Q$14,MATCH($F184,'CIOG'!$B$10:$B$14,0))),"N/A")</f>
        <v/>
      </c>
      <c r="R184" s="52">
        <f>IFERROR(IF(INDEX('MRE'!$Q$10:$Q$18,MATCH($F184,'MRE'!$B$10:$B$18,0))="","Cell will autofill based on response",INDEX('MRE'!$Q$10:$Q$18,MATCH($F184,'MRE'!$B$10:$B$18,0))),"N/A")</f>
        <v/>
      </c>
      <c r="S184" s="52">
        <f>IFERROR(IF(INDEX('AC&amp;M'!$Q$10:$Q$14,MATCH($F184,'AC&amp;M'!$B$10:$B$14,0))="","Cell will autofill based on response",INDEX('AC&amp;M'!$Q$10:$Q$14,MATCH($F184,'AC&amp;M'!$B$10:$B$14,0))),"N/A")</f>
        <v/>
      </c>
      <c r="T184" s="52">
        <f>IFERROR(IF(INDEX('GCE'!$Q$10:$Q$12,MATCH($F184,'GCE'!$B$10:$B$12,0))="","Cell will autofill based on response",INDEX('GCE'!$Q$10:$Q$12,MATCH($F184,'GCE'!$B$10:$B$12,0))),"N/A")</f>
        <v/>
      </c>
      <c r="U184" s="52">
        <f>IFERROR(IF(INDEX('Education'!$Q$10:$Q$13,MATCH($F184,'Education'!$B$10:$B$13,0))="","Cell will autofill based on response",INDEX('Education'!$Q$10:$Q$13,MATCH($F184,'Education'!$B$10:$B$13,0))),"N/A")</f>
        <v/>
      </c>
      <c r="V184" s="52">
        <f>IFERROR(IF(INDEX('SaSS'!$Q$10:$Q$12,MATCH($F184,'SaSS'!$B$10:$B$12,0))="","Cell will autofill based on response",INDEX('SaSS'!$Q$10:$Q$12,MATCH($F184,'SaSS'!$B$10:$B$12,0))),"N/A")</f>
        <v/>
      </c>
      <c r="W184" s="52">
        <f>IFERROR(IF(INDEX('Indigenous'!$Q$10:$Q$11,MATCH($F184,'Indigenous'!$B$10:$B$11,0))="","Cell will autofill based on response",INDEX('Indigenous'!$Q$10:$Q$11,MATCH($F184,'Indigenous'!$B$10:$B$11,0))),"N/A")</f>
        <v/>
      </c>
      <c r="X184" s="52">
        <f>IFERROR(IF(INDEX('L&amp;R'!$Q$10:$Q$11,MATCH($F184,'L&amp;R'!$B$10:$B$11,0))="","Cell will autofill based on response",INDEX('L&amp;R'!$Q$10:$Q$11,MATCH($F184,'L&amp;R'!$B$10:$B$11,0))),"N/A")</f>
        <v/>
      </c>
    </row>
    <row r="185">
      <c r="A185">
        <f>F185&amp;"|"&amp;G185</f>
        <v/>
      </c>
      <c r="B185" s="7" t="inlineStr">
        <is>
          <t>EI1(c)</t>
        </is>
      </c>
      <c r="C185" s="50" t="inlineStr">
        <is>
          <t>Estate and infrastructure</t>
        </is>
      </c>
      <c r="D185" s="50" t="inlineStr">
        <is>
          <t>Reporting on relevant activities and impacts for the University’s major estate and infrastructure projects and programs aligned with the other priority areas in Sustainability 2030</t>
        </is>
      </c>
      <c r="E185" s="50"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85" s="50" t="inlineStr">
        <is>
          <t>EI1(c)</t>
        </is>
      </c>
      <c r="G185" s="50" t="inlineStr">
        <is>
          <t>Confirm end-2026 target status</t>
        </is>
      </c>
      <c r="H185" s="52">
        <f>IFERROR(IF(INDEX('Faculties'!$L$10:$L$19,MATCH($F185,'Faculties'!$B$10:$B$19,0))="","Cell will autofill based on response",INDEX('Faculties'!$L$10:$L$19,MATCH($F185,'Faculties'!$B$10:$B$19,0))),"N/A")</f>
        <v/>
      </c>
      <c r="I185" s="52">
        <f>IFERROR(IF(INDEX('Faculties'!$L$26:$L$35,MATCH($F185,'Faculties'!$B$26:$B$35,0))="","Cell will autofill based on response",INDEX('Faculties'!$L$26:$L$35,MATCH($F185,'Faculties'!$B$26:$B$35,0))),"N/A")</f>
        <v/>
      </c>
      <c r="J185" s="52">
        <f>IFERROR(IF(INDEX('Faculties'!$L$42:$L$51,MATCH($F185,'Faculties'!$B$42:$B$51,0))="","Cell will autofill based on response",INDEX('Faculties'!$L$42:$L$51,MATCH($F185,'Faculties'!$B$42:$B$51,0))),"N/A")</f>
        <v/>
      </c>
      <c r="K185" s="52">
        <f>IFERROR(IF(INDEX('Faculties'!$L$58:$L$67,MATCH($F185,'Faculties'!$B$58:$B$67,0))="","Cell will autofill based on response",INDEX('Faculties'!$L$58:$L$67,MATCH($F185,'Faculties'!$B$58:$B$67,0))),"N/A")</f>
        <v/>
      </c>
      <c r="L185" s="52">
        <f>IFERROR(IF(INDEX('CI&amp;S'!$L$10:$L$15,MATCH($F185,'CI&amp;S'!$B$10:$B$15,0))="","Cell will autofill based on response",INDEX('CI&amp;S'!$L$10:$L$15,MATCH($F185,'CI&amp;S'!$B$10:$B$15,0))),"N/A")</f>
        <v/>
      </c>
      <c r="M185" s="52">
        <f>IFERROR(IF(INDEX('CI&amp;S'!$L$22:$L$36,MATCH($F185,'CI&amp;S'!$B$22:$B$36,0))="","Cell will autofill based on response",INDEX('CI&amp;S'!$L$22:$L$36,MATCH($F185,'CI&amp;S'!$B$22:$B$36,0))),"N/A")</f>
        <v/>
      </c>
      <c r="N185" s="52">
        <f>IFERROR(IF(INDEX('CFOG'!$L$10:$L$16,MATCH($F185,'CFOG'!$B$10:$B$16,0))="","Cell will autofill based on response",INDEX('CFOG'!$L$10:$L$16,MATCH($F185,'CFOG'!$B$10:$B$16,0))),"N/A")</f>
        <v/>
      </c>
      <c r="O185" s="52">
        <f>IFERROR(IF(INDEX('CFOG'!$L$23:$L$24,MATCH($F185,'CFOG'!$B$23:$B$24,0))="","Cell will autofill based on response",INDEX('CFOG'!$L$23:$L$24,MATCH($F185,'CFOG'!$B$23:$B$24,0))),"N/A")</f>
        <v/>
      </c>
      <c r="P185" s="52">
        <f>IFERROR(IF(INDEX('ESG'!$L$10:$L$17,MATCH($F185,'ESG'!$B$10:$B$17,0))="","Cell will autofill based on response",INDEX('ESG'!$L$10:$L$17,MATCH($F185,'ESG'!$B$10:$B$17,0))),"N/A")</f>
        <v/>
      </c>
      <c r="Q185" s="52">
        <f>IFERROR(IF(INDEX('CIOG'!$L$10:$L$14,MATCH($F185,'CIOG'!$B$10:$B$14,0))="","Cell will autofill based on response",INDEX('CIOG'!$L$10:$L$14,MATCH($F185,'CIOG'!$B$10:$B$14,0))),"N/A")</f>
        <v/>
      </c>
      <c r="R185" s="52">
        <f>IFERROR(IF(INDEX('MRE'!$L$10:$L$18,MATCH($F185,'MRE'!$B$10:$B$18,0))="","Cell will autofill based on response",INDEX('MRE'!$L$10:$L$18,MATCH($F185,'MRE'!$B$10:$B$18,0))),"N/A")</f>
        <v/>
      </c>
      <c r="S185" s="52">
        <f>IFERROR(IF(INDEX('AC&amp;M'!$L$10:$L$14,MATCH($F185,'AC&amp;M'!$B$10:$B$14,0))="","Cell will autofill based on response",INDEX('AC&amp;M'!$L$10:$L$14,MATCH($F185,'AC&amp;M'!$B$10:$B$14,0))),"N/A")</f>
        <v/>
      </c>
      <c r="T185" s="52">
        <f>IFERROR(IF(INDEX('GCE'!$L$10:$L$12,MATCH($F185,'GCE'!$B$10:$B$12,0))="","Cell will autofill based on response",INDEX('GCE'!$L$10:$L$12,MATCH($F185,'GCE'!$B$10:$B$12,0))),"N/A")</f>
        <v/>
      </c>
      <c r="U185" s="52">
        <f>IFERROR(IF(INDEX('Education'!$L$10:$L$13,MATCH($F185,'Education'!$B$10:$B$13,0))="","Cell will autofill based on response",INDEX('Education'!$L$10:$L$13,MATCH($F185,'Education'!$B$10:$B$13,0))),"N/A")</f>
        <v/>
      </c>
      <c r="V185" s="52">
        <f>IFERROR(IF(INDEX('SaSS'!$L$10:$L$12,MATCH($F185,'SaSS'!$B$10:$B$12,0))="","Cell will autofill based on response",INDEX('SaSS'!$L$10:$L$12,MATCH($F185,'SaSS'!$B$10:$B$12,0))),"N/A")</f>
        <v/>
      </c>
      <c r="W185" s="52">
        <f>IFERROR(IF(INDEX('Indigenous'!$L$10:$L$11,MATCH($F185,'Indigenous'!$B$10:$B$11,0))="","Cell will autofill based on response",INDEX('Indigenous'!$L$10:$L$11,MATCH($F185,'Indigenous'!$B$10:$B$11,0))),"N/A")</f>
        <v/>
      </c>
      <c r="X185" s="52">
        <f>IFERROR(IF(INDEX('L&amp;R'!$L$10:$L$11,MATCH($F185,'L&amp;R'!$B$10:$B$11,0))="","Cell will autofill based on response",INDEX('L&amp;R'!$L$10:$L$11,MATCH($F185,'L&amp;R'!$B$10:$B$11,0))),"N/A")</f>
        <v/>
      </c>
      <c r="Z185" s="10">
        <f>COUNTIF($H185:$X185,"Cell will autofill based on response")</f>
        <v/>
      </c>
      <c r="AA185" s="10">
        <f>COUNTIF($H185:$X185,"Not yet started")</f>
        <v/>
      </c>
      <c r="AB185" s="10">
        <f>COUNTIF($H185:$X185,"Not met")</f>
        <v/>
      </c>
      <c r="AC185" s="10">
        <f>COUNTIF($H185:$X185,"Partially met")</f>
        <v/>
      </c>
      <c r="AD185" s="10">
        <f>COUNTIF($H185:$X185,"Met or exceeded")</f>
        <v/>
      </c>
      <c r="AE185" s="10">
        <f>3*AD185+2*AC185+AB185</f>
        <v/>
      </c>
      <c r="AF185" s="10">
        <f>AD185+AC185+AB185+AA185</f>
        <v/>
      </c>
      <c r="AG185" s="53">
        <f>IF(AF185&gt;0,AE185/AF185,"No valid responses to date")</f>
        <v/>
      </c>
      <c r="AH185" s="10">
        <f>IF(ISNUMBER(AG185),INDEX(Lists!$G$2:$G$5,MATCH(ROUND(AG185,0),Lists!$H$2:$H$5,0)),"")</f>
        <v/>
      </c>
      <c r="AI185" s="54">
        <f>IF(AF185&gt;0,AD185/AF185,"")</f>
        <v/>
      </c>
      <c r="AJ185" s="54">
        <f>IF(AF185&gt;0,(AD185+AC185)/AF185,"")</f>
        <v/>
      </c>
      <c r="AK185" s="10">
        <f>IF(AF185=0,"",IF(AI185&gt;0.75,"Met or exceeded",IF(AJ185&gt;=0.5,"Partially met","Not met")))</f>
        <v/>
      </c>
    </row>
    <row r="186">
      <c r="A186">
        <f>F186&amp;"|"&amp;G186</f>
        <v/>
      </c>
      <c r="B186" s="13" t="inlineStr"/>
      <c r="C186" s="8" t="inlineStr"/>
      <c r="D186" s="8" t="inlineStr"/>
      <c r="E186" s="8" t="inlineStr"/>
      <c r="F186" s="8" t="inlineStr">
        <is>
          <t>EI1(c)</t>
        </is>
      </c>
      <c r="G186" s="8" t="inlineStr">
        <is>
          <t>OPTION 1:  Target-level reporting</t>
        </is>
      </c>
      <c r="H186" s="52">
        <f>IFERROR(IF(INDEX('Faculties'!$M$10:$M$19,MATCH($F186,'Faculties'!$B$10:$B$19,0))="","Cell will autofill based on response",INDEX('Faculties'!$M$10:$M$19,MATCH($F186,'Faculties'!$B$10:$B$19,0))),"N/A")</f>
        <v/>
      </c>
      <c r="I186" s="52">
        <f>IFERROR(IF(INDEX('Faculties'!$M$26:$M$35,MATCH($F186,'Faculties'!$B$26:$B$35,0))="","Cell will autofill based on response",INDEX('Faculties'!$M$26:$M$35,MATCH($F186,'Faculties'!$B$26:$B$35,0))),"N/A")</f>
        <v/>
      </c>
      <c r="J186" s="52">
        <f>IFERROR(IF(INDEX('Faculties'!$M$42:$M$51,MATCH($F186,'Faculties'!$B$42:$B$51,0))="","Cell will autofill based on response",INDEX('Faculties'!$M$42:$M$51,MATCH($F186,'Faculties'!$B$42:$B$51,0))),"N/A")</f>
        <v/>
      </c>
      <c r="K186" s="52">
        <f>IFERROR(IF(INDEX('Faculties'!$M$58:$M$67,MATCH($F186,'Faculties'!$B$58:$B$67,0))="","Cell will autofill based on response",INDEX('Faculties'!$M$58:$M$67,MATCH($F186,'Faculties'!$B$58:$B$67,0))),"N/A")</f>
        <v/>
      </c>
      <c r="L186" s="52">
        <f>IFERROR(IF(INDEX('CI&amp;S'!$M$10:$M$15,MATCH($F186,'CI&amp;S'!$B$10:$B$15,0))="","Cell will autofill based on response",INDEX('CI&amp;S'!$M$10:$M$15,MATCH($F186,'CI&amp;S'!$B$10:$B$15,0))),"N/A")</f>
        <v/>
      </c>
      <c r="M186" s="52">
        <f>IFERROR(IF(INDEX('CI&amp;S'!$M$22:$M$36,MATCH($F186,'CI&amp;S'!$B$22:$B$36,0))="","Cell will autofill based on response",INDEX('CI&amp;S'!$M$22:$M$36,MATCH($F186,'CI&amp;S'!$B$22:$B$36,0))),"N/A")</f>
        <v/>
      </c>
      <c r="N186" s="52">
        <f>IFERROR(IF(INDEX('CFOG'!$M$10:$M$16,MATCH($F186,'CFOG'!$B$10:$B$16,0))="","Cell will autofill based on response",INDEX('CFOG'!$M$10:$M$16,MATCH($F186,'CFOG'!$B$10:$B$16,0))),"N/A")</f>
        <v/>
      </c>
      <c r="O186" s="52">
        <f>IFERROR(IF(INDEX('CFOG'!$M$23:$M$24,MATCH($F186,'CFOG'!$B$23:$B$24,0))="","Cell will autofill based on response",INDEX('CFOG'!$M$23:$M$24,MATCH($F186,'CFOG'!$B$23:$B$24,0))),"N/A")</f>
        <v/>
      </c>
      <c r="P186" s="52">
        <f>IFERROR(IF(INDEX('ESG'!$M$10:$M$17,MATCH($F186,'ESG'!$B$10:$B$17,0))="","Cell will autofill based on response",INDEX('ESG'!$M$10:$M$17,MATCH($F186,'ESG'!$B$10:$B$17,0))),"N/A")</f>
        <v/>
      </c>
      <c r="Q186" s="52">
        <f>IFERROR(IF(INDEX('CIOG'!$M$10:$M$14,MATCH($F186,'CIOG'!$B$10:$B$14,0))="","Cell will autofill based on response",INDEX('CIOG'!$M$10:$M$14,MATCH($F186,'CIOG'!$B$10:$B$14,0))),"N/A")</f>
        <v/>
      </c>
      <c r="R186" s="52">
        <f>IFERROR(IF(INDEX('MRE'!$M$10:$M$18,MATCH($F186,'MRE'!$B$10:$B$18,0))="","Cell will autofill based on response",INDEX('MRE'!$M$10:$M$18,MATCH($F186,'MRE'!$B$10:$B$18,0))),"N/A")</f>
        <v/>
      </c>
      <c r="S186" s="52">
        <f>IFERROR(IF(INDEX('AC&amp;M'!$M$10:$M$14,MATCH($F186,'AC&amp;M'!$B$10:$B$14,0))="","Cell will autofill based on response",INDEX('AC&amp;M'!$M$10:$M$14,MATCH($F186,'AC&amp;M'!$B$10:$B$14,0))),"N/A")</f>
        <v/>
      </c>
      <c r="T186" s="52">
        <f>IFERROR(IF(INDEX('GCE'!$M$10:$M$12,MATCH($F186,'GCE'!$B$10:$B$12,0))="","Cell will autofill based on response",INDEX('GCE'!$M$10:$M$12,MATCH($F186,'GCE'!$B$10:$B$12,0))),"N/A")</f>
        <v/>
      </c>
      <c r="U186" s="52">
        <f>IFERROR(IF(INDEX('Education'!$M$10:$M$13,MATCH($F186,'Education'!$B$10:$B$13,0))="","Cell will autofill based on response",INDEX('Education'!$M$10:$M$13,MATCH($F186,'Education'!$B$10:$B$13,0))),"N/A")</f>
        <v/>
      </c>
      <c r="V186" s="52">
        <f>IFERROR(IF(INDEX('SaSS'!$M$10:$M$12,MATCH($F186,'SaSS'!$B$10:$B$12,0))="","Cell will autofill based on response",INDEX('SaSS'!$M$10:$M$12,MATCH($F186,'SaSS'!$B$10:$B$12,0))),"N/A")</f>
        <v/>
      </c>
      <c r="W186" s="52">
        <f>IFERROR(IF(INDEX('Indigenous'!$M$10:$M$11,MATCH($F186,'Indigenous'!$B$10:$B$11,0))="","Cell will autofill based on response",INDEX('Indigenous'!$M$10:$M$11,MATCH($F186,'Indigenous'!$B$10:$B$11,0))),"N/A")</f>
        <v/>
      </c>
      <c r="X186" s="52">
        <f>IFERROR(IF(INDEX('L&amp;R'!$M$10:$M$11,MATCH($F186,'L&amp;R'!$B$10:$B$11,0))="","Cell will autofill based on response",INDEX('L&amp;R'!$M$10:$M$11,MATCH($F186,'L&amp;R'!$B$10:$B$11,0))),"N/A")</f>
        <v/>
      </c>
    </row>
    <row r="187">
      <c r="A187">
        <f>F187&amp;"|"&amp;G187</f>
        <v/>
      </c>
      <c r="B187" s="13" t="inlineStr"/>
      <c r="C187" s="8" t="inlineStr"/>
      <c r="D187" s="8" t="inlineStr"/>
      <c r="E187" s="8" t="inlineStr"/>
      <c r="F187" s="8" t="inlineStr">
        <is>
          <t>EI1(c)</t>
        </is>
      </c>
      <c r="G187" s="8" t="inlineStr">
        <is>
          <t>OPTION 2:  Indicator level reporting</t>
        </is>
      </c>
      <c r="H187" s="52">
        <f>IFERROR(IF(INDEX('Faculties'!$N$10:$N$19,MATCH($F187,'Faculties'!$B$10:$B$19,0))="","Cell will autofill based on response",INDEX('Faculties'!$N$10:$N$19,MATCH($F187,'Faculties'!$B$10:$B$19,0))),"N/A")</f>
        <v/>
      </c>
      <c r="I187" s="52">
        <f>IFERROR(IF(INDEX('Faculties'!$N$26:$N$35,MATCH($F187,'Faculties'!$B$26:$B$35,0))="","Cell will autofill based on response",INDEX('Faculties'!$N$26:$N$35,MATCH($F187,'Faculties'!$B$26:$B$35,0))),"N/A")</f>
        <v/>
      </c>
      <c r="J187" s="52">
        <f>IFERROR(IF(INDEX('Faculties'!$N$42:$N$51,MATCH($F187,'Faculties'!$B$42:$B$51,0))="","Cell will autofill based on response",INDEX('Faculties'!$N$42:$N$51,MATCH($F187,'Faculties'!$B$42:$B$51,0))),"N/A")</f>
        <v/>
      </c>
      <c r="K187" s="52">
        <f>IFERROR(IF(INDEX('Faculties'!$N$58:$N$67,MATCH($F187,'Faculties'!$B$58:$B$67,0))="","Cell will autofill based on response",INDEX('Faculties'!$N$58:$N$67,MATCH($F187,'Faculties'!$B$58:$B$67,0))),"N/A")</f>
        <v/>
      </c>
      <c r="L187" s="52">
        <f>IFERROR(IF(INDEX('CI&amp;S'!$N$10:$N$15,MATCH($F187,'CI&amp;S'!$B$10:$B$15,0))="","Cell will autofill based on response",INDEX('CI&amp;S'!$N$10:$N$15,MATCH($F187,'CI&amp;S'!$B$10:$B$15,0))),"N/A")</f>
        <v/>
      </c>
      <c r="M187" s="52">
        <f>IFERROR(IF(INDEX('CI&amp;S'!$N$22:$N$36,MATCH($F187,'CI&amp;S'!$B$22:$B$36,0))="","Cell will autofill based on response",INDEX('CI&amp;S'!$N$22:$N$36,MATCH($F187,'CI&amp;S'!$B$22:$B$36,0))),"N/A")</f>
        <v/>
      </c>
      <c r="N187" s="52">
        <f>IFERROR(IF(INDEX('CFOG'!$N$10:$N$16,MATCH($F187,'CFOG'!$B$10:$B$16,0))="","Cell will autofill based on response",INDEX('CFOG'!$N$10:$N$16,MATCH($F187,'CFOG'!$B$10:$B$16,0))),"N/A")</f>
        <v/>
      </c>
      <c r="O187" s="52">
        <f>IFERROR(IF(INDEX('CFOG'!$N$23:$N$24,MATCH($F187,'CFOG'!$B$23:$B$24,0))="","Cell will autofill based on response",INDEX('CFOG'!$N$23:$N$24,MATCH($F187,'CFOG'!$B$23:$B$24,0))),"N/A")</f>
        <v/>
      </c>
      <c r="P187" s="52">
        <f>IFERROR(IF(INDEX('ESG'!$N$10:$N$17,MATCH($F187,'ESG'!$B$10:$B$17,0))="","Cell will autofill based on response",INDEX('ESG'!$N$10:$N$17,MATCH($F187,'ESG'!$B$10:$B$17,0))),"N/A")</f>
        <v/>
      </c>
      <c r="Q187" s="52">
        <f>IFERROR(IF(INDEX('CIOG'!$N$10:$N$14,MATCH($F187,'CIOG'!$B$10:$B$14,0))="","Cell will autofill based on response",INDEX('CIOG'!$N$10:$N$14,MATCH($F187,'CIOG'!$B$10:$B$14,0))),"N/A")</f>
        <v/>
      </c>
      <c r="R187" s="52">
        <f>IFERROR(IF(INDEX('MRE'!$N$10:$N$18,MATCH($F187,'MRE'!$B$10:$B$18,0))="","Cell will autofill based on response",INDEX('MRE'!$N$10:$N$18,MATCH($F187,'MRE'!$B$10:$B$18,0))),"N/A")</f>
        <v/>
      </c>
      <c r="S187" s="52">
        <f>IFERROR(IF(INDEX('AC&amp;M'!$N$10:$N$14,MATCH($F187,'AC&amp;M'!$B$10:$B$14,0))="","Cell will autofill based on response",INDEX('AC&amp;M'!$N$10:$N$14,MATCH($F187,'AC&amp;M'!$B$10:$B$14,0))),"N/A")</f>
        <v/>
      </c>
      <c r="T187" s="52">
        <f>IFERROR(IF(INDEX('GCE'!$N$10:$N$12,MATCH($F187,'GCE'!$B$10:$B$12,0))="","Cell will autofill based on response",INDEX('GCE'!$N$10:$N$12,MATCH($F187,'GCE'!$B$10:$B$12,0))),"N/A")</f>
        <v/>
      </c>
      <c r="U187" s="52">
        <f>IFERROR(IF(INDEX('Education'!$N$10:$N$13,MATCH($F187,'Education'!$B$10:$B$13,0))="","Cell will autofill based on response",INDEX('Education'!$N$10:$N$13,MATCH($F187,'Education'!$B$10:$B$13,0))),"N/A")</f>
        <v/>
      </c>
      <c r="V187" s="52">
        <f>IFERROR(IF(INDEX('SaSS'!$N$10:$N$12,MATCH($F187,'SaSS'!$B$10:$B$12,0))="","Cell will autofill based on response",INDEX('SaSS'!$N$10:$N$12,MATCH($F187,'SaSS'!$B$10:$B$12,0))),"N/A")</f>
        <v/>
      </c>
      <c r="W187" s="52">
        <f>IFERROR(IF(INDEX('Indigenous'!$N$10:$N$11,MATCH($F187,'Indigenous'!$B$10:$B$11,0))="","Cell will autofill based on response",INDEX('Indigenous'!$N$10:$N$11,MATCH($F187,'Indigenous'!$B$10:$B$11,0))),"N/A")</f>
        <v/>
      </c>
      <c r="X187" s="52">
        <f>IFERROR(IF(INDEX('L&amp;R'!$N$10:$N$11,MATCH($F187,'L&amp;R'!$B$10:$B$11,0))="","Cell will autofill based on response",INDEX('L&amp;R'!$N$10:$N$11,MATCH($F187,'L&amp;R'!$B$10:$B$11,0))),"N/A")</f>
        <v/>
      </c>
    </row>
    <row r="188">
      <c r="A188">
        <f>F188&amp;"|"&amp;G188</f>
        <v/>
      </c>
      <c r="B188" s="13" t="inlineStr"/>
      <c r="C188" s="8" t="inlineStr"/>
      <c r="D188" s="8" t="inlineStr"/>
      <c r="E188" s="8" t="inlineStr"/>
      <c r="F188" s="8" t="inlineStr">
        <is>
          <t>EI1(c)</t>
        </is>
      </c>
      <c r="G188" s="8" t="inlineStr">
        <is>
          <t>Supporting information/comments</t>
        </is>
      </c>
      <c r="H188" s="52">
        <f>IFERROR(IF(INDEX('Faculties'!$O$10:$O$19,MATCH($F188,'Faculties'!$B$10:$B$19,0))="","Cell will autofill based on response",INDEX('Faculties'!$O$10:$O$19,MATCH($F188,'Faculties'!$B$10:$B$19,0))),"N/A")</f>
        <v/>
      </c>
      <c r="I188" s="52">
        <f>IFERROR(IF(INDEX('Faculties'!$O$26:$O$35,MATCH($F188,'Faculties'!$B$26:$B$35,0))="","Cell will autofill based on response",INDEX('Faculties'!$O$26:$O$35,MATCH($F188,'Faculties'!$B$26:$B$35,0))),"N/A")</f>
        <v/>
      </c>
      <c r="J188" s="52">
        <f>IFERROR(IF(INDEX('Faculties'!$O$42:$O$51,MATCH($F188,'Faculties'!$B$42:$B$51,0))="","Cell will autofill based on response",INDEX('Faculties'!$O$42:$O$51,MATCH($F188,'Faculties'!$B$42:$B$51,0))),"N/A")</f>
        <v/>
      </c>
      <c r="K188" s="52">
        <f>IFERROR(IF(INDEX('Faculties'!$O$58:$O$67,MATCH($F188,'Faculties'!$B$58:$B$67,0))="","Cell will autofill based on response",INDEX('Faculties'!$O$58:$O$67,MATCH($F188,'Faculties'!$B$58:$B$67,0))),"N/A")</f>
        <v/>
      </c>
      <c r="L188" s="52">
        <f>IFERROR(IF(INDEX('CI&amp;S'!$O$10:$O$15,MATCH($F188,'CI&amp;S'!$B$10:$B$15,0))="","Cell will autofill based on response",INDEX('CI&amp;S'!$O$10:$O$15,MATCH($F188,'CI&amp;S'!$B$10:$B$15,0))),"N/A")</f>
        <v/>
      </c>
      <c r="M188" s="52">
        <f>IFERROR(IF(INDEX('CI&amp;S'!$O$22:$O$36,MATCH($F188,'CI&amp;S'!$B$22:$B$36,0))="","Cell will autofill based on response",INDEX('CI&amp;S'!$O$22:$O$36,MATCH($F188,'CI&amp;S'!$B$22:$B$36,0))),"N/A")</f>
        <v/>
      </c>
      <c r="N188" s="52">
        <f>IFERROR(IF(INDEX('CFOG'!$O$10:$O$16,MATCH($F188,'CFOG'!$B$10:$B$16,0))="","Cell will autofill based on response",INDEX('CFOG'!$O$10:$O$16,MATCH($F188,'CFOG'!$B$10:$B$16,0))),"N/A")</f>
        <v/>
      </c>
      <c r="O188" s="52">
        <f>IFERROR(IF(INDEX('CFOG'!$O$23:$O$24,MATCH($F188,'CFOG'!$B$23:$B$24,0))="","Cell will autofill based on response",INDEX('CFOG'!$O$23:$O$24,MATCH($F188,'CFOG'!$B$23:$B$24,0))),"N/A")</f>
        <v/>
      </c>
      <c r="P188" s="52">
        <f>IFERROR(IF(INDEX('ESG'!$O$10:$O$17,MATCH($F188,'ESG'!$B$10:$B$17,0))="","Cell will autofill based on response",INDEX('ESG'!$O$10:$O$17,MATCH($F188,'ESG'!$B$10:$B$17,0))),"N/A")</f>
        <v/>
      </c>
      <c r="Q188" s="52">
        <f>IFERROR(IF(INDEX('CIOG'!$O$10:$O$14,MATCH($F188,'CIOG'!$B$10:$B$14,0))="","Cell will autofill based on response",INDEX('CIOG'!$O$10:$O$14,MATCH($F188,'CIOG'!$B$10:$B$14,0))),"N/A")</f>
        <v/>
      </c>
      <c r="R188" s="52">
        <f>IFERROR(IF(INDEX('MRE'!$O$10:$O$18,MATCH($F188,'MRE'!$B$10:$B$18,0))="","Cell will autofill based on response",INDEX('MRE'!$O$10:$O$18,MATCH($F188,'MRE'!$B$10:$B$18,0))),"N/A")</f>
        <v/>
      </c>
      <c r="S188" s="52">
        <f>IFERROR(IF(INDEX('AC&amp;M'!$O$10:$O$14,MATCH($F188,'AC&amp;M'!$B$10:$B$14,0))="","Cell will autofill based on response",INDEX('AC&amp;M'!$O$10:$O$14,MATCH($F188,'AC&amp;M'!$B$10:$B$14,0))),"N/A")</f>
        <v/>
      </c>
      <c r="T188" s="52">
        <f>IFERROR(IF(INDEX('GCE'!$O$10:$O$12,MATCH($F188,'GCE'!$B$10:$B$12,0))="","Cell will autofill based on response",INDEX('GCE'!$O$10:$O$12,MATCH($F188,'GCE'!$B$10:$B$12,0))),"N/A")</f>
        <v/>
      </c>
      <c r="U188" s="52">
        <f>IFERROR(IF(INDEX('Education'!$O$10:$O$13,MATCH($F188,'Education'!$B$10:$B$13,0))="","Cell will autofill based on response",INDEX('Education'!$O$10:$O$13,MATCH($F188,'Education'!$B$10:$B$13,0))),"N/A")</f>
        <v/>
      </c>
      <c r="V188" s="52">
        <f>IFERROR(IF(INDEX('SaSS'!$O$10:$O$12,MATCH($F188,'SaSS'!$B$10:$B$12,0))="","Cell will autofill based on response",INDEX('SaSS'!$O$10:$O$12,MATCH($F188,'SaSS'!$B$10:$B$12,0))),"N/A")</f>
        <v/>
      </c>
      <c r="W188" s="52">
        <f>IFERROR(IF(INDEX('Indigenous'!$O$10:$O$11,MATCH($F188,'Indigenous'!$B$10:$B$11,0))="","Cell will autofill based on response",INDEX('Indigenous'!$O$10:$O$11,MATCH($F188,'Indigenous'!$B$10:$B$11,0))),"N/A")</f>
        <v/>
      </c>
      <c r="X188" s="52">
        <f>IFERROR(IF(INDEX('L&amp;R'!$O$10:$O$11,MATCH($F188,'L&amp;R'!$B$10:$B$11,0))="","Cell will autofill based on response",INDEX('L&amp;R'!$O$10:$O$11,MATCH($F188,'L&amp;R'!$B$10:$B$11,0))),"N/A")</f>
        <v/>
      </c>
    </row>
    <row r="189">
      <c r="A189">
        <f>F189&amp;"|"&amp;G189</f>
        <v/>
      </c>
      <c r="B189" s="13" t="inlineStr"/>
      <c r="C189" s="8" t="inlineStr"/>
      <c r="D189" s="8" t="inlineStr"/>
      <c r="E189" s="8" t="inlineStr"/>
      <c r="F189" s="8" t="inlineStr">
        <is>
          <t>EI1(c)</t>
        </is>
      </c>
      <c r="G189" s="8" t="inlineStr">
        <is>
          <t>Data source and limitations</t>
        </is>
      </c>
      <c r="H189" s="52">
        <f>IFERROR(IF(INDEX('Faculties'!$P$10:$P$19,MATCH($F189,'Faculties'!$B$10:$B$19,0))="","Cell will autofill based on response",INDEX('Faculties'!$P$10:$P$19,MATCH($F189,'Faculties'!$B$10:$B$19,0))),"N/A")</f>
        <v/>
      </c>
      <c r="I189" s="52">
        <f>IFERROR(IF(INDEX('Faculties'!$P$26:$P$35,MATCH($F189,'Faculties'!$B$26:$B$35,0))="","Cell will autofill based on response",INDEX('Faculties'!$P$26:$P$35,MATCH($F189,'Faculties'!$B$26:$B$35,0))),"N/A")</f>
        <v/>
      </c>
      <c r="J189" s="52">
        <f>IFERROR(IF(INDEX('Faculties'!$P$42:$P$51,MATCH($F189,'Faculties'!$B$42:$B$51,0))="","Cell will autofill based on response",INDEX('Faculties'!$P$42:$P$51,MATCH($F189,'Faculties'!$B$42:$B$51,0))),"N/A")</f>
        <v/>
      </c>
      <c r="K189" s="52">
        <f>IFERROR(IF(INDEX('Faculties'!$P$58:$P$67,MATCH($F189,'Faculties'!$B$58:$B$67,0))="","Cell will autofill based on response",INDEX('Faculties'!$P$58:$P$67,MATCH($F189,'Faculties'!$B$58:$B$67,0))),"N/A")</f>
        <v/>
      </c>
      <c r="L189" s="52">
        <f>IFERROR(IF(INDEX('CI&amp;S'!$P$10:$P$15,MATCH($F189,'CI&amp;S'!$B$10:$B$15,0))="","Cell will autofill based on response",INDEX('CI&amp;S'!$P$10:$P$15,MATCH($F189,'CI&amp;S'!$B$10:$B$15,0))),"N/A")</f>
        <v/>
      </c>
      <c r="M189" s="52">
        <f>IFERROR(IF(INDEX('CI&amp;S'!$P$22:$P$36,MATCH($F189,'CI&amp;S'!$B$22:$B$36,0))="","Cell will autofill based on response",INDEX('CI&amp;S'!$P$22:$P$36,MATCH($F189,'CI&amp;S'!$B$22:$B$36,0))),"N/A")</f>
        <v/>
      </c>
      <c r="N189" s="52">
        <f>IFERROR(IF(INDEX('CFOG'!$P$10:$P$16,MATCH($F189,'CFOG'!$B$10:$B$16,0))="","Cell will autofill based on response",INDEX('CFOG'!$P$10:$P$16,MATCH($F189,'CFOG'!$B$10:$B$16,0))),"N/A")</f>
        <v/>
      </c>
      <c r="O189" s="52">
        <f>IFERROR(IF(INDEX('CFOG'!$P$23:$P$24,MATCH($F189,'CFOG'!$B$23:$B$24,0))="","Cell will autofill based on response",INDEX('CFOG'!$P$23:$P$24,MATCH($F189,'CFOG'!$B$23:$B$24,0))),"N/A")</f>
        <v/>
      </c>
      <c r="P189" s="52">
        <f>IFERROR(IF(INDEX('ESG'!$P$10:$P$17,MATCH($F189,'ESG'!$B$10:$B$17,0))="","Cell will autofill based on response",INDEX('ESG'!$P$10:$P$17,MATCH($F189,'ESG'!$B$10:$B$17,0))),"N/A")</f>
        <v/>
      </c>
      <c r="Q189" s="52">
        <f>IFERROR(IF(INDEX('CIOG'!$P$10:$P$14,MATCH($F189,'CIOG'!$B$10:$B$14,0))="","Cell will autofill based on response",INDEX('CIOG'!$P$10:$P$14,MATCH($F189,'CIOG'!$B$10:$B$14,0))),"N/A")</f>
        <v/>
      </c>
      <c r="R189" s="52">
        <f>IFERROR(IF(INDEX('MRE'!$P$10:$P$18,MATCH($F189,'MRE'!$B$10:$B$18,0))="","Cell will autofill based on response",INDEX('MRE'!$P$10:$P$18,MATCH($F189,'MRE'!$B$10:$B$18,0))),"N/A")</f>
        <v/>
      </c>
      <c r="S189" s="52">
        <f>IFERROR(IF(INDEX('AC&amp;M'!$P$10:$P$14,MATCH($F189,'AC&amp;M'!$B$10:$B$14,0))="","Cell will autofill based on response",INDEX('AC&amp;M'!$P$10:$P$14,MATCH($F189,'AC&amp;M'!$B$10:$B$14,0))),"N/A")</f>
        <v/>
      </c>
      <c r="T189" s="52">
        <f>IFERROR(IF(INDEX('GCE'!$P$10:$P$12,MATCH($F189,'GCE'!$B$10:$B$12,0))="","Cell will autofill based on response",INDEX('GCE'!$P$10:$P$12,MATCH($F189,'GCE'!$B$10:$B$12,0))),"N/A")</f>
        <v/>
      </c>
      <c r="U189" s="52">
        <f>IFERROR(IF(INDEX('Education'!$P$10:$P$13,MATCH($F189,'Education'!$B$10:$B$13,0))="","Cell will autofill based on response",INDEX('Education'!$P$10:$P$13,MATCH($F189,'Education'!$B$10:$B$13,0))),"N/A")</f>
        <v/>
      </c>
      <c r="V189" s="52">
        <f>IFERROR(IF(INDEX('SaSS'!$P$10:$P$12,MATCH($F189,'SaSS'!$B$10:$B$12,0))="","Cell will autofill based on response",INDEX('SaSS'!$P$10:$P$12,MATCH($F189,'SaSS'!$B$10:$B$12,0))),"N/A")</f>
        <v/>
      </c>
      <c r="W189" s="52">
        <f>IFERROR(IF(INDEX('Indigenous'!$P$10:$P$11,MATCH($F189,'Indigenous'!$B$10:$B$11,0))="","Cell will autofill based on response",INDEX('Indigenous'!$P$10:$P$11,MATCH($F189,'Indigenous'!$B$10:$B$11,0))),"N/A")</f>
        <v/>
      </c>
      <c r="X189" s="52">
        <f>IFERROR(IF(INDEX('L&amp;R'!$P$10:$P$11,MATCH($F189,'L&amp;R'!$B$10:$B$11,0))="","Cell will autofill based on response",INDEX('L&amp;R'!$P$10:$P$11,MATCH($F189,'L&amp;R'!$B$10:$B$11,0))),"N/A")</f>
        <v/>
      </c>
    </row>
    <row r="190">
      <c r="A190">
        <f>F190&amp;"|"&amp;G190</f>
        <v/>
      </c>
      <c r="B190" s="13" t="inlineStr"/>
      <c r="C190" s="8" t="inlineStr"/>
      <c r="D190" s="8" t="inlineStr"/>
      <c r="E190" s="8" t="inlineStr"/>
      <c r="F190" s="8" t="inlineStr">
        <is>
          <t>EI1(c)</t>
        </is>
      </c>
      <c r="G190" s="8" t="inlineStr">
        <is>
          <t>Data owner confirms</t>
        </is>
      </c>
      <c r="H190" s="52">
        <f>IFERROR(IF(INDEX('Faculties'!$Q$10:$Q$19,MATCH($F190,'Faculties'!$B$10:$B$19,0))="","Cell will autofill based on response",INDEX('Faculties'!$Q$10:$Q$19,MATCH($F190,'Faculties'!$B$10:$B$19,0))),"N/A")</f>
        <v/>
      </c>
      <c r="I190" s="52">
        <f>IFERROR(IF(INDEX('Faculties'!$Q$26:$Q$35,MATCH($F190,'Faculties'!$B$26:$B$35,0))="","Cell will autofill based on response",INDEX('Faculties'!$Q$26:$Q$35,MATCH($F190,'Faculties'!$B$26:$B$35,0))),"N/A")</f>
        <v/>
      </c>
      <c r="J190" s="52">
        <f>IFERROR(IF(INDEX('Faculties'!$Q$42:$Q$51,MATCH($F190,'Faculties'!$B$42:$B$51,0))="","Cell will autofill based on response",INDEX('Faculties'!$Q$42:$Q$51,MATCH($F190,'Faculties'!$B$42:$B$51,0))),"N/A")</f>
        <v/>
      </c>
      <c r="K190" s="52">
        <f>IFERROR(IF(INDEX('Faculties'!$Q$58:$Q$67,MATCH($F190,'Faculties'!$B$58:$B$67,0))="","Cell will autofill based on response",INDEX('Faculties'!$Q$58:$Q$67,MATCH($F190,'Faculties'!$B$58:$B$67,0))),"N/A")</f>
        <v/>
      </c>
      <c r="L190" s="52">
        <f>IFERROR(IF(INDEX('CI&amp;S'!$Q$10:$Q$15,MATCH($F190,'CI&amp;S'!$B$10:$B$15,0))="","Cell will autofill based on response",INDEX('CI&amp;S'!$Q$10:$Q$15,MATCH($F190,'CI&amp;S'!$B$10:$B$15,0))),"N/A")</f>
        <v/>
      </c>
      <c r="M190" s="52">
        <f>IFERROR(IF(INDEX('CI&amp;S'!$Q$22:$Q$36,MATCH($F190,'CI&amp;S'!$B$22:$B$36,0))="","Cell will autofill based on response",INDEX('CI&amp;S'!$Q$22:$Q$36,MATCH($F190,'CI&amp;S'!$B$22:$B$36,0))),"N/A")</f>
        <v/>
      </c>
      <c r="N190" s="52">
        <f>IFERROR(IF(INDEX('CFOG'!$Q$10:$Q$16,MATCH($F190,'CFOG'!$B$10:$B$16,0))="","Cell will autofill based on response",INDEX('CFOG'!$Q$10:$Q$16,MATCH($F190,'CFOG'!$B$10:$B$16,0))),"N/A")</f>
        <v/>
      </c>
      <c r="O190" s="52">
        <f>IFERROR(IF(INDEX('CFOG'!$Q$23:$Q$24,MATCH($F190,'CFOG'!$B$23:$B$24,0))="","Cell will autofill based on response",INDEX('CFOG'!$Q$23:$Q$24,MATCH($F190,'CFOG'!$B$23:$B$24,0))),"N/A")</f>
        <v/>
      </c>
      <c r="P190" s="52">
        <f>IFERROR(IF(INDEX('ESG'!$Q$10:$Q$17,MATCH($F190,'ESG'!$B$10:$B$17,0))="","Cell will autofill based on response",INDEX('ESG'!$Q$10:$Q$17,MATCH($F190,'ESG'!$B$10:$B$17,0))),"N/A")</f>
        <v/>
      </c>
      <c r="Q190" s="52">
        <f>IFERROR(IF(INDEX('CIOG'!$Q$10:$Q$14,MATCH($F190,'CIOG'!$B$10:$B$14,0))="","Cell will autofill based on response",INDEX('CIOG'!$Q$10:$Q$14,MATCH($F190,'CIOG'!$B$10:$B$14,0))),"N/A")</f>
        <v/>
      </c>
      <c r="R190" s="52">
        <f>IFERROR(IF(INDEX('MRE'!$Q$10:$Q$18,MATCH($F190,'MRE'!$B$10:$B$18,0))="","Cell will autofill based on response",INDEX('MRE'!$Q$10:$Q$18,MATCH($F190,'MRE'!$B$10:$B$18,0))),"N/A")</f>
        <v/>
      </c>
      <c r="S190" s="52">
        <f>IFERROR(IF(INDEX('AC&amp;M'!$Q$10:$Q$14,MATCH($F190,'AC&amp;M'!$B$10:$B$14,0))="","Cell will autofill based on response",INDEX('AC&amp;M'!$Q$10:$Q$14,MATCH($F190,'AC&amp;M'!$B$10:$B$14,0))),"N/A")</f>
        <v/>
      </c>
      <c r="T190" s="52">
        <f>IFERROR(IF(INDEX('GCE'!$Q$10:$Q$12,MATCH($F190,'GCE'!$B$10:$B$12,0))="","Cell will autofill based on response",INDEX('GCE'!$Q$10:$Q$12,MATCH($F190,'GCE'!$B$10:$B$12,0))),"N/A")</f>
        <v/>
      </c>
      <c r="U190" s="52">
        <f>IFERROR(IF(INDEX('Education'!$Q$10:$Q$13,MATCH($F190,'Education'!$B$10:$B$13,0))="","Cell will autofill based on response",INDEX('Education'!$Q$10:$Q$13,MATCH($F190,'Education'!$B$10:$B$13,0))),"N/A")</f>
        <v/>
      </c>
      <c r="V190" s="52">
        <f>IFERROR(IF(INDEX('SaSS'!$Q$10:$Q$12,MATCH($F190,'SaSS'!$B$10:$B$12,0))="","Cell will autofill based on response",INDEX('SaSS'!$Q$10:$Q$12,MATCH($F190,'SaSS'!$B$10:$B$12,0))),"N/A")</f>
        <v/>
      </c>
      <c r="W190" s="52">
        <f>IFERROR(IF(INDEX('Indigenous'!$Q$10:$Q$11,MATCH($F190,'Indigenous'!$B$10:$B$11,0))="","Cell will autofill based on response",INDEX('Indigenous'!$Q$10:$Q$11,MATCH($F190,'Indigenous'!$B$10:$B$11,0))),"N/A")</f>
        <v/>
      </c>
      <c r="X190" s="52">
        <f>IFERROR(IF(INDEX('L&amp;R'!$Q$10:$Q$11,MATCH($F190,'L&amp;R'!$B$10:$B$11,0))="","Cell will autofill based on response",INDEX('L&amp;R'!$Q$10:$Q$11,MATCH($F190,'L&amp;R'!$B$10:$B$11,0))),"N/A")</f>
        <v/>
      </c>
    </row>
    <row r="191">
      <c r="A191">
        <f>F191&amp;"|"&amp;G191</f>
        <v/>
      </c>
      <c r="B191" s="7" t="inlineStr">
        <is>
          <t>EI1(d)</t>
        </is>
      </c>
      <c r="C191" s="50" t="inlineStr">
        <is>
          <t>Estate and infrastructure</t>
        </is>
      </c>
      <c r="D191" s="50" t="inlineStr">
        <is>
          <t>Evidence of understanding and integration of Indigenous approaches to sustainability in estate planning and development programs and projects.</t>
        </is>
      </c>
      <c r="E191" s="50"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91" s="50" t="inlineStr">
        <is>
          <t>EI1(d)</t>
        </is>
      </c>
      <c r="G191" s="50" t="inlineStr">
        <is>
          <t>Confirm end-2026 target status</t>
        </is>
      </c>
      <c r="H191" s="52">
        <f>IFERROR(IF(INDEX('Faculties'!$L$10:$L$19,MATCH($F191,'Faculties'!$B$10:$B$19,0))="","Cell will autofill based on response",INDEX('Faculties'!$L$10:$L$19,MATCH($F191,'Faculties'!$B$10:$B$19,0))),"N/A")</f>
        <v/>
      </c>
      <c r="I191" s="52">
        <f>IFERROR(IF(INDEX('Faculties'!$L$26:$L$35,MATCH($F191,'Faculties'!$B$26:$B$35,0))="","Cell will autofill based on response",INDEX('Faculties'!$L$26:$L$35,MATCH($F191,'Faculties'!$B$26:$B$35,0))),"N/A")</f>
        <v/>
      </c>
      <c r="J191" s="52">
        <f>IFERROR(IF(INDEX('Faculties'!$L$42:$L$51,MATCH($F191,'Faculties'!$B$42:$B$51,0))="","Cell will autofill based on response",INDEX('Faculties'!$L$42:$L$51,MATCH($F191,'Faculties'!$B$42:$B$51,0))),"N/A")</f>
        <v/>
      </c>
      <c r="K191" s="52">
        <f>IFERROR(IF(INDEX('Faculties'!$L$58:$L$67,MATCH($F191,'Faculties'!$B$58:$B$67,0))="","Cell will autofill based on response",INDEX('Faculties'!$L$58:$L$67,MATCH($F191,'Faculties'!$B$58:$B$67,0))),"N/A")</f>
        <v/>
      </c>
      <c r="L191" s="52">
        <f>IFERROR(IF(INDEX('CI&amp;S'!$L$10:$L$15,MATCH($F191,'CI&amp;S'!$B$10:$B$15,0))="","Cell will autofill based on response",INDEX('CI&amp;S'!$L$10:$L$15,MATCH($F191,'CI&amp;S'!$B$10:$B$15,0))),"N/A")</f>
        <v/>
      </c>
      <c r="M191" s="52">
        <f>IFERROR(IF(INDEX('CI&amp;S'!$L$22:$L$36,MATCH($F191,'CI&amp;S'!$B$22:$B$36,0))="","Cell will autofill based on response",INDEX('CI&amp;S'!$L$22:$L$36,MATCH($F191,'CI&amp;S'!$B$22:$B$36,0))),"N/A")</f>
        <v/>
      </c>
      <c r="N191" s="52">
        <f>IFERROR(IF(INDEX('CFOG'!$L$10:$L$16,MATCH($F191,'CFOG'!$B$10:$B$16,0))="","Cell will autofill based on response",INDEX('CFOG'!$L$10:$L$16,MATCH($F191,'CFOG'!$B$10:$B$16,0))),"N/A")</f>
        <v/>
      </c>
      <c r="O191" s="52">
        <f>IFERROR(IF(INDEX('CFOG'!$L$23:$L$24,MATCH($F191,'CFOG'!$B$23:$B$24,0))="","Cell will autofill based on response",INDEX('CFOG'!$L$23:$L$24,MATCH($F191,'CFOG'!$B$23:$B$24,0))),"N/A")</f>
        <v/>
      </c>
      <c r="P191" s="52">
        <f>IFERROR(IF(INDEX('ESG'!$L$10:$L$17,MATCH($F191,'ESG'!$B$10:$B$17,0))="","Cell will autofill based on response",INDEX('ESG'!$L$10:$L$17,MATCH($F191,'ESG'!$B$10:$B$17,0))),"N/A")</f>
        <v/>
      </c>
      <c r="Q191" s="52">
        <f>IFERROR(IF(INDEX('CIOG'!$L$10:$L$14,MATCH($F191,'CIOG'!$B$10:$B$14,0))="","Cell will autofill based on response",INDEX('CIOG'!$L$10:$L$14,MATCH($F191,'CIOG'!$B$10:$B$14,0))),"N/A")</f>
        <v/>
      </c>
      <c r="R191" s="52">
        <f>IFERROR(IF(INDEX('MRE'!$L$10:$L$18,MATCH($F191,'MRE'!$B$10:$B$18,0))="","Cell will autofill based on response",INDEX('MRE'!$L$10:$L$18,MATCH($F191,'MRE'!$B$10:$B$18,0))),"N/A")</f>
        <v/>
      </c>
      <c r="S191" s="52">
        <f>IFERROR(IF(INDEX('AC&amp;M'!$L$10:$L$14,MATCH($F191,'AC&amp;M'!$B$10:$B$14,0))="","Cell will autofill based on response",INDEX('AC&amp;M'!$L$10:$L$14,MATCH($F191,'AC&amp;M'!$B$10:$B$14,0))),"N/A")</f>
        <v/>
      </c>
      <c r="T191" s="52">
        <f>IFERROR(IF(INDEX('GCE'!$L$10:$L$12,MATCH($F191,'GCE'!$B$10:$B$12,0))="","Cell will autofill based on response",INDEX('GCE'!$L$10:$L$12,MATCH($F191,'GCE'!$B$10:$B$12,0))),"N/A")</f>
        <v/>
      </c>
      <c r="U191" s="52">
        <f>IFERROR(IF(INDEX('Education'!$L$10:$L$13,MATCH($F191,'Education'!$B$10:$B$13,0))="","Cell will autofill based on response",INDEX('Education'!$L$10:$L$13,MATCH($F191,'Education'!$B$10:$B$13,0))),"N/A")</f>
        <v/>
      </c>
      <c r="V191" s="52">
        <f>IFERROR(IF(INDEX('SaSS'!$L$10:$L$12,MATCH($F191,'SaSS'!$B$10:$B$12,0))="","Cell will autofill based on response",INDEX('SaSS'!$L$10:$L$12,MATCH($F191,'SaSS'!$B$10:$B$12,0))),"N/A")</f>
        <v/>
      </c>
      <c r="W191" s="52">
        <f>IFERROR(IF(INDEX('Indigenous'!$L$10:$L$11,MATCH($F191,'Indigenous'!$B$10:$B$11,0))="","Cell will autofill based on response",INDEX('Indigenous'!$L$10:$L$11,MATCH($F191,'Indigenous'!$B$10:$B$11,0))),"N/A")</f>
        <v/>
      </c>
      <c r="X191" s="52">
        <f>IFERROR(IF(INDEX('L&amp;R'!$L$10:$L$11,MATCH($F191,'L&amp;R'!$B$10:$B$11,0))="","Cell will autofill based on response",INDEX('L&amp;R'!$L$10:$L$11,MATCH($F191,'L&amp;R'!$B$10:$B$11,0))),"N/A")</f>
        <v/>
      </c>
      <c r="Z191" s="10">
        <f>COUNTIF($H191:$X191,"Cell will autofill based on response")</f>
        <v/>
      </c>
      <c r="AA191" s="10">
        <f>COUNTIF($H191:$X191,"Not yet started")</f>
        <v/>
      </c>
      <c r="AB191" s="10">
        <f>COUNTIF($H191:$X191,"Not met")</f>
        <v/>
      </c>
      <c r="AC191" s="10">
        <f>COUNTIF($H191:$X191,"Partially met")</f>
        <v/>
      </c>
      <c r="AD191" s="10">
        <f>COUNTIF($H191:$X191,"Met or exceeded")</f>
        <v/>
      </c>
      <c r="AE191" s="10">
        <f>3*AD191+2*AC191+AB191</f>
        <v/>
      </c>
      <c r="AF191" s="10">
        <f>AD191+AC191+AB191+AA191</f>
        <v/>
      </c>
      <c r="AG191" s="53">
        <f>IF(AF191&gt;0,AE191/AF191,"No valid responses to date")</f>
        <v/>
      </c>
      <c r="AH191" s="10">
        <f>IF(ISNUMBER(AG191),INDEX(Lists!$G$2:$G$5,MATCH(ROUND(AG191,0),Lists!$H$2:$H$5,0)),"")</f>
        <v/>
      </c>
      <c r="AI191" s="54">
        <f>IF(AF191&gt;0,AD191/AF191,"")</f>
        <v/>
      </c>
      <c r="AJ191" s="54">
        <f>IF(AF191&gt;0,(AD191+AC191)/AF191,"")</f>
        <v/>
      </c>
      <c r="AK191" s="10">
        <f>IF(AF191=0,"",IF(AI191&gt;0.75,"Met or exceeded",IF(AJ191&gt;=0.5,"Partially met","Not met")))</f>
        <v/>
      </c>
    </row>
    <row r="192">
      <c r="A192">
        <f>F192&amp;"|"&amp;G192</f>
        <v/>
      </c>
      <c r="B192" s="13" t="inlineStr"/>
      <c r="C192" s="8" t="inlineStr"/>
      <c r="D192" s="8" t="inlineStr"/>
      <c r="E192" s="8" t="inlineStr"/>
      <c r="F192" s="8" t="inlineStr">
        <is>
          <t>EI1(d)</t>
        </is>
      </c>
      <c r="G192" s="8" t="inlineStr">
        <is>
          <t>OPTION 1:  Target-level reporting</t>
        </is>
      </c>
      <c r="H192" s="52">
        <f>IFERROR(IF(INDEX('Faculties'!$M$10:$M$19,MATCH($F192,'Faculties'!$B$10:$B$19,0))="","Cell will autofill based on response",INDEX('Faculties'!$M$10:$M$19,MATCH($F192,'Faculties'!$B$10:$B$19,0))),"N/A")</f>
        <v/>
      </c>
      <c r="I192" s="52">
        <f>IFERROR(IF(INDEX('Faculties'!$M$26:$M$35,MATCH($F192,'Faculties'!$B$26:$B$35,0))="","Cell will autofill based on response",INDEX('Faculties'!$M$26:$M$35,MATCH($F192,'Faculties'!$B$26:$B$35,0))),"N/A")</f>
        <v/>
      </c>
      <c r="J192" s="52">
        <f>IFERROR(IF(INDEX('Faculties'!$M$42:$M$51,MATCH($F192,'Faculties'!$B$42:$B$51,0))="","Cell will autofill based on response",INDEX('Faculties'!$M$42:$M$51,MATCH($F192,'Faculties'!$B$42:$B$51,0))),"N/A")</f>
        <v/>
      </c>
      <c r="K192" s="52">
        <f>IFERROR(IF(INDEX('Faculties'!$M$58:$M$67,MATCH($F192,'Faculties'!$B$58:$B$67,0))="","Cell will autofill based on response",INDEX('Faculties'!$M$58:$M$67,MATCH($F192,'Faculties'!$B$58:$B$67,0))),"N/A")</f>
        <v/>
      </c>
      <c r="L192" s="52">
        <f>IFERROR(IF(INDEX('CI&amp;S'!$M$10:$M$15,MATCH($F192,'CI&amp;S'!$B$10:$B$15,0))="","Cell will autofill based on response",INDEX('CI&amp;S'!$M$10:$M$15,MATCH($F192,'CI&amp;S'!$B$10:$B$15,0))),"N/A")</f>
        <v/>
      </c>
      <c r="M192" s="52">
        <f>IFERROR(IF(INDEX('CI&amp;S'!$M$22:$M$36,MATCH($F192,'CI&amp;S'!$B$22:$B$36,0))="","Cell will autofill based on response",INDEX('CI&amp;S'!$M$22:$M$36,MATCH($F192,'CI&amp;S'!$B$22:$B$36,0))),"N/A")</f>
        <v/>
      </c>
      <c r="N192" s="52">
        <f>IFERROR(IF(INDEX('CFOG'!$M$10:$M$16,MATCH($F192,'CFOG'!$B$10:$B$16,0))="","Cell will autofill based on response",INDEX('CFOG'!$M$10:$M$16,MATCH($F192,'CFOG'!$B$10:$B$16,0))),"N/A")</f>
        <v/>
      </c>
      <c r="O192" s="52">
        <f>IFERROR(IF(INDEX('CFOG'!$M$23:$M$24,MATCH($F192,'CFOG'!$B$23:$B$24,0))="","Cell will autofill based on response",INDEX('CFOG'!$M$23:$M$24,MATCH($F192,'CFOG'!$B$23:$B$24,0))),"N/A")</f>
        <v/>
      </c>
      <c r="P192" s="52">
        <f>IFERROR(IF(INDEX('ESG'!$M$10:$M$17,MATCH($F192,'ESG'!$B$10:$B$17,0))="","Cell will autofill based on response",INDEX('ESG'!$M$10:$M$17,MATCH($F192,'ESG'!$B$10:$B$17,0))),"N/A")</f>
        <v/>
      </c>
      <c r="Q192" s="52">
        <f>IFERROR(IF(INDEX('CIOG'!$M$10:$M$14,MATCH($F192,'CIOG'!$B$10:$B$14,0))="","Cell will autofill based on response",INDEX('CIOG'!$M$10:$M$14,MATCH($F192,'CIOG'!$B$10:$B$14,0))),"N/A")</f>
        <v/>
      </c>
      <c r="R192" s="52">
        <f>IFERROR(IF(INDEX('MRE'!$M$10:$M$18,MATCH($F192,'MRE'!$B$10:$B$18,0))="","Cell will autofill based on response",INDEX('MRE'!$M$10:$M$18,MATCH($F192,'MRE'!$B$10:$B$18,0))),"N/A")</f>
        <v/>
      </c>
      <c r="S192" s="52">
        <f>IFERROR(IF(INDEX('AC&amp;M'!$M$10:$M$14,MATCH($F192,'AC&amp;M'!$B$10:$B$14,0))="","Cell will autofill based on response",INDEX('AC&amp;M'!$M$10:$M$14,MATCH($F192,'AC&amp;M'!$B$10:$B$14,0))),"N/A")</f>
        <v/>
      </c>
      <c r="T192" s="52">
        <f>IFERROR(IF(INDEX('GCE'!$M$10:$M$12,MATCH($F192,'GCE'!$B$10:$B$12,0))="","Cell will autofill based on response",INDEX('GCE'!$M$10:$M$12,MATCH($F192,'GCE'!$B$10:$B$12,0))),"N/A")</f>
        <v/>
      </c>
      <c r="U192" s="52">
        <f>IFERROR(IF(INDEX('Education'!$M$10:$M$13,MATCH($F192,'Education'!$B$10:$B$13,0))="","Cell will autofill based on response",INDEX('Education'!$M$10:$M$13,MATCH($F192,'Education'!$B$10:$B$13,0))),"N/A")</f>
        <v/>
      </c>
      <c r="V192" s="52">
        <f>IFERROR(IF(INDEX('SaSS'!$M$10:$M$12,MATCH($F192,'SaSS'!$B$10:$B$12,0))="","Cell will autofill based on response",INDEX('SaSS'!$M$10:$M$12,MATCH($F192,'SaSS'!$B$10:$B$12,0))),"N/A")</f>
        <v/>
      </c>
      <c r="W192" s="52">
        <f>IFERROR(IF(INDEX('Indigenous'!$M$10:$M$11,MATCH($F192,'Indigenous'!$B$10:$B$11,0))="","Cell will autofill based on response",INDEX('Indigenous'!$M$10:$M$11,MATCH($F192,'Indigenous'!$B$10:$B$11,0))),"N/A")</f>
        <v/>
      </c>
      <c r="X192" s="52">
        <f>IFERROR(IF(INDEX('L&amp;R'!$M$10:$M$11,MATCH($F192,'L&amp;R'!$B$10:$B$11,0))="","Cell will autofill based on response",INDEX('L&amp;R'!$M$10:$M$11,MATCH($F192,'L&amp;R'!$B$10:$B$11,0))),"N/A")</f>
        <v/>
      </c>
    </row>
    <row r="193">
      <c r="A193">
        <f>F193&amp;"|"&amp;G193</f>
        <v/>
      </c>
      <c r="B193" s="13" t="inlineStr"/>
      <c r="C193" s="8" t="inlineStr"/>
      <c r="D193" s="8" t="inlineStr"/>
      <c r="E193" s="8" t="inlineStr"/>
      <c r="F193" s="8" t="inlineStr">
        <is>
          <t>EI1(d)</t>
        </is>
      </c>
      <c r="G193" s="8" t="inlineStr">
        <is>
          <t>OPTION 2:  Indicator level reporting</t>
        </is>
      </c>
      <c r="H193" s="52">
        <f>IFERROR(IF(INDEX('Faculties'!$N$10:$N$19,MATCH($F193,'Faculties'!$B$10:$B$19,0))="","Cell will autofill based on response",INDEX('Faculties'!$N$10:$N$19,MATCH($F193,'Faculties'!$B$10:$B$19,0))),"N/A")</f>
        <v/>
      </c>
      <c r="I193" s="52">
        <f>IFERROR(IF(INDEX('Faculties'!$N$26:$N$35,MATCH($F193,'Faculties'!$B$26:$B$35,0))="","Cell will autofill based on response",INDEX('Faculties'!$N$26:$N$35,MATCH($F193,'Faculties'!$B$26:$B$35,0))),"N/A")</f>
        <v/>
      </c>
      <c r="J193" s="52">
        <f>IFERROR(IF(INDEX('Faculties'!$N$42:$N$51,MATCH($F193,'Faculties'!$B$42:$B$51,0))="","Cell will autofill based on response",INDEX('Faculties'!$N$42:$N$51,MATCH($F193,'Faculties'!$B$42:$B$51,0))),"N/A")</f>
        <v/>
      </c>
      <c r="K193" s="52">
        <f>IFERROR(IF(INDEX('Faculties'!$N$58:$N$67,MATCH($F193,'Faculties'!$B$58:$B$67,0))="","Cell will autofill based on response",INDEX('Faculties'!$N$58:$N$67,MATCH($F193,'Faculties'!$B$58:$B$67,0))),"N/A")</f>
        <v/>
      </c>
      <c r="L193" s="52">
        <f>IFERROR(IF(INDEX('CI&amp;S'!$N$10:$N$15,MATCH($F193,'CI&amp;S'!$B$10:$B$15,0))="","Cell will autofill based on response",INDEX('CI&amp;S'!$N$10:$N$15,MATCH($F193,'CI&amp;S'!$B$10:$B$15,0))),"N/A")</f>
        <v/>
      </c>
      <c r="M193" s="52">
        <f>IFERROR(IF(INDEX('CI&amp;S'!$N$22:$N$36,MATCH($F193,'CI&amp;S'!$B$22:$B$36,0))="","Cell will autofill based on response",INDEX('CI&amp;S'!$N$22:$N$36,MATCH($F193,'CI&amp;S'!$B$22:$B$36,0))),"N/A")</f>
        <v/>
      </c>
      <c r="N193" s="52">
        <f>IFERROR(IF(INDEX('CFOG'!$N$10:$N$16,MATCH($F193,'CFOG'!$B$10:$B$16,0))="","Cell will autofill based on response",INDEX('CFOG'!$N$10:$N$16,MATCH($F193,'CFOG'!$B$10:$B$16,0))),"N/A")</f>
        <v/>
      </c>
      <c r="O193" s="52">
        <f>IFERROR(IF(INDEX('CFOG'!$N$23:$N$24,MATCH($F193,'CFOG'!$B$23:$B$24,0))="","Cell will autofill based on response",INDEX('CFOG'!$N$23:$N$24,MATCH($F193,'CFOG'!$B$23:$B$24,0))),"N/A")</f>
        <v/>
      </c>
      <c r="P193" s="52">
        <f>IFERROR(IF(INDEX('ESG'!$N$10:$N$17,MATCH($F193,'ESG'!$B$10:$B$17,0))="","Cell will autofill based on response",INDEX('ESG'!$N$10:$N$17,MATCH($F193,'ESG'!$B$10:$B$17,0))),"N/A")</f>
        <v/>
      </c>
      <c r="Q193" s="52">
        <f>IFERROR(IF(INDEX('CIOG'!$N$10:$N$14,MATCH($F193,'CIOG'!$B$10:$B$14,0))="","Cell will autofill based on response",INDEX('CIOG'!$N$10:$N$14,MATCH($F193,'CIOG'!$B$10:$B$14,0))),"N/A")</f>
        <v/>
      </c>
      <c r="R193" s="52">
        <f>IFERROR(IF(INDEX('MRE'!$N$10:$N$18,MATCH($F193,'MRE'!$B$10:$B$18,0))="","Cell will autofill based on response",INDEX('MRE'!$N$10:$N$18,MATCH($F193,'MRE'!$B$10:$B$18,0))),"N/A")</f>
        <v/>
      </c>
      <c r="S193" s="52">
        <f>IFERROR(IF(INDEX('AC&amp;M'!$N$10:$N$14,MATCH($F193,'AC&amp;M'!$B$10:$B$14,0))="","Cell will autofill based on response",INDEX('AC&amp;M'!$N$10:$N$14,MATCH($F193,'AC&amp;M'!$B$10:$B$14,0))),"N/A")</f>
        <v/>
      </c>
      <c r="T193" s="52">
        <f>IFERROR(IF(INDEX('GCE'!$N$10:$N$12,MATCH($F193,'GCE'!$B$10:$B$12,0))="","Cell will autofill based on response",INDEX('GCE'!$N$10:$N$12,MATCH($F193,'GCE'!$B$10:$B$12,0))),"N/A")</f>
        <v/>
      </c>
      <c r="U193" s="52">
        <f>IFERROR(IF(INDEX('Education'!$N$10:$N$13,MATCH($F193,'Education'!$B$10:$B$13,0))="","Cell will autofill based on response",INDEX('Education'!$N$10:$N$13,MATCH($F193,'Education'!$B$10:$B$13,0))),"N/A")</f>
        <v/>
      </c>
      <c r="V193" s="52">
        <f>IFERROR(IF(INDEX('SaSS'!$N$10:$N$12,MATCH($F193,'SaSS'!$B$10:$B$12,0))="","Cell will autofill based on response",INDEX('SaSS'!$N$10:$N$12,MATCH($F193,'SaSS'!$B$10:$B$12,0))),"N/A")</f>
        <v/>
      </c>
      <c r="W193" s="52">
        <f>IFERROR(IF(INDEX('Indigenous'!$N$10:$N$11,MATCH($F193,'Indigenous'!$B$10:$B$11,0))="","Cell will autofill based on response",INDEX('Indigenous'!$N$10:$N$11,MATCH($F193,'Indigenous'!$B$10:$B$11,0))),"N/A")</f>
        <v/>
      </c>
      <c r="X193" s="52">
        <f>IFERROR(IF(INDEX('L&amp;R'!$N$10:$N$11,MATCH($F193,'L&amp;R'!$B$10:$B$11,0))="","Cell will autofill based on response",INDEX('L&amp;R'!$N$10:$N$11,MATCH($F193,'L&amp;R'!$B$10:$B$11,0))),"N/A")</f>
        <v/>
      </c>
    </row>
    <row r="194">
      <c r="A194">
        <f>F194&amp;"|"&amp;G194</f>
        <v/>
      </c>
      <c r="B194" s="13" t="inlineStr"/>
      <c r="C194" s="8" t="inlineStr"/>
      <c r="D194" s="8" t="inlineStr"/>
      <c r="E194" s="8" t="inlineStr"/>
      <c r="F194" s="8" t="inlineStr">
        <is>
          <t>EI1(d)</t>
        </is>
      </c>
      <c r="G194" s="8" t="inlineStr">
        <is>
          <t>Supporting information/comments</t>
        </is>
      </c>
      <c r="H194" s="52">
        <f>IFERROR(IF(INDEX('Faculties'!$O$10:$O$19,MATCH($F194,'Faculties'!$B$10:$B$19,0))="","Cell will autofill based on response",INDEX('Faculties'!$O$10:$O$19,MATCH($F194,'Faculties'!$B$10:$B$19,0))),"N/A")</f>
        <v/>
      </c>
      <c r="I194" s="52">
        <f>IFERROR(IF(INDEX('Faculties'!$O$26:$O$35,MATCH($F194,'Faculties'!$B$26:$B$35,0))="","Cell will autofill based on response",INDEX('Faculties'!$O$26:$O$35,MATCH($F194,'Faculties'!$B$26:$B$35,0))),"N/A")</f>
        <v/>
      </c>
      <c r="J194" s="52">
        <f>IFERROR(IF(INDEX('Faculties'!$O$42:$O$51,MATCH($F194,'Faculties'!$B$42:$B$51,0))="","Cell will autofill based on response",INDEX('Faculties'!$O$42:$O$51,MATCH($F194,'Faculties'!$B$42:$B$51,0))),"N/A")</f>
        <v/>
      </c>
      <c r="K194" s="52">
        <f>IFERROR(IF(INDEX('Faculties'!$O$58:$O$67,MATCH($F194,'Faculties'!$B$58:$B$67,0))="","Cell will autofill based on response",INDEX('Faculties'!$O$58:$O$67,MATCH($F194,'Faculties'!$B$58:$B$67,0))),"N/A")</f>
        <v/>
      </c>
      <c r="L194" s="52">
        <f>IFERROR(IF(INDEX('CI&amp;S'!$O$10:$O$15,MATCH($F194,'CI&amp;S'!$B$10:$B$15,0))="","Cell will autofill based on response",INDEX('CI&amp;S'!$O$10:$O$15,MATCH($F194,'CI&amp;S'!$B$10:$B$15,0))),"N/A")</f>
        <v/>
      </c>
      <c r="M194" s="52">
        <f>IFERROR(IF(INDEX('CI&amp;S'!$O$22:$O$36,MATCH($F194,'CI&amp;S'!$B$22:$B$36,0))="","Cell will autofill based on response",INDEX('CI&amp;S'!$O$22:$O$36,MATCH($F194,'CI&amp;S'!$B$22:$B$36,0))),"N/A")</f>
        <v/>
      </c>
      <c r="N194" s="52">
        <f>IFERROR(IF(INDEX('CFOG'!$O$10:$O$16,MATCH($F194,'CFOG'!$B$10:$B$16,0))="","Cell will autofill based on response",INDEX('CFOG'!$O$10:$O$16,MATCH($F194,'CFOG'!$B$10:$B$16,0))),"N/A")</f>
        <v/>
      </c>
      <c r="O194" s="52">
        <f>IFERROR(IF(INDEX('CFOG'!$O$23:$O$24,MATCH($F194,'CFOG'!$B$23:$B$24,0))="","Cell will autofill based on response",INDEX('CFOG'!$O$23:$O$24,MATCH($F194,'CFOG'!$B$23:$B$24,0))),"N/A")</f>
        <v/>
      </c>
      <c r="P194" s="52">
        <f>IFERROR(IF(INDEX('ESG'!$O$10:$O$17,MATCH($F194,'ESG'!$B$10:$B$17,0))="","Cell will autofill based on response",INDEX('ESG'!$O$10:$O$17,MATCH($F194,'ESG'!$B$10:$B$17,0))),"N/A")</f>
        <v/>
      </c>
      <c r="Q194" s="52">
        <f>IFERROR(IF(INDEX('CIOG'!$O$10:$O$14,MATCH($F194,'CIOG'!$B$10:$B$14,0))="","Cell will autofill based on response",INDEX('CIOG'!$O$10:$O$14,MATCH($F194,'CIOG'!$B$10:$B$14,0))),"N/A")</f>
        <v/>
      </c>
      <c r="R194" s="52">
        <f>IFERROR(IF(INDEX('MRE'!$O$10:$O$18,MATCH($F194,'MRE'!$B$10:$B$18,0))="","Cell will autofill based on response",INDEX('MRE'!$O$10:$O$18,MATCH($F194,'MRE'!$B$10:$B$18,0))),"N/A")</f>
        <v/>
      </c>
      <c r="S194" s="52">
        <f>IFERROR(IF(INDEX('AC&amp;M'!$O$10:$O$14,MATCH($F194,'AC&amp;M'!$B$10:$B$14,0))="","Cell will autofill based on response",INDEX('AC&amp;M'!$O$10:$O$14,MATCH($F194,'AC&amp;M'!$B$10:$B$14,0))),"N/A")</f>
        <v/>
      </c>
      <c r="T194" s="52">
        <f>IFERROR(IF(INDEX('GCE'!$O$10:$O$12,MATCH($F194,'GCE'!$B$10:$B$12,0))="","Cell will autofill based on response",INDEX('GCE'!$O$10:$O$12,MATCH($F194,'GCE'!$B$10:$B$12,0))),"N/A")</f>
        <v/>
      </c>
      <c r="U194" s="52">
        <f>IFERROR(IF(INDEX('Education'!$O$10:$O$13,MATCH($F194,'Education'!$B$10:$B$13,0))="","Cell will autofill based on response",INDEX('Education'!$O$10:$O$13,MATCH($F194,'Education'!$B$10:$B$13,0))),"N/A")</f>
        <v/>
      </c>
      <c r="V194" s="52">
        <f>IFERROR(IF(INDEX('SaSS'!$O$10:$O$12,MATCH($F194,'SaSS'!$B$10:$B$12,0))="","Cell will autofill based on response",INDEX('SaSS'!$O$10:$O$12,MATCH($F194,'SaSS'!$B$10:$B$12,0))),"N/A")</f>
        <v/>
      </c>
      <c r="W194" s="52">
        <f>IFERROR(IF(INDEX('Indigenous'!$O$10:$O$11,MATCH($F194,'Indigenous'!$B$10:$B$11,0))="","Cell will autofill based on response",INDEX('Indigenous'!$O$10:$O$11,MATCH($F194,'Indigenous'!$B$10:$B$11,0))),"N/A")</f>
        <v/>
      </c>
      <c r="X194" s="52">
        <f>IFERROR(IF(INDEX('L&amp;R'!$O$10:$O$11,MATCH($F194,'L&amp;R'!$B$10:$B$11,0))="","Cell will autofill based on response",INDEX('L&amp;R'!$O$10:$O$11,MATCH($F194,'L&amp;R'!$B$10:$B$11,0))),"N/A")</f>
        <v/>
      </c>
    </row>
    <row r="195">
      <c r="A195">
        <f>F195&amp;"|"&amp;G195</f>
        <v/>
      </c>
      <c r="B195" s="13" t="inlineStr"/>
      <c r="C195" s="8" t="inlineStr"/>
      <c r="D195" s="8" t="inlineStr"/>
      <c r="E195" s="8" t="inlineStr"/>
      <c r="F195" s="8" t="inlineStr">
        <is>
          <t>EI1(d)</t>
        </is>
      </c>
      <c r="G195" s="8" t="inlineStr">
        <is>
          <t>Data source and limitations</t>
        </is>
      </c>
      <c r="H195" s="52">
        <f>IFERROR(IF(INDEX('Faculties'!$P$10:$P$19,MATCH($F195,'Faculties'!$B$10:$B$19,0))="","Cell will autofill based on response",INDEX('Faculties'!$P$10:$P$19,MATCH($F195,'Faculties'!$B$10:$B$19,0))),"N/A")</f>
        <v/>
      </c>
      <c r="I195" s="52">
        <f>IFERROR(IF(INDEX('Faculties'!$P$26:$P$35,MATCH($F195,'Faculties'!$B$26:$B$35,0))="","Cell will autofill based on response",INDEX('Faculties'!$P$26:$P$35,MATCH($F195,'Faculties'!$B$26:$B$35,0))),"N/A")</f>
        <v/>
      </c>
      <c r="J195" s="52">
        <f>IFERROR(IF(INDEX('Faculties'!$P$42:$P$51,MATCH($F195,'Faculties'!$B$42:$B$51,0))="","Cell will autofill based on response",INDEX('Faculties'!$P$42:$P$51,MATCH($F195,'Faculties'!$B$42:$B$51,0))),"N/A")</f>
        <v/>
      </c>
      <c r="K195" s="52">
        <f>IFERROR(IF(INDEX('Faculties'!$P$58:$P$67,MATCH($F195,'Faculties'!$B$58:$B$67,0))="","Cell will autofill based on response",INDEX('Faculties'!$P$58:$P$67,MATCH($F195,'Faculties'!$B$58:$B$67,0))),"N/A")</f>
        <v/>
      </c>
      <c r="L195" s="52">
        <f>IFERROR(IF(INDEX('CI&amp;S'!$P$10:$P$15,MATCH($F195,'CI&amp;S'!$B$10:$B$15,0))="","Cell will autofill based on response",INDEX('CI&amp;S'!$P$10:$P$15,MATCH($F195,'CI&amp;S'!$B$10:$B$15,0))),"N/A")</f>
        <v/>
      </c>
      <c r="M195" s="52">
        <f>IFERROR(IF(INDEX('CI&amp;S'!$P$22:$P$36,MATCH($F195,'CI&amp;S'!$B$22:$B$36,0))="","Cell will autofill based on response",INDEX('CI&amp;S'!$P$22:$P$36,MATCH($F195,'CI&amp;S'!$B$22:$B$36,0))),"N/A")</f>
        <v/>
      </c>
      <c r="N195" s="52">
        <f>IFERROR(IF(INDEX('CFOG'!$P$10:$P$16,MATCH($F195,'CFOG'!$B$10:$B$16,0))="","Cell will autofill based on response",INDEX('CFOG'!$P$10:$P$16,MATCH($F195,'CFOG'!$B$10:$B$16,0))),"N/A")</f>
        <v/>
      </c>
      <c r="O195" s="52">
        <f>IFERROR(IF(INDEX('CFOG'!$P$23:$P$24,MATCH($F195,'CFOG'!$B$23:$B$24,0))="","Cell will autofill based on response",INDEX('CFOG'!$P$23:$P$24,MATCH($F195,'CFOG'!$B$23:$B$24,0))),"N/A")</f>
        <v/>
      </c>
      <c r="P195" s="52">
        <f>IFERROR(IF(INDEX('ESG'!$P$10:$P$17,MATCH($F195,'ESG'!$B$10:$B$17,0))="","Cell will autofill based on response",INDEX('ESG'!$P$10:$P$17,MATCH($F195,'ESG'!$B$10:$B$17,0))),"N/A")</f>
        <v/>
      </c>
      <c r="Q195" s="52">
        <f>IFERROR(IF(INDEX('CIOG'!$P$10:$P$14,MATCH($F195,'CIOG'!$B$10:$B$14,0))="","Cell will autofill based on response",INDEX('CIOG'!$P$10:$P$14,MATCH($F195,'CIOG'!$B$10:$B$14,0))),"N/A")</f>
        <v/>
      </c>
      <c r="R195" s="52">
        <f>IFERROR(IF(INDEX('MRE'!$P$10:$P$18,MATCH($F195,'MRE'!$B$10:$B$18,0))="","Cell will autofill based on response",INDEX('MRE'!$P$10:$P$18,MATCH($F195,'MRE'!$B$10:$B$18,0))),"N/A")</f>
        <v/>
      </c>
      <c r="S195" s="52">
        <f>IFERROR(IF(INDEX('AC&amp;M'!$P$10:$P$14,MATCH($F195,'AC&amp;M'!$B$10:$B$14,0))="","Cell will autofill based on response",INDEX('AC&amp;M'!$P$10:$P$14,MATCH($F195,'AC&amp;M'!$B$10:$B$14,0))),"N/A")</f>
        <v/>
      </c>
      <c r="T195" s="52">
        <f>IFERROR(IF(INDEX('GCE'!$P$10:$P$12,MATCH($F195,'GCE'!$B$10:$B$12,0))="","Cell will autofill based on response",INDEX('GCE'!$P$10:$P$12,MATCH($F195,'GCE'!$B$10:$B$12,0))),"N/A")</f>
        <v/>
      </c>
      <c r="U195" s="52">
        <f>IFERROR(IF(INDEX('Education'!$P$10:$P$13,MATCH($F195,'Education'!$B$10:$B$13,0))="","Cell will autofill based on response",INDEX('Education'!$P$10:$P$13,MATCH($F195,'Education'!$B$10:$B$13,0))),"N/A")</f>
        <v/>
      </c>
      <c r="V195" s="52">
        <f>IFERROR(IF(INDEX('SaSS'!$P$10:$P$12,MATCH($F195,'SaSS'!$B$10:$B$12,0))="","Cell will autofill based on response",INDEX('SaSS'!$P$10:$P$12,MATCH($F195,'SaSS'!$B$10:$B$12,0))),"N/A")</f>
        <v/>
      </c>
      <c r="W195" s="52">
        <f>IFERROR(IF(INDEX('Indigenous'!$P$10:$P$11,MATCH($F195,'Indigenous'!$B$10:$B$11,0))="","Cell will autofill based on response",INDEX('Indigenous'!$P$10:$P$11,MATCH($F195,'Indigenous'!$B$10:$B$11,0))),"N/A")</f>
        <v/>
      </c>
      <c r="X195" s="52">
        <f>IFERROR(IF(INDEX('L&amp;R'!$P$10:$P$11,MATCH($F195,'L&amp;R'!$B$10:$B$11,0))="","Cell will autofill based on response",INDEX('L&amp;R'!$P$10:$P$11,MATCH($F195,'L&amp;R'!$B$10:$B$11,0))),"N/A")</f>
        <v/>
      </c>
    </row>
    <row r="196">
      <c r="A196">
        <f>F196&amp;"|"&amp;G196</f>
        <v/>
      </c>
      <c r="B196" s="13" t="inlineStr"/>
      <c r="C196" s="8" t="inlineStr"/>
      <c r="D196" s="8" t="inlineStr"/>
      <c r="E196" s="8" t="inlineStr"/>
      <c r="F196" s="8" t="inlineStr">
        <is>
          <t>EI1(d)</t>
        </is>
      </c>
      <c r="G196" s="8" t="inlineStr">
        <is>
          <t>Data owner confirms</t>
        </is>
      </c>
      <c r="H196" s="52">
        <f>IFERROR(IF(INDEX('Faculties'!$Q$10:$Q$19,MATCH($F196,'Faculties'!$B$10:$B$19,0))="","Cell will autofill based on response",INDEX('Faculties'!$Q$10:$Q$19,MATCH($F196,'Faculties'!$B$10:$B$19,0))),"N/A")</f>
        <v/>
      </c>
      <c r="I196" s="52">
        <f>IFERROR(IF(INDEX('Faculties'!$Q$26:$Q$35,MATCH($F196,'Faculties'!$B$26:$B$35,0))="","Cell will autofill based on response",INDEX('Faculties'!$Q$26:$Q$35,MATCH($F196,'Faculties'!$B$26:$B$35,0))),"N/A")</f>
        <v/>
      </c>
      <c r="J196" s="52">
        <f>IFERROR(IF(INDEX('Faculties'!$Q$42:$Q$51,MATCH($F196,'Faculties'!$B$42:$B$51,0))="","Cell will autofill based on response",INDEX('Faculties'!$Q$42:$Q$51,MATCH($F196,'Faculties'!$B$42:$B$51,0))),"N/A")</f>
        <v/>
      </c>
      <c r="K196" s="52">
        <f>IFERROR(IF(INDEX('Faculties'!$Q$58:$Q$67,MATCH($F196,'Faculties'!$B$58:$B$67,0))="","Cell will autofill based on response",INDEX('Faculties'!$Q$58:$Q$67,MATCH($F196,'Faculties'!$B$58:$B$67,0))),"N/A")</f>
        <v/>
      </c>
      <c r="L196" s="52">
        <f>IFERROR(IF(INDEX('CI&amp;S'!$Q$10:$Q$15,MATCH($F196,'CI&amp;S'!$B$10:$B$15,0))="","Cell will autofill based on response",INDEX('CI&amp;S'!$Q$10:$Q$15,MATCH($F196,'CI&amp;S'!$B$10:$B$15,0))),"N/A")</f>
        <v/>
      </c>
      <c r="M196" s="52">
        <f>IFERROR(IF(INDEX('CI&amp;S'!$Q$22:$Q$36,MATCH($F196,'CI&amp;S'!$B$22:$B$36,0))="","Cell will autofill based on response",INDEX('CI&amp;S'!$Q$22:$Q$36,MATCH($F196,'CI&amp;S'!$B$22:$B$36,0))),"N/A")</f>
        <v/>
      </c>
      <c r="N196" s="52">
        <f>IFERROR(IF(INDEX('CFOG'!$Q$10:$Q$16,MATCH($F196,'CFOG'!$B$10:$B$16,0))="","Cell will autofill based on response",INDEX('CFOG'!$Q$10:$Q$16,MATCH($F196,'CFOG'!$B$10:$B$16,0))),"N/A")</f>
        <v/>
      </c>
      <c r="O196" s="52">
        <f>IFERROR(IF(INDEX('CFOG'!$Q$23:$Q$24,MATCH($F196,'CFOG'!$B$23:$B$24,0))="","Cell will autofill based on response",INDEX('CFOG'!$Q$23:$Q$24,MATCH($F196,'CFOG'!$B$23:$B$24,0))),"N/A")</f>
        <v/>
      </c>
      <c r="P196" s="52">
        <f>IFERROR(IF(INDEX('ESG'!$Q$10:$Q$17,MATCH($F196,'ESG'!$B$10:$B$17,0))="","Cell will autofill based on response",INDEX('ESG'!$Q$10:$Q$17,MATCH($F196,'ESG'!$B$10:$B$17,0))),"N/A")</f>
        <v/>
      </c>
      <c r="Q196" s="52">
        <f>IFERROR(IF(INDEX('CIOG'!$Q$10:$Q$14,MATCH($F196,'CIOG'!$B$10:$B$14,0))="","Cell will autofill based on response",INDEX('CIOG'!$Q$10:$Q$14,MATCH($F196,'CIOG'!$B$10:$B$14,0))),"N/A")</f>
        <v/>
      </c>
      <c r="R196" s="52">
        <f>IFERROR(IF(INDEX('MRE'!$Q$10:$Q$18,MATCH($F196,'MRE'!$B$10:$B$18,0))="","Cell will autofill based on response",INDEX('MRE'!$Q$10:$Q$18,MATCH($F196,'MRE'!$B$10:$B$18,0))),"N/A")</f>
        <v/>
      </c>
      <c r="S196" s="52">
        <f>IFERROR(IF(INDEX('AC&amp;M'!$Q$10:$Q$14,MATCH($F196,'AC&amp;M'!$B$10:$B$14,0))="","Cell will autofill based on response",INDEX('AC&amp;M'!$Q$10:$Q$14,MATCH($F196,'AC&amp;M'!$B$10:$B$14,0))),"N/A")</f>
        <v/>
      </c>
      <c r="T196" s="52">
        <f>IFERROR(IF(INDEX('GCE'!$Q$10:$Q$12,MATCH($F196,'GCE'!$B$10:$B$12,0))="","Cell will autofill based on response",INDEX('GCE'!$Q$10:$Q$12,MATCH($F196,'GCE'!$B$10:$B$12,0))),"N/A")</f>
        <v/>
      </c>
      <c r="U196" s="52">
        <f>IFERROR(IF(INDEX('Education'!$Q$10:$Q$13,MATCH($F196,'Education'!$B$10:$B$13,0))="","Cell will autofill based on response",INDEX('Education'!$Q$10:$Q$13,MATCH($F196,'Education'!$B$10:$B$13,0))),"N/A")</f>
        <v/>
      </c>
      <c r="V196" s="52">
        <f>IFERROR(IF(INDEX('SaSS'!$Q$10:$Q$12,MATCH($F196,'SaSS'!$B$10:$B$12,0))="","Cell will autofill based on response",INDEX('SaSS'!$Q$10:$Q$12,MATCH($F196,'SaSS'!$B$10:$B$12,0))),"N/A")</f>
        <v/>
      </c>
      <c r="W196" s="52">
        <f>IFERROR(IF(INDEX('Indigenous'!$Q$10:$Q$11,MATCH($F196,'Indigenous'!$B$10:$B$11,0))="","Cell will autofill based on response",INDEX('Indigenous'!$Q$10:$Q$11,MATCH($F196,'Indigenous'!$B$10:$B$11,0))),"N/A")</f>
        <v/>
      </c>
      <c r="X196" s="52">
        <f>IFERROR(IF(INDEX('L&amp;R'!$Q$10:$Q$11,MATCH($F196,'L&amp;R'!$B$10:$B$11,0))="","Cell will autofill based on response",INDEX('L&amp;R'!$Q$10:$Q$11,MATCH($F196,'L&amp;R'!$B$10:$B$11,0))),"N/A")</f>
        <v/>
      </c>
    </row>
    <row r="197">
      <c r="A197">
        <f>F197&amp;"|"&amp;G197</f>
        <v/>
      </c>
      <c r="B197" s="7" t="inlineStr">
        <is>
          <t>RP1(a)</t>
        </is>
      </c>
      <c r="C197" s="50" t="inlineStr">
        <is>
          <t>Responsible procurement</t>
        </is>
      </c>
      <c r="D197" s="50" t="inlineStr">
        <is>
          <t>Case studies of maturity improvement related to responsible procurement process and systems.</t>
        </is>
      </c>
      <c r="E197" s="50" t="inlineStr">
        <is>
          <t>Maturity score if framework established; % procurement staff trained</t>
        </is>
      </c>
      <c r="F197" s="50" t="inlineStr">
        <is>
          <t>RP1(a)</t>
        </is>
      </c>
      <c r="G197" s="50" t="inlineStr">
        <is>
          <t>Confirm end-2026 target status</t>
        </is>
      </c>
      <c r="H197" s="52">
        <f>IFERROR(IF(INDEX('Faculties'!$L$10:$L$19,MATCH($F197,'Faculties'!$B$10:$B$19,0))="","Cell will autofill based on response",INDEX('Faculties'!$L$10:$L$19,MATCH($F197,'Faculties'!$B$10:$B$19,0))),"N/A")</f>
        <v/>
      </c>
      <c r="I197" s="52">
        <f>IFERROR(IF(INDEX('Faculties'!$L$26:$L$35,MATCH($F197,'Faculties'!$B$26:$B$35,0))="","Cell will autofill based on response",INDEX('Faculties'!$L$26:$L$35,MATCH($F197,'Faculties'!$B$26:$B$35,0))),"N/A")</f>
        <v/>
      </c>
      <c r="J197" s="52">
        <f>IFERROR(IF(INDEX('Faculties'!$L$42:$L$51,MATCH($F197,'Faculties'!$B$42:$B$51,0))="","Cell will autofill based on response",INDEX('Faculties'!$L$42:$L$51,MATCH($F197,'Faculties'!$B$42:$B$51,0))),"N/A")</f>
        <v/>
      </c>
      <c r="K197" s="52">
        <f>IFERROR(IF(INDEX('Faculties'!$L$58:$L$67,MATCH($F197,'Faculties'!$B$58:$B$67,0))="","Cell will autofill based on response",INDEX('Faculties'!$L$58:$L$67,MATCH($F197,'Faculties'!$B$58:$B$67,0))),"N/A")</f>
        <v/>
      </c>
      <c r="L197" s="52">
        <f>IFERROR(IF(INDEX('CI&amp;S'!$L$10:$L$15,MATCH($F197,'CI&amp;S'!$B$10:$B$15,0))="","Cell will autofill based on response",INDEX('CI&amp;S'!$L$10:$L$15,MATCH($F197,'CI&amp;S'!$B$10:$B$15,0))),"N/A")</f>
        <v/>
      </c>
      <c r="M197" s="52">
        <f>IFERROR(IF(INDEX('CI&amp;S'!$L$22:$L$36,MATCH($F197,'CI&amp;S'!$B$22:$B$36,0))="","Cell will autofill based on response",INDEX('CI&amp;S'!$L$22:$L$36,MATCH($F197,'CI&amp;S'!$B$22:$B$36,0))),"N/A")</f>
        <v/>
      </c>
      <c r="N197" s="52">
        <f>IFERROR(IF(INDEX('CFOG'!$L$10:$L$16,MATCH($F197,'CFOG'!$B$10:$B$16,0))="","Cell will autofill based on response",INDEX('CFOG'!$L$10:$L$16,MATCH($F197,'CFOG'!$B$10:$B$16,0))),"N/A")</f>
        <v/>
      </c>
      <c r="O197" s="52">
        <f>IFERROR(IF(INDEX('CFOG'!$L$23:$L$24,MATCH($F197,'CFOG'!$B$23:$B$24,0))="","Cell will autofill based on response",INDEX('CFOG'!$L$23:$L$24,MATCH($F197,'CFOG'!$B$23:$B$24,0))),"N/A")</f>
        <v/>
      </c>
      <c r="P197" s="52">
        <f>IFERROR(IF(INDEX('ESG'!$L$10:$L$17,MATCH($F197,'ESG'!$B$10:$B$17,0))="","Cell will autofill based on response",INDEX('ESG'!$L$10:$L$17,MATCH($F197,'ESG'!$B$10:$B$17,0))),"N/A")</f>
        <v/>
      </c>
      <c r="Q197" s="52">
        <f>IFERROR(IF(INDEX('CIOG'!$L$10:$L$14,MATCH($F197,'CIOG'!$B$10:$B$14,0))="","Cell will autofill based on response",INDEX('CIOG'!$L$10:$L$14,MATCH($F197,'CIOG'!$B$10:$B$14,0))),"N/A")</f>
        <v/>
      </c>
      <c r="R197" s="52">
        <f>IFERROR(IF(INDEX('MRE'!$L$10:$L$18,MATCH($F197,'MRE'!$B$10:$B$18,0))="","Cell will autofill based on response",INDEX('MRE'!$L$10:$L$18,MATCH($F197,'MRE'!$B$10:$B$18,0))),"N/A")</f>
        <v/>
      </c>
      <c r="S197" s="52">
        <f>IFERROR(IF(INDEX('AC&amp;M'!$L$10:$L$14,MATCH($F197,'AC&amp;M'!$B$10:$B$14,0))="","Cell will autofill based on response",INDEX('AC&amp;M'!$L$10:$L$14,MATCH($F197,'AC&amp;M'!$B$10:$B$14,0))),"N/A")</f>
        <v/>
      </c>
      <c r="T197" s="52">
        <f>IFERROR(IF(INDEX('GCE'!$L$10:$L$12,MATCH($F197,'GCE'!$B$10:$B$12,0))="","Cell will autofill based on response",INDEX('GCE'!$L$10:$L$12,MATCH($F197,'GCE'!$B$10:$B$12,0))),"N/A")</f>
        <v/>
      </c>
      <c r="U197" s="52">
        <f>IFERROR(IF(INDEX('Education'!$L$10:$L$13,MATCH($F197,'Education'!$B$10:$B$13,0))="","Cell will autofill based on response",INDEX('Education'!$L$10:$L$13,MATCH($F197,'Education'!$B$10:$B$13,0))),"N/A")</f>
        <v/>
      </c>
      <c r="V197" s="52">
        <f>IFERROR(IF(INDEX('SaSS'!$L$10:$L$12,MATCH($F197,'SaSS'!$B$10:$B$12,0))="","Cell will autofill based on response",INDEX('SaSS'!$L$10:$L$12,MATCH($F197,'SaSS'!$B$10:$B$12,0))),"N/A")</f>
        <v/>
      </c>
      <c r="W197" s="52">
        <f>IFERROR(IF(INDEX('Indigenous'!$L$10:$L$11,MATCH($F197,'Indigenous'!$B$10:$B$11,0))="","Cell will autofill based on response",INDEX('Indigenous'!$L$10:$L$11,MATCH($F197,'Indigenous'!$B$10:$B$11,0))),"N/A")</f>
        <v/>
      </c>
      <c r="X197" s="52">
        <f>IFERROR(IF(INDEX('L&amp;R'!$L$10:$L$11,MATCH($F197,'L&amp;R'!$B$10:$B$11,0))="","Cell will autofill based on response",INDEX('L&amp;R'!$L$10:$L$11,MATCH($F197,'L&amp;R'!$B$10:$B$11,0))),"N/A")</f>
        <v/>
      </c>
      <c r="Z197" s="10">
        <f>COUNTIF($H197:$X197,"Cell will autofill based on response")</f>
        <v/>
      </c>
      <c r="AA197" s="10">
        <f>COUNTIF($H197:$X197,"Not yet started")</f>
        <v/>
      </c>
      <c r="AB197" s="10">
        <f>COUNTIF($H197:$X197,"Not met")</f>
        <v/>
      </c>
      <c r="AC197" s="10">
        <f>COUNTIF($H197:$X197,"Partially met")</f>
        <v/>
      </c>
      <c r="AD197" s="10">
        <f>COUNTIF($H197:$X197,"Met or exceeded")</f>
        <v/>
      </c>
      <c r="AE197" s="10">
        <f>3*AD197+2*AC197+AB197</f>
        <v/>
      </c>
      <c r="AF197" s="10">
        <f>AD197+AC197+AB197+AA197</f>
        <v/>
      </c>
      <c r="AG197" s="53">
        <f>IF(AF197&gt;0,AE197/AF197,"No valid responses to date")</f>
        <v/>
      </c>
      <c r="AH197" s="10">
        <f>IF(ISNUMBER(AG197),INDEX(Lists!$G$2:$G$5,MATCH(ROUND(AG197,0),Lists!$H$2:$H$5,0)),"")</f>
        <v/>
      </c>
      <c r="AI197" s="54">
        <f>IF(AF197&gt;0,AD197/AF197,"")</f>
        <v/>
      </c>
      <c r="AJ197" s="54">
        <f>IF(AF197&gt;0,(AD197+AC197)/AF197,"")</f>
        <v/>
      </c>
      <c r="AK197" s="10">
        <f>IF(AF197=0,"",IF(AI197&gt;0.75,"Met or exceeded",IF(AJ197&gt;=0.5,"Partially met","Not met")))</f>
        <v/>
      </c>
    </row>
    <row r="198">
      <c r="A198">
        <f>F198&amp;"|"&amp;G198</f>
        <v/>
      </c>
      <c r="B198" s="13" t="inlineStr"/>
      <c r="C198" s="8" t="inlineStr"/>
      <c r="D198" s="8" t="inlineStr"/>
      <c r="E198" s="8" t="inlineStr"/>
      <c r="F198" s="8" t="inlineStr">
        <is>
          <t>RP1(a)</t>
        </is>
      </c>
      <c r="G198" s="8" t="inlineStr">
        <is>
          <t>OPTION 1:  Target-level reporting</t>
        </is>
      </c>
      <c r="H198" s="52">
        <f>IFERROR(IF(INDEX('Faculties'!$M$10:$M$19,MATCH($F198,'Faculties'!$B$10:$B$19,0))="","Cell will autofill based on response",INDEX('Faculties'!$M$10:$M$19,MATCH($F198,'Faculties'!$B$10:$B$19,0))),"N/A")</f>
        <v/>
      </c>
      <c r="I198" s="52">
        <f>IFERROR(IF(INDEX('Faculties'!$M$26:$M$35,MATCH($F198,'Faculties'!$B$26:$B$35,0))="","Cell will autofill based on response",INDEX('Faculties'!$M$26:$M$35,MATCH($F198,'Faculties'!$B$26:$B$35,0))),"N/A")</f>
        <v/>
      </c>
      <c r="J198" s="52">
        <f>IFERROR(IF(INDEX('Faculties'!$M$42:$M$51,MATCH($F198,'Faculties'!$B$42:$B$51,0))="","Cell will autofill based on response",INDEX('Faculties'!$M$42:$M$51,MATCH($F198,'Faculties'!$B$42:$B$51,0))),"N/A")</f>
        <v/>
      </c>
      <c r="K198" s="52">
        <f>IFERROR(IF(INDEX('Faculties'!$M$58:$M$67,MATCH($F198,'Faculties'!$B$58:$B$67,0))="","Cell will autofill based on response",INDEX('Faculties'!$M$58:$M$67,MATCH($F198,'Faculties'!$B$58:$B$67,0))),"N/A")</f>
        <v/>
      </c>
      <c r="L198" s="52">
        <f>IFERROR(IF(INDEX('CI&amp;S'!$M$10:$M$15,MATCH($F198,'CI&amp;S'!$B$10:$B$15,0))="","Cell will autofill based on response",INDEX('CI&amp;S'!$M$10:$M$15,MATCH($F198,'CI&amp;S'!$B$10:$B$15,0))),"N/A")</f>
        <v/>
      </c>
      <c r="M198" s="52">
        <f>IFERROR(IF(INDEX('CI&amp;S'!$M$22:$M$36,MATCH($F198,'CI&amp;S'!$B$22:$B$36,0))="","Cell will autofill based on response",INDEX('CI&amp;S'!$M$22:$M$36,MATCH($F198,'CI&amp;S'!$B$22:$B$36,0))),"N/A")</f>
        <v/>
      </c>
      <c r="N198" s="52">
        <f>IFERROR(IF(INDEX('CFOG'!$M$10:$M$16,MATCH($F198,'CFOG'!$B$10:$B$16,0))="","Cell will autofill based on response",INDEX('CFOG'!$M$10:$M$16,MATCH($F198,'CFOG'!$B$10:$B$16,0))),"N/A")</f>
        <v/>
      </c>
      <c r="O198" s="52">
        <f>IFERROR(IF(INDEX('CFOG'!$M$23:$M$24,MATCH($F198,'CFOG'!$B$23:$B$24,0))="","Cell will autofill based on response",INDEX('CFOG'!$M$23:$M$24,MATCH($F198,'CFOG'!$B$23:$B$24,0))),"N/A")</f>
        <v/>
      </c>
      <c r="P198" s="52">
        <f>IFERROR(IF(INDEX('ESG'!$M$10:$M$17,MATCH($F198,'ESG'!$B$10:$B$17,0))="","Cell will autofill based on response",INDEX('ESG'!$M$10:$M$17,MATCH($F198,'ESG'!$B$10:$B$17,0))),"N/A")</f>
        <v/>
      </c>
      <c r="Q198" s="52">
        <f>IFERROR(IF(INDEX('CIOG'!$M$10:$M$14,MATCH($F198,'CIOG'!$B$10:$B$14,0))="","Cell will autofill based on response",INDEX('CIOG'!$M$10:$M$14,MATCH($F198,'CIOG'!$B$10:$B$14,0))),"N/A")</f>
        <v/>
      </c>
      <c r="R198" s="52">
        <f>IFERROR(IF(INDEX('MRE'!$M$10:$M$18,MATCH($F198,'MRE'!$B$10:$B$18,0))="","Cell will autofill based on response",INDEX('MRE'!$M$10:$M$18,MATCH($F198,'MRE'!$B$10:$B$18,0))),"N/A")</f>
        <v/>
      </c>
      <c r="S198" s="52">
        <f>IFERROR(IF(INDEX('AC&amp;M'!$M$10:$M$14,MATCH($F198,'AC&amp;M'!$B$10:$B$14,0))="","Cell will autofill based on response",INDEX('AC&amp;M'!$M$10:$M$14,MATCH($F198,'AC&amp;M'!$B$10:$B$14,0))),"N/A")</f>
        <v/>
      </c>
      <c r="T198" s="52">
        <f>IFERROR(IF(INDEX('GCE'!$M$10:$M$12,MATCH($F198,'GCE'!$B$10:$B$12,0))="","Cell will autofill based on response",INDEX('GCE'!$M$10:$M$12,MATCH($F198,'GCE'!$B$10:$B$12,0))),"N/A")</f>
        <v/>
      </c>
      <c r="U198" s="52">
        <f>IFERROR(IF(INDEX('Education'!$M$10:$M$13,MATCH($F198,'Education'!$B$10:$B$13,0))="","Cell will autofill based on response",INDEX('Education'!$M$10:$M$13,MATCH($F198,'Education'!$B$10:$B$13,0))),"N/A")</f>
        <v/>
      </c>
      <c r="V198" s="52">
        <f>IFERROR(IF(INDEX('SaSS'!$M$10:$M$12,MATCH($F198,'SaSS'!$B$10:$B$12,0))="","Cell will autofill based on response",INDEX('SaSS'!$M$10:$M$12,MATCH($F198,'SaSS'!$B$10:$B$12,0))),"N/A")</f>
        <v/>
      </c>
      <c r="W198" s="52">
        <f>IFERROR(IF(INDEX('Indigenous'!$M$10:$M$11,MATCH($F198,'Indigenous'!$B$10:$B$11,0))="","Cell will autofill based on response",INDEX('Indigenous'!$M$10:$M$11,MATCH($F198,'Indigenous'!$B$10:$B$11,0))),"N/A")</f>
        <v/>
      </c>
      <c r="X198" s="52">
        <f>IFERROR(IF(INDEX('L&amp;R'!$M$10:$M$11,MATCH($F198,'L&amp;R'!$B$10:$B$11,0))="","Cell will autofill based on response",INDEX('L&amp;R'!$M$10:$M$11,MATCH($F198,'L&amp;R'!$B$10:$B$11,0))),"N/A")</f>
        <v/>
      </c>
    </row>
    <row r="199">
      <c r="A199">
        <f>F199&amp;"|"&amp;G199</f>
        <v/>
      </c>
      <c r="B199" s="13" t="inlineStr"/>
      <c r="C199" s="8" t="inlineStr"/>
      <c r="D199" s="8" t="inlineStr"/>
      <c r="E199" s="8" t="inlineStr"/>
      <c r="F199" s="8" t="inlineStr">
        <is>
          <t>RP1(a)</t>
        </is>
      </c>
      <c r="G199" s="8" t="inlineStr">
        <is>
          <t>OPTION 2:  Indicator level reporting</t>
        </is>
      </c>
      <c r="H199" s="52">
        <f>IFERROR(IF(INDEX('Faculties'!$N$10:$N$19,MATCH($F199,'Faculties'!$B$10:$B$19,0))="","Cell will autofill based on response",INDEX('Faculties'!$N$10:$N$19,MATCH($F199,'Faculties'!$B$10:$B$19,0))),"N/A")</f>
        <v/>
      </c>
      <c r="I199" s="52">
        <f>IFERROR(IF(INDEX('Faculties'!$N$26:$N$35,MATCH($F199,'Faculties'!$B$26:$B$35,0))="","Cell will autofill based on response",INDEX('Faculties'!$N$26:$N$35,MATCH($F199,'Faculties'!$B$26:$B$35,0))),"N/A")</f>
        <v/>
      </c>
      <c r="J199" s="52">
        <f>IFERROR(IF(INDEX('Faculties'!$N$42:$N$51,MATCH($F199,'Faculties'!$B$42:$B$51,0))="","Cell will autofill based on response",INDEX('Faculties'!$N$42:$N$51,MATCH($F199,'Faculties'!$B$42:$B$51,0))),"N/A")</f>
        <v/>
      </c>
      <c r="K199" s="52">
        <f>IFERROR(IF(INDEX('Faculties'!$N$58:$N$67,MATCH($F199,'Faculties'!$B$58:$B$67,0))="","Cell will autofill based on response",INDEX('Faculties'!$N$58:$N$67,MATCH($F199,'Faculties'!$B$58:$B$67,0))),"N/A")</f>
        <v/>
      </c>
      <c r="L199" s="52">
        <f>IFERROR(IF(INDEX('CI&amp;S'!$N$10:$N$15,MATCH($F199,'CI&amp;S'!$B$10:$B$15,0))="","Cell will autofill based on response",INDEX('CI&amp;S'!$N$10:$N$15,MATCH($F199,'CI&amp;S'!$B$10:$B$15,0))),"N/A")</f>
        <v/>
      </c>
      <c r="M199" s="52">
        <f>IFERROR(IF(INDEX('CI&amp;S'!$N$22:$N$36,MATCH($F199,'CI&amp;S'!$B$22:$B$36,0))="","Cell will autofill based on response",INDEX('CI&amp;S'!$N$22:$N$36,MATCH($F199,'CI&amp;S'!$B$22:$B$36,0))),"N/A")</f>
        <v/>
      </c>
      <c r="N199" s="52">
        <f>IFERROR(IF(INDEX('CFOG'!$N$10:$N$16,MATCH($F199,'CFOG'!$B$10:$B$16,0))="","Cell will autofill based on response",INDEX('CFOG'!$N$10:$N$16,MATCH($F199,'CFOG'!$B$10:$B$16,0))),"N/A")</f>
        <v/>
      </c>
      <c r="O199" s="52">
        <f>IFERROR(IF(INDEX('CFOG'!$N$23:$N$24,MATCH($F199,'CFOG'!$B$23:$B$24,0))="","Cell will autofill based on response",INDEX('CFOG'!$N$23:$N$24,MATCH($F199,'CFOG'!$B$23:$B$24,0))),"N/A")</f>
        <v/>
      </c>
      <c r="P199" s="52">
        <f>IFERROR(IF(INDEX('ESG'!$N$10:$N$17,MATCH($F199,'ESG'!$B$10:$B$17,0))="","Cell will autofill based on response",INDEX('ESG'!$N$10:$N$17,MATCH($F199,'ESG'!$B$10:$B$17,0))),"N/A")</f>
        <v/>
      </c>
      <c r="Q199" s="52">
        <f>IFERROR(IF(INDEX('CIOG'!$N$10:$N$14,MATCH($F199,'CIOG'!$B$10:$B$14,0))="","Cell will autofill based on response",INDEX('CIOG'!$N$10:$N$14,MATCH($F199,'CIOG'!$B$10:$B$14,0))),"N/A")</f>
        <v/>
      </c>
      <c r="R199" s="52">
        <f>IFERROR(IF(INDEX('MRE'!$N$10:$N$18,MATCH($F199,'MRE'!$B$10:$B$18,0))="","Cell will autofill based on response",INDEX('MRE'!$N$10:$N$18,MATCH($F199,'MRE'!$B$10:$B$18,0))),"N/A")</f>
        <v/>
      </c>
      <c r="S199" s="52">
        <f>IFERROR(IF(INDEX('AC&amp;M'!$N$10:$N$14,MATCH($F199,'AC&amp;M'!$B$10:$B$14,0))="","Cell will autofill based on response",INDEX('AC&amp;M'!$N$10:$N$14,MATCH($F199,'AC&amp;M'!$B$10:$B$14,0))),"N/A")</f>
        <v/>
      </c>
      <c r="T199" s="52">
        <f>IFERROR(IF(INDEX('GCE'!$N$10:$N$12,MATCH($F199,'GCE'!$B$10:$B$12,0))="","Cell will autofill based on response",INDEX('GCE'!$N$10:$N$12,MATCH($F199,'GCE'!$B$10:$B$12,0))),"N/A")</f>
        <v/>
      </c>
      <c r="U199" s="52">
        <f>IFERROR(IF(INDEX('Education'!$N$10:$N$13,MATCH($F199,'Education'!$B$10:$B$13,0))="","Cell will autofill based on response",INDEX('Education'!$N$10:$N$13,MATCH($F199,'Education'!$B$10:$B$13,0))),"N/A")</f>
        <v/>
      </c>
      <c r="V199" s="52">
        <f>IFERROR(IF(INDEX('SaSS'!$N$10:$N$12,MATCH($F199,'SaSS'!$B$10:$B$12,0))="","Cell will autofill based on response",INDEX('SaSS'!$N$10:$N$12,MATCH($F199,'SaSS'!$B$10:$B$12,0))),"N/A")</f>
        <v/>
      </c>
      <c r="W199" s="52">
        <f>IFERROR(IF(INDEX('Indigenous'!$N$10:$N$11,MATCH($F199,'Indigenous'!$B$10:$B$11,0))="","Cell will autofill based on response",INDEX('Indigenous'!$N$10:$N$11,MATCH($F199,'Indigenous'!$B$10:$B$11,0))),"N/A")</f>
        <v/>
      </c>
      <c r="X199" s="52">
        <f>IFERROR(IF(INDEX('L&amp;R'!$N$10:$N$11,MATCH($F199,'L&amp;R'!$B$10:$B$11,0))="","Cell will autofill based on response",INDEX('L&amp;R'!$N$10:$N$11,MATCH($F199,'L&amp;R'!$B$10:$B$11,0))),"N/A")</f>
        <v/>
      </c>
    </row>
    <row r="200">
      <c r="A200">
        <f>F200&amp;"|"&amp;G200</f>
        <v/>
      </c>
      <c r="B200" s="13" t="inlineStr"/>
      <c r="C200" s="8" t="inlineStr"/>
      <c r="D200" s="8" t="inlineStr"/>
      <c r="E200" s="8" t="inlineStr"/>
      <c r="F200" s="8" t="inlineStr">
        <is>
          <t>RP1(a)</t>
        </is>
      </c>
      <c r="G200" s="8" t="inlineStr">
        <is>
          <t>Supporting information/comments</t>
        </is>
      </c>
      <c r="H200" s="52">
        <f>IFERROR(IF(INDEX('Faculties'!$O$10:$O$19,MATCH($F200,'Faculties'!$B$10:$B$19,0))="","Cell will autofill based on response",INDEX('Faculties'!$O$10:$O$19,MATCH($F200,'Faculties'!$B$10:$B$19,0))),"N/A")</f>
        <v/>
      </c>
      <c r="I200" s="52">
        <f>IFERROR(IF(INDEX('Faculties'!$O$26:$O$35,MATCH($F200,'Faculties'!$B$26:$B$35,0))="","Cell will autofill based on response",INDEX('Faculties'!$O$26:$O$35,MATCH($F200,'Faculties'!$B$26:$B$35,0))),"N/A")</f>
        <v/>
      </c>
      <c r="J200" s="52">
        <f>IFERROR(IF(INDEX('Faculties'!$O$42:$O$51,MATCH($F200,'Faculties'!$B$42:$B$51,0))="","Cell will autofill based on response",INDEX('Faculties'!$O$42:$O$51,MATCH($F200,'Faculties'!$B$42:$B$51,0))),"N/A")</f>
        <v/>
      </c>
      <c r="K200" s="52">
        <f>IFERROR(IF(INDEX('Faculties'!$O$58:$O$67,MATCH($F200,'Faculties'!$B$58:$B$67,0))="","Cell will autofill based on response",INDEX('Faculties'!$O$58:$O$67,MATCH($F200,'Faculties'!$B$58:$B$67,0))),"N/A")</f>
        <v/>
      </c>
      <c r="L200" s="52">
        <f>IFERROR(IF(INDEX('CI&amp;S'!$O$10:$O$15,MATCH($F200,'CI&amp;S'!$B$10:$B$15,0))="","Cell will autofill based on response",INDEX('CI&amp;S'!$O$10:$O$15,MATCH($F200,'CI&amp;S'!$B$10:$B$15,0))),"N/A")</f>
        <v/>
      </c>
      <c r="M200" s="52">
        <f>IFERROR(IF(INDEX('CI&amp;S'!$O$22:$O$36,MATCH($F200,'CI&amp;S'!$B$22:$B$36,0))="","Cell will autofill based on response",INDEX('CI&amp;S'!$O$22:$O$36,MATCH($F200,'CI&amp;S'!$B$22:$B$36,0))),"N/A")</f>
        <v/>
      </c>
      <c r="N200" s="52">
        <f>IFERROR(IF(INDEX('CFOG'!$O$10:$O$16,MATCH($F200,'CFOG'!$B$10:$B$16,0))="","Cell will autofill based on response",INDEX('CFOG'!$O$10:$O$16,MATCH($F200,'CFOG'!$B$10:$B$16,0))),"N/A")</f>
        <v/>
      </c>
      <c r="O200" s="52">
        <f>IFERROR(IF(INDEX('CFOG'!$O$23:$O$24,MATCH($F200,'CFOG'!$B$23:$B$24,0))="","Cell will autofill based on response",INDEX('CFOG'!$O$23:$O$24,MATCH($F200,'CFOG'!$B$23:$B$24,0))),"N/A")</f>
        <v/>
      </c>
      <c r="P200" s="52">
        <f>IFERROR(IF(INDEX('ESG'!$O$10:$O$17,MATCH($F200,'ESG'!$B$10:$B$17,0))="","Cell will autofill based on response",INDEX('ESG'!$O$10:$O$17,MATCH($F200,'ESG'!$B$10:$B$17,0))),"N/A")</f>
        <v/>
      </c>
      <c r="Q200" s="52">
        <f>IFERROR(IF(INDEX('CIOG'!$O$10:$O$14,MATCH($F200,'CIOG'!$B$10:$B$14,0))="","Cell will autofill based on response",INDEX('CIOG'!$O$10:$O$14,MATCH($F200,'CIOG'!$B$10:$B$14,0))),"N/A")</f>
        <v/>
      </c>
      <c r="R200" s="52">
        <f>IFERROR(IF(INDEX('MRE'!$O$10:$O$18,MATCH($F200,'MRE'!$B$10:$B$18,0))="","Cell will autofill based on response",INDEX('MRE'!$O$10:$O$18,MATCH($F200,'MRE'!$B$10:$B$18,0))),"N/A")</f>
        <v/>
      </c>
      <c r="S200" s="52">
        <f>IFERROR(IF(INDEX('AC&amp;M'!$O$10:$O$14,MATCH($F200,'AC&amp;M'!$B$10:$B$14,0))="","Cell will autofill based on response",INDEX('AC&amp;M'!$O$10:$O$14,MATCH($F200,'AC&amp;M'!$B$10:$B$14,0))),"N/A")</f>
        <v/>
      </c>
      <c r="T200" s="52">
        <f>IFERROR(IF(INDEX('GCE'!$O$10:$O$12,MATCH($F200,'GCE'!$B$10:$B$12,0))="","Cell will autofill based on response",INDEX('GCE'!$O$10:$O$12,MATCH($F200,'GCE'!$B$10:$B$12,0))),"N/A")</f>
        <v/>
      </c>
      <c r="U200" s="52">
        <f>IFERROR(IF(INDEX('Education'!$O$10:$O$13,MATCH($F200,'Education'!$B$10:$B$13,0))="","Cell will autofill based on response",INDEX('Education'!$O$10:$O$13,MATCH($F200,'Education'!$B$10:$B$13,0))),"N/A")</f>
        <v/>
      </c>
      <c r="V200" s="52">
        <f>IFERROR(IF(INDEX('SaSS'!$O$10:$O$12,MATCH($F200,'SaSS'!$B$10:$B$12,0))="","Cell will autofill based on response",INDEX('SaSS'!$O$10:$O$12,MATCH($F200,'SaSS'!$B$10:$B$12,0))),"N/A")</f>
        <v/>
      </c>
      <c r="W200" s="52">
        <f>IFERROR(IF(INDEX('Indigenous'!$O$10:$O$11,MATCH($F200,'Indigenous'!$B$10:$B$11,0))="","Cell will autofill based on response",INDEX('Indigenous'!$O$10:$O$11,MATCH($F200,'Indigenous'!$B$10:$B$11,0))),"N/A")</f>
        <v/>
      </c>
      <c r="X200" s="52">
        <f>IFERROR(IF(INDEX('L&amp;R'!$O$10:$O$11,MATCH($F200,'L&amp;R'!$B$10:$B$11,0))="","Cell will autofill based on response",INDEX('L&amp;R'!$O$10:$O$11,MATCH($F200,'L&amp;R'!$B$10:$B$11,0))),"N/A")</f>
        <v/>
      </c>
    </row>
    <row r="201">
      <c r="A201">
        <f>F201&amp;"|"&amp;G201</f>
        <v/>
      </c>
      <c r="B201" s="13" t="inlineStr"/>
      <c r="C201" s="8" t="inlineStr"/>
      <c r="D201" s="8" t="inlineStr"/>
      <c r="E201" s="8" t="inlineStr"/>
      <c r="F201" s="8" t="inlineStr">
        <is>
          <t>RP1(a)</t>
        </is>
      </c>
      <c r="G201" s="8" t="inlineStr">
        <is>
          <t>Data source and limitations</t>
        </is>
      </c>
      <c r="H201" s="52">
        <f>IFERROR(IF(INDEX('Faculties'!$P$10:$P$19,MATCH($F201,'Faculties'!$B$10:$B$19,0))="","Cell will autofill based on response",INDEX('Faculties'!$P$10:$P$19,MATCH($F201,'Faculties'!$B$10:$B$19,0))),"N/A")</f>
        <v/>
      </c>
      <c r="I201" s="52">
        <f>IFERROR(IF(INDEX('Faculties'!$P$26:$P$35,MATCH($F201,'Faculties'!$B$26:$B$35,0))="","Cell will autofill based on response",INDEX('Faculties'!$P$26:$P$35,MATCH($F201,'Faculties'!$B$26:$B$35,0))),"N/A")</f>
        <v/>
      </c>
      <c r="J201" s="52">
        <f>IFERROR(IF(INDEX('Faculties'!$P$42:$P$51,MATCH($F201,'Faculties'!$B$42:$B$51,0))="","Cell will autofill based on response",INDEX('Faculties'!$P$42:$P$51,MATCH($F201,'Faculties'!$B$42:$B$51,0))),"N/A")</f>
        <v/>
      </c>
      <c r="K201" s="52">
        <f>IFERROR(IF(INDEX('Faculties'!$P$58:$P$67,MATCH($F201,'Faculties'!$B$58:$B$67,0))="","Cell will autofill based on response",INDEX('Faculties'!$P$58:$P$67,MATCH($F201,'Faculties'!$B$58:$B$67,0))),"N/A")</f>
        <v/>
      </c>
      <c r="L201" s="52">
        <f>IFERROR(IF(INDEX('CI&amp;S'!$P$10:$P$15,MATCH($F201,'CI&amp;S'!$B$10:$B$15,0))="","Cell will autofill based on response",INDEX('CI&amp;S'!$P$10:$P$15,MATCH($F201,'CI&amp;S'!$B$10:$B$15,0))),"N/A")</f>
        <v/>
      </c>
      <c r="M201" s="52">
        <f>IFERROR(IF(INDEX('CI&amp;S'!$P$22:$P$36,MATCH($F201,'CI&amp;S'!$B$22:$B$36,0))="","Cell will autofill based on response",INDEX('CI&amp;S'!$P$22:$P$36,MATCH($F201,'CI&amp;S'!$B$22:$B$36,0))),"N/A")</f>
        <v/>
      </c>
      <c r="N201" s="52">
        <f>IFERROR(IF(INDEX('CFOG'!$P$10:$P$16,MATCH($F201,'CFOG'!$B$10:$B$16,0))="","Cell will autofill based on response",INDEX('CFOG'!$P$10:$P$16,MATCH($F201,'CFOG'!$B$10:$B$16,0))),"N/A")</f>
        <v/>
      </c>
      <c r="O201" s="52">
        <f>IFERROR(IF(INDEX('CFOG'!$P$23:$P$24,MATCH($F201,'CFOG'!$B$23:$B$24,0))="","Cell will autofill based on response",INDEX('CFOG'!$P$23:$P$24,MATCH($F201,'CFOG'!$B$23:$B$24,0))),"N/A")</f>
        <v/>
      </c>
      <c r="P201" s="52">
        <f>IFERROR(IF(INDEX('ESG'!$P$10:$P$17,MATCH($F201,'ESG'!$B$10:$B$17,0))="","Cell will autofill based on response",INDEX('ESG'!$P$10:$P$17,MATCH($F201,'ESG'!$B$10:$B$17,0))),"N/A")</f>
        <v/>
      </c>
      <c r="Q201" s="52">
        <f>IFERROR(IF(INDEX('CIOG'!$P$10:$P$14,MATCH($F201,'CIOG'!$B$10:$B$14,0))="","Cell will autofill based on response",INDEX('CIOG'!$P$10:$P$14,MATCH($F201,'CIOG'!$B$10:$B$14,0))),"N/A")</f>
        <v/>
      </c>
      <c r="R201" s="52">
        <f>IFERROR(IF(INDEX('MRE'!$P$10:$P$18,MATCH($F201,'MRE'!$B$10:$B$18,0))="","Cell will autofill based on response",INDEX('MRE'!$P$10:$P$18,MATCH($F201,'MRE'!$B$10:$B$18,0))),"N/A")</f>
        <v/>
      </c>
      <c r="S201" s="52">
        <f>IFERROR(IF(INDEX('AC&amp;M'!$P$10:$P$14,MATCH($F201,'AC&amp;M'!$B$10:$B$14,0))="","Cell will autofill based on response",INDEX('AC&amp;M'!$P$10:$P$14,MATCH($F201,'AC&amp;M'!$B$10:$B$14,0))),"N/A")</f>
        <v/>
      </c>
      <c r="T201" s="52">
        <f>IFERROR(IF(INDEX('GCE'!$P$10:$P$12,MATCH($F201,'GCE'!$B$10:$B$12,0))="","Cell will autofill based on response",INDEX('GCE'!$P$10:$P$12,MATCH($F201,'GCE'!$B$10:$B$12,0))),"N/A")</f>
        <v/>
      </c>
      <c r="U201" s="52">
        <f>IFERROR(IF(INDEX('Education'!$P$10:$P$13,MATCH($F201,'Education'!$B$10:$B$13,0))="","Cell will autofill based on response",INDEX('Education'!$P$10:$P$13,MATCH($F201,'Education'!$B$10:$B$13,0))),"N/A")</f>
        <v/>
      </c>
      <c r="V201" s="52">
        <f>IFERROR(IF(INDEX('SaSS'!$P$10:$P$12,MATCH($F201,'SaSS'!$B$10:$B$12,0))="","Cell will autofill based on response",INDEX('SaSS'!$P$10:$P$12,MATCH($F201,'SaSS'!$B$10:$B$12,0))),"N/A")</f>
        <v/>
      </c>
      <c r="W201" s="52">
        <f>IFERROR(IF(INDEX('Indigenous'!$P$10:$P$11,MATCH($F201,'Indigenous'!$B$10:$B$11,0))="","Cell will autofill based on response",INDEX('Indigenous'!$P$10:$P$11,MATCH($F201,'Indigenous'!$B$10:$B$11,0))),"N/A")</f>
        <v/>
      </c>
      <c r="X201" s="52">
        <f>IFERROR(IF(INDEX('L&amp;R'!$P$10:$P$11,MATCH($F201,'L&amp;R'!$B$10:$B$11,0))="","Cell will autofill based on response",INDEX('L&amp;R'!$P$10:$P$11,MATCH($F201,'L&amp;R'!$B$10:$B$11,0))),"N/A")</f>
        <v/>
      </c>
    </row>
    <row r="202">
      <c r="A202">
        <f>F202&amp;"|"&amp;G202</f>
        <v/>
      </c>
      <c r="B202" s="13" t="inlineStr"/>
      <c r="C202" s="8" t="inlineStr"/>
      <c r="D202" s="8" t="inlineStr"/>
      <c r="E202" s="8" t="inlineStr"/>
      <c r="F202" s="8" t="inlineStr">
        <is>
          <t>RP1(a)</t>
        </is>
      </c>
      <c r="G202" s="8" t="inlineStr">
        <is>
          <t>Data owner confirms</t>
        </is>
      </c>
      <c r="H202" s="52">
        <f>IFERROR(IF(INDEX('Faculties'!$Q$10:$Q$19,MATCH($F202,'Faculties'!$B$10:$B$19,0))="","Cell will autofill based on response",INDEX('Faculties'!$Q$10:$Q$19,MATCH($F202,'Faculties'!$B$10:$B$19,0))),"N/A")</f>
        <v/>
      </c>
      <c r="I202" s="52">
        <f>IFERROR(IF(INDEX('Faculties'!$Q$26:$Q$35,MATCH($F202,'Faculties'!$B$26:$B$35,0))="","Cell will autofill based on response",INDEX('Faculties'!$Q$26:$Q$35,MATCH($F202,'Faculties'!$B$26:$B$35,0))),"N/A")</f>
        <v/>
      </c>
      <c r="J202" s="52">
        <f>IFERROR(IF(INDEX('Faculties'!$Q$42:$Q$51,MATCH($F202,'Faculties'!$B$42:$B$51,0))="","Cell will autofill based on response",INDEX('Faculties'!$Q$42:$Q$51,MATCH($F202,'Faculties'!$B$42:$B$51,0))),"N/A")</f>
        <v/>
      </c>
      <c r="K202" s="52">
        <f>IFERROR(IF(INDEX('Faculties'!$Q$58:$Q$67,MATCH($F202,'Faculties'!$B$58:$B$67,0))="","Cell will autofill based on response",INDEX('Faculties'!$Q$58:$Q$67,MATCH($F202,'Faculties'!$B$58:$B$67,0))),"N/A")</f>
        <v/>
      </c>
      <c r="L202" s="52">
        <f>IFERROR(IF(INDEX('CI&amp;S'!$Q$10:$Q$15,MATCH($F202,'CI&amp;S'!$B$10:$B$15,0))="","Cell will autofill based on response",INDEX('CI&amp;S'!$Q$10:$Q$15,MATCH($F202,'CI&amp;S'!$B$10:$B$15,0))),"N/A")</f>
        <v/>
      </c>
      <c r="M202" s="52">
        <f>IFERROR(IF(INDEX('CI&amp;S'!$Q$22:$Q$36,MATCH($F202,'CI&amp;S'!$B$22:$B$36,0))="","Cell will autofill based on response",INDEX('CI&amp;S'!$Q$22:$Q$36,MATCH($F202,'CI&amp;S'!$B$22:$B$36,0))),"N/A")</f>
        <v/>
      </c>
      <c r="N202" s="52">
        <f>IFERROR(IF(INDEX('CFOG'!$Q$10:$Q$16,MATCH($F202,'CFOG'!$B$10:$B$16,0))="","Cell will autofill based on response",INDEX('CFOG'!$Q$10:$Q$16,MATCH($F202,'CFOG'!$B$10:$B$16,0))),"N/A")</f>
        <v/>
      </c>
      <c r="O202" s="52">
        <f>IFERROR(IF(INDEX('CFOG'!$Q$23:$Q$24,MATCH($F202,'CFOG'!$B$23:$B$24,0))="","Cell will autofill based on response",INDEX('CFOG'!$Q$23:$Q$24,MATCH($F202,'CFOG'!$B$23:$B$24,0))),"N/A")</f>
        <v/>
      </c>
      <c r="P202" s="52">
        <f>IFERROR(IF(INDEX('ESG'!$Q$10:$Q$17,MATCH($F202,'ESG'!$B$10:$B$17,0))="","Cell will autofill based on response",INDEX('ESG'!$Q$10:$Q$17,MATCH($F202,'ESG'!$B$10:$B$17,0))),"N/A")</f>
        <v/>
      </c>
      <c r="Q202" s="52">
        <f>IFERROR(IF(INDEX('CIOG'!$Q$10:$Q$14,MATCH($F202,'CIOG'!$B$10:$B$14,0))="","Cell will autofill based on response",INDEX('CIOG'!$Q$10:$Q$14,MATCH($F202,'CIOG'!$B$10:$B$14,0))),"N/A")</f>
        <v/>
      </c>
      <c r="R202" s="52">
        <f>IFERROR(IF(INDEX('MRE'!$Q$10:$Q$18,MATCH($F202,'MRE'!$B$10:$B$18,0))="","Cell will autofill based on response",INDEX('MRE'!$Q$10:$Q$18,MATCH($F202,'MRE'!$B$10:$B$18,0))),"N/A")</f>
        <v/>
      </c>
      <c r="S202" s="52">
        <f>IFERROR(IF(INDEX('AC&amp;M'!$Q$10:$Q$14,MATCH($F202,'AC&amp;M'!$B$10:$B$14,0))="","Cell will autofill based on response",INDEX('AC&amp;M'!$Q$10:$Q$14,MATCH($F202,'AC&amp;M'!$B$10:$B$14,0))),"N/A")</f>
        <v/>
      </c>
      <c r="T202" s="52">
        <f>IFERROR(IF(INDEX('GCE'!$Q$10:$Q$12,MATCH($F202,'GCE'!$B$10:$B$12,0))="","Cell will autofill based on response",INDEX('GCE'!$Q$10:$Q$12,MATCH($F202,'GCE'!$B$10:$B$12,0))),"N/A")</f>
        <v/>
      </c>
      <c r="U202" s="52">
        <f>IFERROR(IF(INDEX('Education'!$Q$10:$Q$13,MATCH($F202,'Education'!$B$10:$B$13,0))="","Cell will autofill based on response",INDEX('Education'!$Q$10:$Q$13,MATCH($F202,'Education'!$B$10:$B$13,0))),"N/A")</f>
        <v/>
      </c>
      <c r="V202" s="52">
        <f>IFERROR(IF(INDEX('SaSS'!$Q$10:$Q$12,MATCH($F202,'SaSS'!$B$10:$B$12,0))="","Cell will autofill based on response",INDEX('SaSS'!$Q$10:$Q$12,MATCH($F202,'SaSS'!$B$10:$B$12,0))),"N/A")</f>
        <v/>
      </c>
      <c r="W202" s="52">
        <f>IFERROR(IF(INDEX('Indigenous'!$Q$10:$Q$11,MATCH($F202,'Indigenous'!$B$10:$B$11,0))="","Cell will autofill based on response",INDEX('Indigenous'!$Q$10:$Q$11,MATCH($F202,'Indigenous'!$B$10:$B$11,0))),"N/A")</f>
        <v/>
      </c>
      <c r="X202" s="52">
        <f>IFERROR(IF(INDEX('L&amp;R'!$Q$10:$Q$11,MATCH($F202,'L&amp;R'!$B$10:$B$11,0))="","Cell will autofill based on response",INDEX('L&amp;R'!$Q$10:$Q$11,MATCH($F202,'L&amp;R'!$B$10:$B$11,0))),"N/A")</f>
        <v/>
      </c>
    </row>
    <row r="203">
      <c r="A203">
        <f>F203&amp;"|"&amp;G203</f>
        <v/>
      </c>
      <c r="B203" s="7" t="inlineStr">
        <is>
          <t>MS1(a)</t>
        </is>
      </c>
      <c r="C203" s="50" t="inlineStr">
        <is>
          <t>Modern slavery and human rights</t>
        </is>
      </c>
      <c r="D203" s="50" t="inlineStr">
        <is>
          <t>Annual progress reporting via the Modern Slavery Statement</t>
        </is>
      </c>
      <c r="E203" s="50" t="inlineStr">
        <is>
          <t>Annual Modern Slavery Statement, with case studies</t>
        </is>
      </c>
      <c r="F203" s="50" t="inlineStr">
        <is>
          <t>MS1(a)</t>
        </is>
      </c>
      <c r="G203" s="50" t="inlineStr">
        <is>
          <t>Confirm end-2026 target status</t>
        </is>
      </c>
      <c r="H203" s="52">
        <f>IFERROR(IF(INDEX('Faculties'!$L$10:$L$19,MATCH($F203,'Faculties'!$B$10:$B$19,0))="","Cell will autofill based on response",INDEX('Faculties'!$L$10:$L$19,MATCH($F203,'Faculties'!$B$10:$B$19,0))),"N/A")</f>
        <v/>
      </c>
      <c r="I203" s="52">
        <f>IFERROR(IF(INDEX('Faculties'!$L$26:$L$35,MATCH($F203,'Faculties'!$B$26:$B$35,0))="","Cell will autofill based on response",INDEX('Faculties'!$L$26:$L$35,MATCH($F203,'Faculties'!$B$26:$B$35,0))),"N/A")</f>
        <v/>
      </c>
      <c r="J203" s="52">
        <f>IFERROR(IF(INDEX('Faculties'!$L$42:$L$51,MATCH($F203,'Faculties'!$B$42:$B$51,0))="","Cell will autofill based on response",INDEX('Faculties'!$L$42:$L$51,MATCH($F203,'Faculties'!$B$42:$B$51,0))),"N/A")</f>
        <v/>
      </c>
      <c r="K203" s="52">
        <f>IFERROR(IF(INDEX('Faculties'!$L$58:$L$67,MATCH($F203,'Faculties'!$B$58:$B$67,0))="","Cell will autofill based on response",INDEX('Faculties'!$L$58:$L$67,MATCH($F203,'Faculties'!$B$58:$B$67,0))),"N/A")</f>
        <v/>
      </c>
      <c r="L203" s="52">
        <f>IFERROR(IF(INDEX('CI&amp;S'!$L$10:$L$15,MATCH($F203,'CI&amp;S'!$B$10:$B$15,0))="","Cell will autofill based on response",INDEX('CI&amp;S'!$L$10:$L$15,MATCH($F203,'CI&amp;S'!$B$10:$B$15,0))),"N/A")</f>
        <v/>
      </c>
      <c r="M203" s="52">
        <f>IFERROR(IF(INDEX('CI&amp;S'!$L$22:$L$36,MATCH($F203,'CI&amp;S'!$B$22:$B$36,0))="","Cell will autofill based on response",INDEX('CI&amp;S'!$L$22:$L$36,MATCH($F203,'CI&amp;S'!$B$22:$B$36,0))),"N/A")</f>
        <v/>
      </c>
      <c r="N203" s="52">
        <f>IFERROR(IF(INDEX('CFOG'!$L$10:$L$16,MATCH($F203,'CFOG'!$B$10:$B$16,0))="","Cell will autofill based on response",INDEX('CFOG'!$L$10:$L$16,MATCH($F203,'CFOG'!$B$10:$B$16,0))),"N/A")</f>
        <v/>
      </c>
      <c r="O203" s="52">
        <f>IFERROR(IF(INDEX('CFOG'!$L$23:$L$24,MATCH($F203,'CFOG'!$B$23:$B$24,0))="","Cell will autofill based on response",INDEX('CFOG'!$L$23:$L$24,MATCH($F203,'CFOG'!$B$23:$B$24,0))),"N/A")</f>
        <v/>
      </c>
      <c r="P203" s="52">
        <f>IFERROR(IF(INDEX('ESG'!$L$10:$L$17,MATCH($F203,'ESG'!$B$10:$B$17,0))="","Cell will autofill based on response",INDEX('ESG'!$L$10:$L$17,MATCH($F203,'ESG'!$B$10:$B$17,0))),"N/A")</f>
        <v/>
      </c>
      <c r="Q203" s="52">
        <f>IFERROR(IF(INDEX('CIOG'!$L$10:$L$14,MATCH($F203,'CIOG'!$B$10:$B$14,0))="","Cell will autofill based on response",INDEX('CIOG'!$L$10:$L$14,MATCH($F203,'CIOG'!$B$10:$B$14,0))),"N/A")</f>
        <v/>
      </c>
      <c r="R203" s="52">
        <f>IFERROR(IF(INDEX('MRE'!$L$10:$L$18,MATCH($F203,'MRE'!$B$10:$B$18,0))="","Cell will autofill based on response",INDEX('MRE'!$L$10:$L$18,MATCH($F203,'MRE'!$B$10:$B$18,0))),"N/A")</f>
        <v/>
      </c>
      <c r="S203" s="52">
        <f>IFERROR(IF(INDEX('AC&amp;M'!$L$10:$L$14,MATCH($F203,'AC&amp;M'!$B$10:$B$14,0))="","Cell will autofill based on response",INDEX('AC&amp;M'!$L$10:$L$14,MATCH($F203,'AC&amp;M'!$B$10:$B$14,0))),"N/A")</f>
        <v/>
      </c>
      <c r="T203" s="52">
        <f>IFERROR(IF(INDEX('GCE'!$L$10:$L$12,MATCH($F203,'GCE'!$B$10:$B$12,0))="","Cell will autofill based on response",INDEX('GCE'!$L$10:$L$12,MATCH($F203,'GCE'!$B$10:$B$12,0))),"N/A")</f>
        <v/>
      </c>
      <c r="U203" s="52">
        <f>IFERROR(IF(INDEX('Education'!$L$10:$L$13,MATCH($F203,'Education'!$B$10:$B$13,0))="","Cell will autofill based on response",INDEX('Education'!$L$10:$L$13,MATCH($F203,'Education'!$B$10:$B$13,0))),"N/A")</f>
        <v/>
      </c>
      <c r="V203" s="52">
        <f>IFERROR(IF(INDEX('SaSS'!$L$10:$L$12,MATCH($F203,'SaSS'!$B$10:$B$12,0))="","Cell will autofill based on response",INDEX('SaSS'!$L$10:$L$12,MATCH($F203,'SaSS'!$B$10:$B$12,0))),"N/A")</f>
        <v/>
      </c>
      <c r="W203" s="52">
        <f>IFERROR(IF(INDEX('Indigenous'!$L$10:$L$11,MATCH($F203,'Indigenous'!$B$10:$B$11,0))="","Cell will autofill based on response",INDEX('Indigenous'!$L$10:$L$11,MATCH($F203,'Indigenous'!$B$10:$B$11,0))),"N/A")</f>
        <v/>
      </c>
      <c r="X203" s="52">
        <f>IFERROR(IF(INDEX('L&amp;R'!$L$10:$L$11,MATCH($F203,'L&amp;R'!$B$10:$B$11,0))="","Cell will autofill based on response",INDEX('L&amp;R'!$L$10:$L$11,MATCH($F203,'L&amp;R'!$B$10:$B$11,0))),"N/A")</f>
        <v/>
      </c>
      <c r="Z203" s="10">
        <f>COUNTIF($H203:$X203,"Cell will autofill based on response")</f>
        <v/>
      </c>
      <c r="AA203" s="10">
        <f>COUNTIF($H203:$X203,"Not yet started")</f>
        <v/>
      </c>
      <c r="AB203" s="10">
        <f>COUNTIF($H203:$X203,"Not met")</f>
        <v/>
      </c>
      <c r="AC203" s="10">
        <f>COUNTIF($H203:$X203,"Partially met")</f>
        <v/>
      </c>
      <c r="AD203" s="10">
        <f>COUNTIF($H203:$X203,"Met or exceeded")</f>
        <v/>
      </c>
      <c r="AE203" s="10">
        <f>3*AD203+2*AC203+AB203</f>
        <v/>
      </c>
      <c r="AF203" s="10">
        <f>AD203+AC203+AB203+AA203</f>
        <v/>
      </c>
      <c r="AG203" s="53">
        <f>IF(AF203&gt;0,AE203/AF203,"No valid responses to date")</f>
        <v/>
      </c>
      <c r="AH203" s="10">
        <f>IF(ISNUMBER(AG203),INDEX(Lists!$G$2:$G$5,MATCH(ROUND(AG203,0),Lists!$H$2:$H$5,0)),"")</f>
        <v/>
      </c>
      <c r="AI203" s="54">
        <f>IF(AF203&gt;0,AD203/AF203,"")</f>
        <v/>
      </c>
      <c r="AJ203" s="54">
        <f>IF(AF203&gt;0,(AD203+AC203)/AF203,"")</f>
        <v/>
      </c>
      <c r="AK203" s="10">
        <f>IF(AF203=0,"",IF(AI203&gt;0.75,"Met or exceeded",IF(AJ203&gt;=0.5,"Partially met","Not met")))</f>
        <v/>
      </c>
    </row>
    <row r="204">
      <c r="A204">
        <f>F204&amp;"|"&amp;G204</f>
        <v/>
      </c>
      <c r="B204" s="13" t="inlineStr"/>
      <c r="C204" s="8" t="inlineStr"/>
      <c r="D204" s="8" t="inlineStr"/>
      <c r="E204" s="8" t="inlineStr"/>
      <c r="F204" s="8" t="inlineStr">
        <is>
          <t>MS1(a)</t>
        </is>
      </c>
      <c r="G204" s="8" t="inlineStr">
        <is>
          <t>OPTION 1:  Target-level reporting</t>
        </is>
      </c>
      <c r="H204" s="52">
        <f>IFERROR(IF(INDEX('Faculties'!$M$10:$M$19,MATCH($F204,'Faculties'!$B$10:$B$19,0))="","Cell will autofill based on response",INDEX('Faculties'!$M$10:$M$19,MATCH($F204,'Faculties'!$B$10:$B$19,0))),"N/A")</f>
        <v/>
      </c>
      <c r="I204" s="52">
        <f>IFERROR(IF(INDEX('Faculties'!$M$26:$M$35,MATCH($F204,'Faculties'!$B$26:$B$35,0))="","Cell will autofill based on response",INDEX('Faculties'!$M$26:$M$35,MATCH($F204,'Faculties'!$B$26:$B$35,0))),"N/A")</f>
        <v/>
      </c>
      <c r="J204" s="52">
        <f>IFERROR(IF(INDEX('Faculties'!$M$42:$M$51,MATCH($F204,'Faculties'!$B$42:$B$51,0))="","Cell will autofill based on response",INDEX('Faculties'!$M$42:$M$51,MATCH($F204,'Faculties'!$B$42:$B$51,0))),"N/A")</f>
        <v/>
      </c>
      <c r="K204" s="52">
        <f>IFERROR(IF(INDEX('Faculties'!$M$58:$M$67,MATCH($F204,'Faculties'!$B$58:$B$67,0))="","Cell will autofill based on response",INDEX('Faculties'!$M$58:$M$67,MATCH($F204,'Faculties'!$B$58:$B$67,0))),"N/A")</f>
        <v/>
      </c>
      <c r="L204" s="52">
        <f>IFERROR(IF(INDEX('CI&amp;S'!$M$10:$M$15,MATCH($F204,'CI&amp;S'!$B$10:$B$15,0))="","Cell will autofill based on response",INDEX('CI&amp;S'!$M$10:$M$15,MATCH($F204,'CI&amp;S'!$B$10:$B$15,0))),"N/A")</f>
        <v/>
      </c>
      <c r="M204" s="52">
        <f>IFERROR(IF(INDEX('CI&amp;S'!$M$22:$M$36,MATCH($F204,'CI&amp;S'!$B$22:$B$36,0))="","Cell will autofill based on response",INDEX('CI&amp;S'!$M$22:$M$36,MATCH($F204,'CI&amp;S'!$B$22:$B$36,0))),"N/A")</f>
        <v/>
      </c>
      <c r="N204" s="52">
        <f>IFERROR(IF(INDEX('CFOG'!$M$10:$M$16,MATCH($F204,'CFOG'!$B$10:$B$16,0))="","Cell will autofill based on response",INDEX('CFOG'!$M$10:$M$16,MATCH($F204,'CFOG'!$B$10:$B$16,0))),"N/A")</f>
        <v/>
      </c>
      <c r="O204" s="52">
        <f>IFERROR(IF(INDEX('CFOG'!$M$23:$M$24,MATCH($F204,'CFOG'!$B$23:$B$24,0))="","Cell will autofill based on response",INDEX('CFOG'!$M$23:$M$24,MATCH($F204,'CFOG'!$B$23:$B$24,0))),"N/A")</f>
        <v/>
      </c>
      <c r="P204" s="52">
        <f>IFERROR(IF(INDEX('ESG'!$M$10:$M$17,MATCH($F204,'ESG'!$B$10:$B$17,0))="","Cell will autofill based on response",INDEX('ESG'!$M$10:$M$17,MATCH($F204,'ESG'!$B$10:$B$17,0))),"N/A")</f>
        <v/>
      </c>
      <c r="Q204" s="52">
        <f>IFERROR(IF(INDEX('CIOG'!$M$10:$M$14,MATCH($F204,'CIOG'!$B$10:$B$14,0))="","Cell will autofill based on response",INDEX('CIOG'!$M$10:$M$14,MATCH($F204,'CIOG'!$B$10:$B$14,0))),"N/A")</f>
        <v/>
      </c>
      <c r="R204" s="52">
        <f>IFERROR(IF(INDEX('MRE'!$M$10:$M$18,MATCH($F204,'MRE'!$B$10:$B$18,0))="","Cell will autofill based on response",INDEX('MRE'!$M$10:$M$18,MATCH($F204,'MRE'!$B$10:$B$18,0))),"N/A")</f>
        <v/>
      </c>
      <c r="S204" s="52">
        <f>IFERROR(IF(INDEX('AC&amp;M'!$M$10:$M$14,MATCH($F204,'AC&amp;M'!$B$10:$B$14,0))="","Cell will autofill based on response",INDEX('AC&amp;M'!$M$10:$M$14,MATCH($F204,'AC&amp;M'!$B$10:$B$14,0))),"N/A")</f>
        <v/>
      </c>
      <c r="T204" s="52">
        <f>IFERROR(IF(INDEX('GCE'!$M$10:$M$12,MATCH($F204,'GCE'!$B$10:$B$12,0))="","Cell will autofill based on response",INDEX('GCE'!$M$10:$M$12,MATCH($F204,'GCE'!$B$10:$B$12,0))),"N/A")</f>
        <v/>
      </c>
      <c r="U204" s="52">
        <f>IFERROR(IF(INDEX('Education'!$M$10:$M$13,MATCH($F204,'Education'!$B$10:$B$13,0))="","Cell will autofill based on response",INDEX('Education'!$M$10:$M$13,MATCH($F204,'Education'!$B$10:$B$13,0))),"N/A")</f>
        <v/>
      </c>
      <c r="V204" s="52">
        <f>IFERROR(IF(INDEX('SaSS'!$M$10:$M$12,MATCH($F204,'SaSS'!$B$10:$B$12,0))="","Cell will autofill based on response",INDEX('SaSS'!$M$10:$M$12,MATCH($F204,'SaSS'!$B$10:$B$12,0))),"N/A")</f>
        <v/>
      </c>
      <c r="W204" s="52">
        <f>IFERROR(IF(INDEX('Indigenous'!$M$10:$M$11,MATCH($F204,'Indigenous'!$B$10:$B$11,0))="","Cell will autofill based on response",INDEX('Indigenous'!$M$10:$M$11,MATCH($F204,'Indigenous'!$B$10:$B$11,0))),"N/A")</f>
        <v/>
      </c>
      <c r="X204" s="52">
        <f>IFERROR(IF(INDEX('L&amp;R'!$M$10:$M$11,MATCH($F204,'L&amp;R'!$B$10:$B$11,0))="","Cell will autofill based on response",INDEX('L&amp;R'!$M$10:$M$11,MATCH($F204,'L&amp;R'!$B$10:$B$11,0))),"N/A")</f>
        <v/>
      </c>
    </row>
    <row r="205">
      <c r="A205">
        <f>F205&amp;"|"&amp;G205</f>
        <v/>
      </c>
      <c r="B205" s="13" t="inlineStr"/>
      <c r="C205" s="8" t="inlineStr"/>
      <c r="D205" s="8" t="inlineStr"/>
      <c r="E205" s="8" t="inlineStr"/>
      <c r="F205" s="8" t="inlineStr">
        <is>
          <t>MS1(a)</t>
        </is>
      </c>
      <c r="G205" s="8" t="inlineStr">
        <is>
          <t>OPTION 2:  Indicator level reporting</t>
        </is>
      </c>
      <c r="H205" s="52">
        <f>IFERROR(IF(INDEX('Faculties'!$N$10:$N$19,MATCH($F205,'Faculties'!$B$10:$B$19,0))="","Cell will autofill based on response",INDEX('Faculties'!$N$10:$N$19,MATCH($F205,'Faculties'!$B$10:$B$19,0))),"N/A")</f>
        <v/>
      </c>
      <c r="I205" s="52">
        <f>IFERROR(IF(INDEX('Faculties'!$N$26:$N$35,MATCH($F205,'Faculties'!$B$26:$B$35,0))="","Cell will autofill based on response",INDEX('Faculties'!$N$26:$N$35,MATCH($F205,'Faculties'!$B$26:$B$35,0))),"N/A")</f>
        <v/>
      </c>
      <c r="J205" s="52">
        <f>IFERROR(IF(INDEX('Faculties'!$N$42:$N$51,MATCH($F205,'Faculties'!$B$42:$B$51,0))="","Cell will autofill based on response",INDEX('Faculties'!$N$42:$N$51,MATCH($F205,'Faculties'!$B$42:$B$51,0))),"N/A")</f>
        <v/>
      </c>
      <c r="K205" s="52">
        <f>IFERROR(IF(INDEX('Faculties'!$N$58:$N$67,MATCH($F205,'Faculties'!$B$58:$B$67,0))="","Cell will autofill based on response",INDEX('Faculties'!$N$58:$N$67,MATCH($F205,'Faculties'!$B$58:$B$67,0))),"N/A")</f>
        <v/>
      </c>
      <c r="L205" s="52">
        <f>IFERROR(IF(INDEX('CI&amp;S'!$N$10:$N$15,MATCH($F205,'CI&amp;S'!$B$10:$B$15,0))="","Cell will autofill based on response",INDEX('CI&amp;S'!$N$10:$N$15,MATCH($F205,'CI&amp;S'!$B$10:$B$15,0))),"N/A")</f>
        <v/>
      </c>
      <c r="M205" s="52">
        <f>IFERROR(IF(INDEX('CI&amp;S'!$N$22:$N$36,MATCH($F205,'CI&amp;S'!$B$22:$B$36,0))="","Cell will autofill based on response",INDEX('CI&amp;S'!$N$22:$N$36,MATCH($F205,'CI&amp;S'!$B$22:$B$36,0))),"N/A")</f>
        <v/>
      </c>
      <c r="N205" s="52">
        <f>IFERROR(IF(INDEX('CFOG'!$N$10:$N$16,MATCH($F205,'CFOG'!$B$10:$B$16,0))="","Cell will autofill based on response",INDEX('CFOG'!$N$10:$N$16,MATCH($F205,'CFOG'!$B$10:$B$16,0))),"N/A")</f>
        <v/>
      </c>
      <c r="O205" s="52">
        <f>IFERROR(IF(INDEX('CFOG'!$N$23:$N$24,MATCH($F205,'CFOG'!$B$23:$B$24,0))="","Cell will autofill based on response",INDEX('CFOG'!$N$23:$N$24,MATCH($F205,'CFOG'!$B$23:$B$24,0))),"N/A")</f>
        <v/>
      </c>
      <c r="P205" s="52">
        <f>IFERROR(IF(INDEX('ESG'!$N$10:$N$17,MATCH($F205,'ESG'!$B$10:$B$17,0))="","Cell will autofill based on response",INDEX('ESG'!$N$10:$N$17,MATCH($F205,'ESG'!$B$10:$B$17,0))),"N/A")</f>
        <v/>
      </c>
      <c r="Q205" s="52">
        <f>IFERROR(IF(INDEX('CIOG'!$N$10:$N$14,MATCH($F205,'CIOG'!$B$10:$B$14,0))="","Cell will autofill based on response",INDEX('CIOG'!$N$10:$N$14,MATCH($F205,'CIOG'!$B$10:$B$14,0))),"N/A")</f>
        <v/>
      </c>
      <c r="R205" s="52">
        <f>IFERROR(IF(INDEX('MRE'!$N$10:$N$18,MATCH($F205,'MRE'!$B$10:$B$18,0))="","Cell will autofill based on response",INDEX('MRE'!$N$10:$N$18,MATCH($F205,'MRE'!$B$10:$B$18,0))),"N/A")</f>
        <v/>
      </c>
      <c r="S205" s="52">
        <f>IFERROR(IF(INDEX('AC&amp;M'!$N$10:$N$14,MATCH($F205,'AC&amp;M'!$B$10:$B$14,0))="","Cell will autofill based on response",INDEX('AC&amp;M'!$N$10:$N$14,MATCH($F205,'AC&amp;M'!$B$10:$B$14,0))),"N/A")</f>
        <v/>
      </c>
      <c r="T205" s="52">
        <f>IFERROR(IF(INDEX('GCE'!$N$10:$N$12,MATCH($F205,'GCE'!$B$10:$B$12,0))="","Cell will autofill based on response",INDEX('GCE'!$N$10:$N$12,MATCH($F205,'GCE'!$B$10:$B$12,0))),"N/A")</f>
        <v/>
      </c>
      <c r="U205" s="52">
        <f>IFERROR(IF(INDEX('Education'!$N$10:$N$13,MATCH($F205,'Education'!$B$10:$B$13,0))="","Cell will autofill based on response",INDEX('Education'!$N$10:$N$13,MATCH($F205,'Education'!$B$10:$B$13,0))),"N/A")</f>
        <v/>
      </c>
      <c r="V205" s="52">
        <f>IFERROR(IF(INDEX('SaSS'!$N$10:$N$12,MATCH($F205,'SaSS'!$B$10:$B$12,0))="","Cell will autofill based on response",INDEX('SaSS'!$N$10:$N$12,MATCH($F205,'SaSS'!$B$10:$B$12,0))),"N/A")</f>
        <v/>
      </c>
      <c r="W205" s="52">
        <f>IFERROR(IF(INDEX('Indigenous'!$N$10:$N$11,MATCH($F205,'Indigenous'!$B$10:$B$11,0))="","Cell will autofill based on response",INDEX('Indigenous'!$N$10:$N$11,MATCH($F205,'Indigenous'!$B$10:$B$11,0))),"N/A")</f>
        <v/>
      </c>
      <c r="X205" s="52">
        <f>IFERROR(IF(INDEX('L&amp;R'!$N$10:$N$11,MATCH($F205,'L&amp;R'!$B$10:$B$11,0))="","Cell will autofill based on response",INDEX('L&amp;R'!$N$10:$N$11,MATCH($F205,'L&amp;R'!$B$10:$B$11,0))),"N/A")</f>
        <v/>
      </c>
    </row>
    <row r="206">
      <c r="A206">
        <f>F206&amp;"|"&amp;G206</f>
        <v/>
      </c>
      <c r="B206" s="13" t="inlineStr"/>
      <c r="C206" s="8" t="inlineStr"/>
      <c r="D206" s="8" t="inlineStr"/>
      <c r="E206" s="8" t="inlineStr"/>
      <c r="F206" s="8" t="inlineStr">
        <is>
          <t>MS1(a)</t>
        </is>
      </c>
      <c r="G206" s="8" t="inlineStr">
        <is>
          <t>Supporting information/comments</t>
        </is>
      </c>
      <c r="H206" s="52">
        <f>IFERROR(IF(INDEX('Faculties'!$O$10:$O$19,MATCH($F206,'Faculties'!$B$10:$B$19,0))="","Cell will autofill based on response",INDEX('Faculties'!$O$10:$O$19,MATCH($F206,'Faculties'!$B$10:$B$19,0))),"N/A")</f>
        <v/>
      </c>
      <c r="I206" s="52">
        <f>IFERROR(IF(INDEX('Faculties'!$O$26:$O$35,MATCH($F206,'Faculties'!$B$26:$B$35,0))="","Cell will autofill based on response",INDEX('Faculties'!$O$26:$O$35,MATCH($F206,'Faculties'!$B$26:$B$35,0))),"N/A")</f>
        <v/>
      </c>
      <c r="J206" s="52">
        <f>IFERROR(IF(INDEX('Faculties'!$O$42:$O$51,MATCH($F206,'Faculties'!$B$42:$B$51,0))="","Cell will autofill based on response",INDEX('Faculties'!$O$42:$O$51,MATCH($F206,'Faculties'!$B$42:$B$51,0))),"N/A")</f>
        <v/>
      </c>
      <c r="K206" s="52">
        <f>IFERROR(IF(INDEX('Faculties'!$O$58:$O$67,MATCH($F206,'Faculties'!$B$58:$B$67,0))="","Cell will autofill based on response",INDEX('Faculties'!$O$58:$O$67,MATCH($F206,'Faculties'!$B$58:$B$67,0))),"N/A")</f>
        <v/>
      </c>
      <c r="L206" s="52">
        <f>IFERROR(IF(INDEX('CI&amp;S'!$O$10:$O$15,MATCH($F206,'CI&amp;S'!$B$10:$B$15,0))="","Cell will autofill based on response",INDEX('CI&amp;S'!$O$10:$O$15,MATCH($F206,'CI&amp;S'!$B$10:$B$15,0))),"N/A")</f>
        <v/>
      </c>
      <c r="M206" s="52">
        <f>IFERROR(IF(INDEX('CI&amp;S'!$O$22:$O$36,MATCH($F206,'CI&amp;S'!$B$22:$B$36,0))="","Cell will autofill based on response",INDEX('CI&amp;S'!$O$22:$O$36,MATCH($F206,'CI&amp;S'!$B$22:$B$36,0))),"N/A")</f>
        <v/>
      </c>
      <c r="N206" s="52">
        <f>IFERROR(IF(INDEX('CFOG'!$O$10:$O$16,MATCH($F206,'CFOG'!$B$10:$B$16,0))="","Cell will autofill based on response",INDEX('CFOG'!$O$10:$O$16,MATCH($F206,'CFOG'!$B$10:$B$16,0))),"N/A")</f>
        <v/>
      </c>
      <c r="O206" s="52">
        <f>IFERROR(IF(INDEX('CFOG'!$O$23:$O$24,MATCH($F206,'CFOG'!$B$23:$B$24,0))="","Cell will autofill based on response",INDEX('CFOG'!$O$23:$O$24,MATCH($F206,'CFOG'!$B$23:$B$24,0))),"N/A")</f>
        <v/>
      </c>
      <c r="P206" s="52">
        <f>IFERROR(IF(INDEX('ESG'!$O$10:$O$17,MATCH($F206,'ESG'!$B$10:$B$17,0))="","Cell will autofill based on response",INDEX('ESG'!$O$10:$O$17,MATCH($F206,'ESG'!$B$10:$B$17,0))),"N/A")</f>
        <v/>
      </c>
      <c r="Q206" s="52">
        <f>IFERROR(IF(INDEX('CIOG'!$O$10:$O$14,MATCH($F206,'CIOG'!$B$10:$B$14,0))="","Cell will autofill based on response",INDEX('CIOG'!$O$10:$O$14,MATCH($F206,'CIOG'!$B$10:$B$14,0))),"N/A")</f>
        <v/>
      </c>
      <c r="R206" s="52">
        <f>IFERROR(IF(INDEX('MRE'!$O$10:$O$18,MATCH($F206,'MRE'!$B$10:$B$18,0))="","Cell will autofill based on response",INDEX('MRE'!$O$10:$O$18,MATCH($F206,'MRE'!$B$10:$B$18,0))),"N/A")</f>
        <v/>
      </c>
      <c r="S206" s="52">
        <f>IFERROR(IF(INDEX('AC&amp;M'!$O$10:$O$14,MATCH($F206,'AC&amp;M'!$B$10:$B$14,0))="","Cell will autofill based on response",INDEX('AC&amp;M'!$O$10:$O$14,MATCH($F206,'AC&amp;M'!$B$10:$B$14,0))),"N/A")</f>
        <v/>
      </c>
      <c r="T206" s="52">
        <f>IFERROR(IF(INDEX('GCE'!$O$10:$O$12,MATCH($F206,'GCE'!$B$10:$B$12,0))="","Cell will autofill based on response",INDEX('GCE'!$O$10:$O$12,MATCH($F206,'GCE'!$B$10:$B$12,0))),"N/A")</f>
        <v/>
      </c>
      <c r="U206" s="52">
        <f>IFERROR(IF(INDEX('Education'!$O$10:$O$13,MATCH($F206,'Education'!$B$10:$B$13,0))="","Cell will autofill based on response",INDEX('Education'!$O$10:$O$13,MATCH($F206,'Education'!$B$10:$B$13,0))),"N/A")</f>
        <v/>
      </c>
      <c r="V206" s="52">
        <f>IFERROR(IF(INDEX('SaSS'!$O$10:$O$12,MATCH($F206,'SaSS'!$B$10:$B$12,0))="","Cell will autofill based on response",INDEX('SaSS'!$O$10:$O$12,MATCH($F206,'SaSS'!$B$10:$B$12,0))),"N/A")</f>
        <v/>
      </c>
      <c r="W206" s="52">
        <f>IFERROR(IF(INDEX('Indigenous'!$O$10:$O$11,MATCH($F206,'Indigenous'!$B$10:$B$11,0))="","Cell will autofill based on response",INDEX('Indigenous'!$O$10:$O$11,MATCH($F206,'Indigenous'!$B$10:$B$11,0))),"N/A")</f>
        <v/>
      </c>
      <c r="X206" s="52">
        <f>IFERROR(IF(INDEX('L&amp;R'!$O$10:$O$11,MATCH($F206,'L&amp;R'!$B$10:$B$11,0))="","Cell will autofill based on response",INDEX('L&amp;R'!$O$10:$O$11,MATCH($F206,'L&amp;R'!$B$10:$B$11,0))),"N/A")</f>
        <v/>
      </c>
    </row>
    <row r="207">
      <c r="A207">
        <f>F207&amp;"|"&amp;G207</f>
        <v/>
      </c>
      <c r="B207" s="13" t="inlineStr"/>
      <c r="C207" s="8" t="inlineStr"/>
      <c r="D207" s="8" t="inlineStr"/>
      <c r="E207" s="8" t="inlineStr"/>
      <c r="F207" s="8" t="inlineStr">
        <is>
          <t>MS1(a)</t>
        </is>
      </c>
      <c r="G207" s="8" t="inlineStr">
        <is>
          <t>Data source and limitations</t>
        </is>
      </c>
      <c r="H207" s="52">
        <f>IFERROR(IF(INDEX('Faculties'!$P$10:$P$19,MATCH($F207,'Faculties'!$B$10:$B$19,0))="","Cell will autofill based on response",INDEX('Faculties'!$P$10:$P$19,MATCH($F207,'Faculties'!$B$10:$B$19,0))),"N/A")</f>
        <v/>
      </c>
      <c r="I207" s="52">
        <f>IFERROR(IF(INDEX('Faculties'!$P$26:$P$35,MATCH($F207,'Faculties'!$B$26:$B$35,0))="","Cell will autofill based on response",INDEX('Faculties'!$P$26:$P$35,MATCH($F207,'Faculties'!$B$26:$B$35,0))),"N/A")</f>
        <v/>
      </c>
      <c r="J207" s="52">
        <f>IFERROR(IF(INDEX('Faculties'!$P$42:$P$51,MATCH($F207,'Faculties'!$B$42:$B$51,0))="","Cell will autofill based on response",INDEX('Faculties'!$P$42:$P$51,MATCH($F207,'Faculties'!$B$42:$B$51,0))),"N/A")</f>
        <v/>
      </c>
      <c r="K207" s="52">
        <f>IFERROR(IF(INDEX('Faculties'!$P$58:$P$67,MATCH($F207,'Faculties'!$B$58:$B$67,0))="","Cell will autofill based on response",INDEX('Faculties'!$P$58:$P$67,MATCH($F207,'Faculties'!$B$58:$B$67,0))),"N/A")</f>
        <v/>
      </c>
      <c r="L207" s="52">
        <f>IFERROR(IF(INDEX('CI&amp;S'!$P$10:$P$15,MATCH($F207,'CI&amp;S'!$B$10:$B$15,0))="","Cell will autofill based on response",INDEX('CI&amp;S'!$P$10:$P$15,MATCH($F207,'CI&amp;S'!$B$10:$B$15,0))),"N/A")</f>
        <v/>
      </c>
      <c r="M207" s="52">
        <f>IFERROR(IF(INDEX('CI&amp;S'!$P$22:$P$36,MATCH($F207,'CI&amp;S'!$B$22:$B$36,0))="","Cell will autofill based on response",INDEX('CI&amp;S'!$P$22:$P$36,MATCH($F207,'CI&amp;S'!$B$22:$B$36,0))),"N/A")</f>
        <v/>
      </c>
      <c r="N207" s="52">
        <f>IFERROR(IF(INDEX('CFOG'!$P$10:$P$16,MATCH($F207,'CFOG'!$B$10:$B$16,0))="","Cell will autofill based on response",INDEX('CFOG'!$P$10:$P$16,MATCH($F207,'CFOG'!$B$10:$B$16,0))),"N/A")</f>
        <v/>
      </c>
      <c r="O207" s="52">
        <f>IFERROR(IF(INDEX('CFOG'!$P$23:$P$24,MATCH($F207,'CFOG'!$B$23:$B$24,0))="","Cell will autofill based on response",INDEX('CFOG'!$P$23:$P$24,MATCH($F207,'CFOG'!$B$23:$B$24,0))),"N/A")</f>
        <v/>
      </c>
      <c r="P207" s="52">
        <f>IFERROR(IF(INDEX('ESG'!$P$10:$P$17,MATCH($F207,'ESG'!$B$10:$B$17,0))="","Cell will autofill based on response",INDEX('ESG'!$P$10:$P$17,MATCH($F207,'ESG'!$B$10:$B$17,0))),"N/A")</f>
        <v/>
      </c>
      <c r="Q207" s="52">
        <f>IFERROR(IF(INDEX('CIOG'!$P$10:$P$14,MATCH($F207,'CIOG'!$B$10:$B$14,0))="","Cell will autofill based on response",INDEX('CIOG'!$P$10:$P$14,MATCH($F207,'CIOG'!$B$10:$B$14,0))),"N/A")</f>
        <v/>
      </c>
      <c r="R207" s="52">
        <f>IFERROR(IF(INDEX('MRE'!$P$10:$P$18,MATCH($F207,'MRE'!$B$10:$B$18,0))="","Cell will autofill based on response",INDEX('MRE'!$P$10:$P$18,MATCH($F207,'MRE'!$B$10:$B$18,0))),"N/A")</f>
        <v/>
      </c>
      <c r="S207" s="52">
        <f>IFERROR(IF(INDEX('AC&amp;M'!$P$10:$P$14,MATCH($F207,'AC&amp;M'!$B$10:$B$14,0))="","Cell will autofill based on response",INDEX('AC&amp;M'!$P$10:$P$14,MATCH($F207,'AC&amp;M'!$B$10:$B$14,0))),"N/A")</f>
        <v/>
      </c>
      <c r="T207" s="52">
        <f>IFERROR(IF(INDEX('GCE'!$P$10:$P$12,MATCH($F207,'GCE'!$B$10:$B$12,0))="","Cell will autofill based on response",INDEX('GCE'!$P$10:$P$12,MATCH($F207,'GCE'!$B$10:$B$12,0))),"N/A")</f>
        <v/>
      </c>
      <c r="U207" s="52">
        <f>IFERROR(IF(INDEX('Education'!$P$10:$P$13,MATCH($F207,'Education'!$B$10:$B$13,0))="","Cell will autofill based on response",INDEX('Education'!$P$10:$P$13,MATCH($F207,'Education'!$B$10:$B$13,0))),"N/A")</f>
        <v/>
      </c>
      <c r="V207" s="52">
        <f>IFERROR(IF(INDEX('SaSS'!$P$10:$P$12,MATCH($F207,'SaSS'!$B$10:$B$12,0))="","Cell will autofill based on response",INDEX('SaSS'!$P$10:$P$12,MATCH($F207,'SaSS'!$B$10:$B$12,0))),"N/A")</f>
        <v/>
      </c>
      <c r="W207" s="52">
        <f>IFERROR(IF(INDEX('Indigenous'!$P$10:$P$11,MATCH($F207,'Indigenous'!$B$10:$B$11,0))="","Cell will autofill based on response",INDEX('Indigenous'!$P$10:$P$11,MATCH($F207,'Indigenous'!$B$10:$B$11,0))),"N/A")</f>
        <v/>
      </c>
      <c r="X207" s="52">
        <f>IFERROR(IF(INDEX('L&amp;R'!$P$10:$P$11,MATCH($F207,'L&amp;R'!$B$10:$B$11,0))="","Cell will autofill based on response",INDEX('L&amp;R'!$P$10:$P$11,MATCH($F207,'L&amp;R'!$B$10:$B$11,0))),"N/A")</f>
        <v/>
      </c>
    </row>
    <row r="208">
      <c r="A208">
        <f>F208&amp;"|"&amp;G208</f>
        <v/>
      </c>
      <c r="B208" s="13" t="inlineStr"/>
      <c r="C208" s="8" t="inlineStr"/>
      <c r="D208" s="8" t="inlineStr"/>
      <c r="E208" s="8" t="inlineStr"/>
      <c r="F208" s="8" t="inlineStr">
        <is>
          <t>MS1(a)</t>
        </is>
      </c>
      <c r="G208" s="8" t="inlineStr">
        <is>
          <t>Data owner confirms</t>
        </is>
      </c>
      <c r="H208" s="52">
        <f>IFERROR(IF(INDEX('Faculties'!$Q$10:$Q$19,MATCH($F208,'Faculties'!$B$10:$B$19,0))="","Cell will autofill based on response",INDEX('Faculties'!$Q$10:$Q$19,MATCH($F208,'Faculties'!$B$10:$B$19,0))),"N/A")</f>
        <v/>
      </c>
      <c r="I208" s="52">
        <f>IFERROR(IF(INDEX('Faculties'!$Q$26:$Q$35,MATCH($F208,'Faculties'!$B$26:$B$35,0))="","Cell will autofill based on response",INDEX('Faculties'!$Q$26:$Q$35,MATCH($F208,'Faculties'!$B$26:$B$35,0))),"N/A")</f>
        <v/>
      </c>
      <c r="J208" s="52">
        <f>IFERROR(IF(INDEX('Faculties'!$Q$42:$Q$51,MATCH($F208,'Faculties'!$B$42:$B$51,0))="","Cell will autofill based on response",INDEX('Faculties'!$Q$42:$Q$51,MATCH($F208,'Faculties'!$B$42:$B$51,0))),"N/A")</f>
        <v/>
      </c>
      <c r="K208" s="52">
        <f>IFERROR(IF(INDEX('Faculties'!$Q$58:$Q$67,MATCH($F208,'Faculties'!$B$58:$B$67,0))="","Cell will autofill based on response",INDEX('Faculties'!$Q$58:$Q$67,MATCH($F208,'Faculties'!$B$58:$B$67,0))),"N/A")</f>
        <v/>
      </c>
      <c r="L208" s="52">
        <f>IFERROR(IF(INDEX('CI&amp;S'!$Q$10:$Q$15,MATCH($F208,'CI&amp;S'!$B$10:$B$15,0))="","Cell will autofill based on response",INDEX('CI&amp;S'!$Q$10:$Q$15,MATCH($F208,'CI&amp;S'!$B$10:$B$15,0))),"N/A")</f>
        <v/>
      </c>
      <c r="M208" s="52">
        <f>IFERROR(IF(INDEX('CI&amp;S'!$Q$22:$Q$36,MATCH($F208,'CI&amp;S'!$B$22:$B$36,0))="","Cell will autofill based on response",INDEX('CI&amp;S'!$Q$22:$Q$36,MATCH($F208,'CI&amp;S'!$B$22:$B$36,0))),"N/A")</f>
        <v/>
      </c>
      <c r="N208" s="52">
        <f>IFERROR(IF(INDEX('CFOG'!$Q$10:$Q$16,MATCH($F208,'CFOG'!$B$10:$B$16,0))="","Cell will autofill based on response",INDEX('CFOG'!$Q$10:$Q$16,MATCH($F208,'CFOG'!$B$10:$B$16,0))),"N/A")</f>
        <v/>
      </c>
      <c r="O208" s="52">
        <f>IFERROR(IF(INDEX('CFOG'!$Q$23:$Q$24,MATCH($F208,'CFOG'!$B$23:$B$24,0))="","Cell will autofill based on response",INDEX('CFOG'!$Q$23:$Q$24,MATCH($F208,'CFOG'!$B$23:$B$24,0))),"N/A")</f>
        <v/>
      </c>
      <c r="P208" s="52">
        <f>IFERROR(IF(INDEX('ESG'!$Q$10:$Q$17,MATCH($F208,'ESG'!$B$10:$B$17,0))="","Cell will autofill based on response",INDEX('ESG'!$Q$10:$Q$17,MATCH($F208,'ESG'!$B$10:$B$17,0))),"N/A")</f>
        <v/>
      </c>
      <c r="Q208" s="52">
        <f>IFERROR(IF(INDEX('CIOG'!$Q$10:$Q$14,MATCH($F208,'CIOG'!$B$10:$B$14,0))="","Cell will autofill based on response",INDEX('CIOG'!$Q$10:$Q$14,MATCH($F208,'CIOG'!$B$10:$B$14,0))),"N/A")</f>
        <v/>
      </c>
      <c r="R208" s="52">
        <f>IFERROR(IF(INDEX('MRE'!$Q$10:$Q$18,MATCH($F208,'MRE'!$B$10:$B$18,0))="","Cell will autofill based on response",INDEX('MRE'!$Q$10:$Q$18,MATCH($F208,'MRE'!$B$10:$B$18,0))),"N/A")</f>
        <v/>
      </c>
      <c r="S208" s="52">
        <f>IFERROR(IF(INDEX('AC&amp;M'!$Q$10:$Q$14,MATCH($F208,'AC&amp;M'!$B$10:$B$14,0))="","Cell will autofill based on response",INDEX('AC&amp;M'!$Q$10:$Q$14,MATCH($F208,'AC&amp;M'!$B$10:$B$14,0))),"N/A")</f>
        <v/>
      </c>
      <c r="T208" s="52">
        <f>IFERROR(IF(INDEX('GCE'!$Q$10:$Q$12,MATCH($F208,'GCE'!$B$10:$B$12,0))="","Cell will autofill based on response",INDEX('GCE'!$Q$10:$Q$12,MATCH($F208,'GCE'!$B$10:$B$12,0))),"N/A")</f>
        <v/>
      </c>
      <c r="U208" s="52">
        <f>IFERROR(IF(INDEX('Education'!$Q$10:$Q$13,MATCH($F208,'Education'!$B$10:$B$13,0))="","Cell will autofill based on response",INDEX('Education'!$Q$10:$Q$13,MATCH($F208,'Education'!$B$10:$B$13,0))),"N/A")</f>
        <v/>
      </c>
      <c r="V208" s="52">
        <f>IFERROR(IF(INDEX('SaSS'!$Q$10:$Q$12,MATCH($F208,'SaSS'!$B$10:$B$12,0))="","Cell will autofill based on response",INDEX('SaSS'!$Q$10:$Q$12,MATCH($F208,'SaSS'!$B$10:$B$12,0))),"N/A")</f>
        <v/>
      </c>
      <c r="W208" s="52">
        <f>IFERROR(IF(INDEX('Indigenous'!$Q$10:$Q$11,MATCH($F208,'Indigenous'!$B$10:$B$11,0))="","Cell will autofill based on response",INDEX('Indigenous'!$Q$10:$Q$11,MATCH($F208,'Indigenous'!$B$10:$B$11,0))),"N/A")</f>
        <v/>
      </c>
      <c r="X208" s="52">
        <f>IFERROR(IF(INDEX('L&amp;R'!$Q$10:$Q$11,MATCH($F208,'L&amp;R'!$B$10:$B$11,0))="","Cell will autofill based on response",INDEX('L&amp;R'!$Q$10:$Q$11,MATCH($F208,'L&amp;R'!$B$10:$B$11,0))),"N/A")</f>
        <v/>
      </c>
    </row>
    <row r="209">
      <c r="A209">
        <f>F209&amp;"|"&amp;G209</f>
        <v/>
      </c>
      <c r="B209" s="7" t="inlineStr">
        <is>
          <t>RI1(b)</t>
        </is>
      </c>
      <c r="C209" s="50" t="inlineStr">
        <is>
          <t>Responsible investments</t>
        </is>
      </c>
      <c r="D209" s="50" t="inlineStr">
        <is>
          <t>Continuous improvement of the reporting of the University’s sustainability-related investment profile metrics, could include investment in climate mitigation and transition solutions, and compliance with related obligations (eg UNPRI).</t>
        </is>
      </c>
      <c r="E209" s="50" t="inlineStr">
        <is>
          <t>Report on relevant sustainability-related investment portfolio metrics and report on how the University has complied with its related obligations</t>
        </is>
      </c>
      <c r="F209" s="50" t="inlineStr">
        <is>
          <t>RI1(b)</t>
        </is>
      </c>
      <c r="G209" s="50" t="inlineStr">
        <is>
          <t>Confirm end-2026 target status</t>
        </is>
      </c>
      <c r="H209" s="52">
        <f>IFERROR(IF(INDEX('Faculties'!$L$10:$L$19,MATCH($F209,'Faculties'!$B$10:$B$19,0))="","Cell will autofill based on response",INDEX('Faculties'!$L$10:$L$19,MATCH($F209,'Faculties'!$B$10:$B$19,0))),"N/A")</f>
        <v/>
      </c>
      <c r="I209" s="52">
        <f>IFERROR(IF(INDEX('Faculties'!$L$26:$L$35,MATCH($F209,'Faculties'!$B$26:$B$35,0))="","Cell will autofill based on response",INDEX('Faculties'!$L$26:$L$35,MATCH($F209,'Faculties'!$B$26:$B$35,0))),"N/A")</f>
        <v/>
      </c>
      <c r="J209" s="52">
        <f>IFERROR(IF(INDEX('Faculties'!$L$42:$L$51,MATCH($F209,'Faculties'!$B$42:$B$51,0))="","Cell will autofill based on response",INDEX('Faculties'!$L$42:$L$51,MATCH($F209,'Faculties'!$B$42:$B$51,0))),"N/A")</f>
        <v/>
      </c>
      <c r="K209" s="52">
        <f>IFERROR(IF(INDEX('Faculties'!$L$58:$L$67,MATCH($F209,'Faculties'!$B$58:$B$67,0))="","Cell will autofill based on response",INDEX('Faculties'!$L$58:$L$67,MATCH($F209,'Faculties'!$B$58:$B$67,0))),"N/A")</f>
        <v/>
      </c>
      <c r="L209" s="52">
        <f>IFERROR(IF(INDEX('CI&amp;S'!$L$10:$L$15,MATCH($F209,'CI&amp;S'!$B$10:$B$15,0))="","Cell will autofill based on response",INDEX('CI&amp;S'!$L$10:$L$15,MATCH($F209,'CI&amp;S'!$B$10:$B$15,0))),"N/A")</f>
        <v/>
      </c>
      <c r="M209" s="52">
        <f>IFERROR(IF(INDEX('CI&amp;S'!$L$22:$L$36,MATCH($F209,'CI&amp;S'!$B$22:$B$36,0))="","Cell will autofill based on response",INDEX('CI&amp;S'!$L$22:$L$36,MATCH($F209,'CI&amp;S'!$B$22:$B$36,0))),"N/A")</f>
        <v/>
      </c>
      <c r="N209" s="52">
        <f>IFERROR(IF(INDEX('CFOG'!$L$10:$L$16,MATCH($F209,'CFOG'!$B$10:$B$16,0))="","Cell will autofill based on response",INDEX('CFOG'!$L$10:$L$16,MATCH($F209,'CFOG'!$B$10:$B$16,0))),"N/A")</f>
        <v/>
      </c>
      <c r="O209" s="52">
        <f>IFERROR(IF(INDEX('CFOG'!$L$23:$L$24,MATCH($F209,'CFOG'!$B$23:$B$24,0))="","Cell will autofill based on response",INDEX('CFOG'!$L$23:$L$24,MATCH($F209,'CFOG'!$B$23:$B$24,0))),"N/A")</f>
        <v/>
      </c>
      <c r="P209" s="52">
        <f>IFERROR(IF(INDEX('ESG'!$L$10:$L$17,MATCH($F209,'ESG'!$B$10:$B$17,0))="","Cell will autofill based on response",INDEX('ESG'!$L$10:$L$17,MATCH($F209,'ESG'!$B$10:$B$17,0))),"N/A")</f>
        <v/>
      </c>
      <c r="Q209" s="52">
        <f>IFERROR(IF(INDEX('CIOG'!$L$10:$L$14,MATCH($F209,'CIOG'!$B$10:$B$14,0))="","Cell will autofill based on response",INDEX('CIOG'!$L$10:$L$14,MATCH($F209,'CIOG'!$B$10:$B$14,0))),"N/A")</f>
        <v/>
      </c>
      <c r="R209" s="52">
        <f>IFERROR(IF(INDEX('MRE'!$L$10:$L$18,MATCH($F209,'MRE'!$B$10:$B$18,0))="","Cell will autofill based on response",INDEX('MRE'!$L$10:$L$18,MATCH($F209,'MRE'!$B$10:$B$18,0))),"N/A")</f>
        <v/>
      </c>
      <c r="S209" s="52">
        <f>IFERROR(IF(INDEX('AC&amp;M'!$L$10:$L$14,MATCH($F209,'AC&amp;M'!$B$10:$B$14,0))="","Cell will autofill based on response",INDEX('AC&amp;M'!$L$10:$L$14,MATCH($F209,'AC&amp;M'!$B$10:$B$14,0))),"N/A")</f>
        <v/>
      </c>
      <c r="T209" s="52">
        <f>IFERROR(IF(INDEX('GCE'!$L$10:$L$12,MATCH($F209,'GCE'!$B$10:$B$12,0))="","Cell will autofill based on response",INDEX('GCE'!$L$10:$L$12,MATCH($F209,'GCE'!$B$10:$B$12,0))),"N/A")</f>
        <v/>
      </c>
      <c r="U209" s="52">
        <f>IFERROR(IF(INDEX('Education'!$L$10:$L$13,MATCH($F209,'Education'!$B$10:$B$13,0))="","Cell will autofill based on response",INDEX('Education'!$L$10:$L$13,MATCH($F209,'Education'!$B$10:$B$13,0))),"N/A")</f>
        <v/>
      </c>
      <c r="V209" s="52">
        <f>IFERROR(IF(INDEX('SaSS'!$L$10:$L$12,MATCH($F209,'SaSS'!$B$10:$B$12,0))="","Cell will autofill based on response",INDEX('SaSS'!$L$10:$L$12,MATCH($F209,'SaSS'!$B$10:$B$12,0))),"N/A")</f>
        <v/>
      </c>
      <c r="W209" s="52">
        <f>IFERROR(IF(INDEX('Indigenous'!$L$10:$L$11,MATCH($F209,'Indigenous'!$B$10:$B$11,0))="","Cell will autofill based on response",INDEX('Indigenous'!$L$10:$L$11,MATCH($F209,'Indigenous'!$B$10:$B$11,0))),"N/A")</f>
        <v/>
      </c>
      <c r="X209" s="52">
        <f>IFERROR(IF(INDEX('L&amp;R'!$L$10:$L$11,MATCH($F209,'L&amp;R'!$B$10:$B$11,0))="","Cell will autofill based on response",INDEX('L&amp;R'!$L$10:$L$11,MATCH($F209,'L&amp;R'!$B$10:$B$11,0))),"N/A")</f>
        <v/>
      </c>
      <c r="Z209" s="10">
        <f>COUNTIF($H209:$X209,"Cell will autofill based on response")</f>
        <v/>
      </c>
      <c r="AA209" s="10">
        <f>COUNTIF($H209:$X209,"Not yet started")</f>
        <v/>
      </c>
      <c r="AB209" s="10">
        <f>COUNTIF($H209:$X209,"Not met")</f>
        <v/>
      </c>
      <c r="AC209" s="10">
        <f>COUNTIF($H209:$X209,"Partially met")</f>
        <v/>
      </c>
      <c r="AD209" s="10">
        <f>COUNTIF($H209:$X209,"Met or exceeded")</f>
        <v/>
      </c>
      <c r="AE209" s="10">
        <f>3*AD209+2*AC209+AB209</f>
        <v/>
      </c>
      <c r="AF209" s="10">
        <f>AD209+AC209+AB209+AA209</f>
        <v/>
      </c>
      <c r="AG209" s="53">
        <f>IF(AF209&gt;0,AE209/AF209,"No valid responses to date")</f>
        <v/>
      </c>
      <c r="AH209" s="10">
        <f>IF(ISNUMBER(AG209),INDEX(Lists!$G$2:$G$5,MATCH(ROUND(AG209,0),Lists!$H$2:$H$5,0)),"")</f>
        <v/>
      </c>
      <c r="AI209" s="54">
        <f>IF(AF209&gt;0,AD209/AF209,"")</f>
        <v/>
      </c>
      <c r="AJ209" s="54">
        <f>IF(AF209&gt;0,(AD209+AC209)/AF209,"")</f>
        <v/>
      </c>
      <c r="AK209" s="10">
        <f>IF(AF209=0,"",IF(AI209&gt;0.75,"Met or exceeded",IF(AJ209&gt;=0.5,"Partially met","Not met")))</f>
        <v/>
      </c>
    </row>
    <row r="210">
      <c r="A210">
        <f>F210&amp;"|"&amp;G210</f>
        <v/>
      </c>
      <c r="B210" s="13" t="inlineStr"/>
      <c r="C210" s="8" t="inlineStr"/>
      <c r="D210" s="8" t="inlineStr"/>
      <c r="E210" s="8" t="inlineStr"/>
      <c r="F210" s="8" t="inlineStr">
        <is>
          <t>RI1(b)</t>
        </is>
      </c>
      <c r="G210" s="8" t="inlineStr">
        <is>
          <t>OPTION 1:  Target-level reporting</t>
        </is>
      </c>
      <c r="H210" s="52">
        <f>IFERROR(IF(INDEX('Faculties'!$M$10:$M$19,MATCH($F210,'Faculties'!$B$10:$B$19,0))="","Cell will autofill based on response",INDEX('Faculties'!$M$10:$M$19,MATCH($F210,'Faculties'!$B$10:$B$19,0))),"N/A")</f>
        <v/>
      </c>
      <c r="I210" s="52">
        <f>IFERROR(IF(INDEX('Faculties'!$M$26:$M$35,MATCH($F210,'Faculties'!$B$26:$B$35,0))="","Cell will autofill based on response",INDEX('Faculties'!$M$26:$M$35,MATCH($F210,'Faculties'!$B$26:$B$35,0))),"N/A")</f>
        <v/>
      </c>
      <c r="J210" s="52">
        <f>IFERROR(IF(INDEX('Faculties'!$M$42:$M$51,MATCH($F210,'Faculties'!$B$42:$B$51,0))="","Cell will autofill based on response",INDEX('Faculties'!$M$42:$M$51,MATCH($F210,'Faculties'!$B$42:$B$51,0))),"N/A")</f>
        <v/>
      </c>
      <c r="K210" s="52">
        <f>IFERROR(IF(INDEX('Faculties'!$M$58:$M$67,MATCH($F210,'Faculties'!$B$58:$B$67,0))="","Cell will autofill based on response",INDEX('Faculties'!$M$58:$M$67,MATCH($F210,'Faculties'!$B$58:$B$67,0))),"N/A")</f>
        <v/>
      </c>
      <c r="L210" s="52">
        <f>IFERROR(IF(INDEX('CI&amp;S'!$M$10:$M$15,MATCH($F210,'CI&amp;S'!$B$10:$B$15,0))="","Cell will autofill based on response",INDEX('CI&amp;S'!$M$10:$M$15,MATCH($F210,'CI&amp;S'!$B$10:$B$15,0))),"N/A")</f>
        <v/>
      </c>
      <c r="M210" s="52">
        <f>IFERROR(IF(INDEX('CI&amp;S'!$M$22:$M$36,MATCH($F210,'CI&amp;S'!$B$22:$B$36,0))="","Cell will autofill based on response",INDEX('CI&amp;S'!$M$22:$M$36,MATCH($F210,'CI&amp;S'!$B$22:$B$36,0))),"N/A")</f>
        <v/>
      </c>
      <c r="N210" s="52">
        <f>IFERROR(IF(INDEX('CFOG'!$M$10:$M$16,MATCH($F210,'CFOG'!$B$10:$B$16,0))="","Cell will autofill based on response",INDEX('CFOG'!$M$10:$M$16,MATCH($F210,'CFOG'!$B$10:$B$16,0))),"N/A")</f>
        <v/>
      </c>
      <c r="O210" s="52">
        <f>IFERROR(IF(INDEX('CFOG'!$M$23:$M$24,MATCH($F210,'CFOG'!$B$23:$B$24,0))="","Cell will autofill based on response",INDEX('CFOG'!$M$23:$M$24,MATCH($F210,'CFOG'!$B$23:$B$24,0))),"N/A")</f>
        <v/>
      </c>
      <c r="P210" s="52">
        <f>IFERROR(IF(INDEX('ESG'!$M$10:$M$17,MATCH($F210,'ESG'!$B$10:$B$17,0))="","Cell will autofill based on response",INDEX('ESG'!$M$10:$M$17,MATCH($F210,'ESG'!$B$10:$B$17,0))),"N/A")</f>
        <v/>
      </c>
      <c r="Q210" s="52">
        <f>IFERROR(IF(INDEX('CIOG'!$M$10:$M$14,MATCH($F210,'CIOG'!$B$10:$B$14,0))="","Cell will autofill based on response",INDEX('CIOG'!$M$10:$M$14,MATCH($F210,'CIOG'!$B$10:$B$14,0))),"N/A")</f>
        <v/>
      </c>
      <c r="R210" s="52">
        <f>IFERROR(IF(INDEX('MRE'!$M$10:$M$18,MATCH($F210,'MRE'!$B$10:$B$18,0))="","Cell will autofill based on response",INDEX('MRE'!$M$10:$M$18,MATCH($F210,'MRE'!$B$10:$B$18,0))),"N/A")</f>
        <v/>
      </c>
      <c r="S210" s="52">
        <f>IFERROR(IF(INDEX('AC&amp;M'!$M$10:$M$14,MATCH($F210,'AC&amp;M'!$B$10:$B$14,0))="","Cell will autofill based on response",INDEX('AC&amp;M'!$M$10:$M$14,MATCH($F210,'AC&amp;M'!$B$10:$B$14,0))),"N/A")</f>
        <v/>
      </c>
      <c r="T210" s="52">
        <f>IFERROR(IF(INDEX('GCE'!$M$10:$M$12,MATCH($F210,'GCE'!$B$10:$B$12,0))="","Cell will autofill based on response",INDEX('GCE'!$M$10:$M$12,MATCH($F210,'GCE'!$B$10:$B$12,0))),"N/A")</f>
        <v/>
      </c>
      <c r="U210" s="52">
        <f>IFERROR(IF(INDEX('Education'!$M$10:$M$13,MATCH($F210,'Education'!$B$10:$B$13,0))="","Cell will autofill based on response",INDEX('Education'!$M$10:$M$13,MATCH($F210,'Education'!$B$10:$B$13,0))),"N/A")</f>
        <v/>
      </c>
      <c r="V210" s="52">
        <f>IFERROR(IF(INDEX('SaSS'!$M$10:$M$12,MATCH($F210,'SaSS'!$B$10:$B$12,0))="","Cell will autofill based on response",INDEX('SaSS'!$M$10:$M$12,MATCH($F210,'SaSS'!$B$10:$B$12,0))),"N/A")</f>
        <v/>
      </c>
      <c r="W210" s="52">
        <f>IFERROR(IF(INDEX('Indigenous'!$M$10:$M$11,MATCH($F210,'Indigenous'!$B$10:$B$11,0))="","Cell will autofill based on response",INDEX('Indigenous'!$M$10:$M$11,MATCH($F210,'Indigenous'!$B$10:$B$11,0))),"N/A")</f>
        <v/>
      </c>
      <c r="X210" s="52">
        <f>IFERROR(IF(INDEX('L&amp;R'!$M$10:$M$11,MATCH($F210,'L&amp;R'!$B$10:$B$11,0))="","Cell will autofill based on response",INDEX('L&amp;R'!$M$10:$M$11,MATCH($F210,'L&amp;R'!$B$10:$B$11,0))),"N/A")</f>
        <v/>
      </c>
    </row>
    <row r="211">
      <c r="A211">
        <f>F211&amp;"|"&amp;G211</f>
        <v/>
      </c>
      <c r="B211" s="13" t="inlineStr"/>
      <c r="C211" s="8" t="inlineStr"/>
      <c r="D211" s="8" t="inlineStr"/>
      <c r="E211" s="8" t="inlineStr"/>
      <c r="F211" s="8" t="inlineStr">
        <is>
          <t>RI1(b)</t>
        </is>
      </c>
      <c r="G211" s="8" t="inlineStr">
        <is>
          <t>OPTION 2:  Indicator level reporting</t>
        </is>
      </c>
      <c r="H211" s="52">
        <f>IFERROR(IF(INDEX('Faculties'!$N$10:$N$19,MATCH($F211,'Faculties'!$B$10:$B$19,0))="","Cell will autofill based on response",INDEX('Faculties'!$N$10:$N$19,MATCH($F211,'Faculties'!$B$10:$B$19,0))),"N/A")</f>
        <v/>
      </c>
      <c r="I211" s="52">
        <f>IFERROR(IF(INDEX('Faculties'!$N$26:$N$35,MATCH($F211,'Faculties'!$B$26:$B$35,0))="","Cell will autofill based on response",INDEX('Faculties'!$N$26:$N$35,MATCH($F211,'Faculties'!$B$26:$B$35,0))),"N/A")</f>
        <v/>
      </c>
      <c r="J211" s="52">
        <f>IFERROR(IF(INDEX('Faculties'!$N$42:$N$51,MATCH($F211,'Faculties'!$B$42:$B$51,0))="","Cell will autofill based on response",INDEX('Faculties'!$N$42:$N$51,MATCH($F211,'Faculties'!$B$42:$B$51,0))),"N/A")</f>
        <v/>
      </c>
      <c r="K211" s="52">
        <f>IFERROR(IF(INDEX('Faculties'!$N$58:$N$67,MATCH($F211,'Faculties'!$B$58:$B$67,0))="","Cell will autofill based on response",INDEX('Faculties'!$N$58:$N$67,MATCH($F211,'Faculties'!$B$58:$B$67,0))),"N/A")</f>
        <v/>
      </c>
      <c r="L211" s="52">
        <f>IFERROR(IF(INDEX('CI&amp;S'!$N$10:$N$15,MATCH($F211,'CI&amp;S'!$B$10:$B$15,0))="","Cell will autofill based on response",INDEX('CI&amp;S'!$N$10:$N$15,MATCH($F211,'CI&amp;S'!$B$10:$B$15,0))),"N/A")</f>
        <v/>
      </c>
      <c r="M211" s="52">
        <f>IFERROR(IF(INDEX('CI&amp;S'!$N$22:$N$36,MATCH($F211,'CI&amp;S'!$B$22:$B$36,0))="","Cell will autofill based on response",INDEX('CI&amp;S'!$N$22:$N$36,MATCH($F211,'CI&amp;S'!$B$22:$B$36,0))),"N/A")</f>
        <v/>
      </c>
      <c r="N211" s="52">
        <f>IFERROR(IF(INDEX('CFOG'!$N$10:$N$16,MATCH($F211,'CFOG'!$B$10:$B$16,0))="","Cell will autofill based on response",INDEX('CFOG'!$N$10:$N$16,MATCH($F211,'CFOG'!$B$10:$B$16,0))),"N/A")</f>
        <v/>
      </c>
      <c r="O211" s="52">
        <f>IFERROR(IF(INDEX('CFOG'!$N$23:$N$24,MATCH($F211,'CFOG'!$B$23:$B$24,0))="","Cell will autofill based on response",INDEX('CFOG'!$N$23:$N$24,MATCH($F211,'CFOG'!$B$23:$B$24,0))),"N/A")</f>
        <v/>
      </c>
      <c r="P211" s="52">
        <f>IFERROR(IF(INDEX('ESG'!$N$10:$N$17,MATCH($F211,'ESG'!$B$10:$B$17,0))="","Cell will autofill based on response",INDEX('ESG'!$N$10:$N$17,MATCH($F211,'ESG'!$B$10:$B$17,0))),"N/A")</f>
        <v/>
      </c>
      <c r="Q211" s="52">
        <f>IFERROR(IF(INDEX('CIOG'!$N$10:$N$14,MATCH($F211,'CIOG'!$B$10:$B$14,0))="","Cell will autofill based on response",INDEX('CIOG'!$N$10:$N$14,MATCH($F211,'CIOG'!$B$10:$B$14,0))),"N/A")</f>
        <v/>
      </c>
      <c r="R211" s="52">
        <f>IFERROR(IF(INDEX('MRE'!$N$10:$N$18,MATCH($F211,'MRE'!$B$10:$B$18,0))="","Cell will autofill based on response",INDEX('MRE'!$N$10:$N$18,MATCH($F211,'MRE'!$B$10:$B$18,0))),"N/A")</f>
        <v/>
      </c>
      <c r="S211" s="52">
        <f>IFERROR(IF(INDEX('AC&amp;M'!$N$10:$N$14,MATCH($F211,'AC&amp;M'!$B$10:$B$14,0))="","Cell will autofill based on response",INDEX('AC&amp;M'!$N$10:$N$14,MATCH($F211,'AC&amp;M'!$B$10:$B$14,0))),"N/A")</f>
        <v/>
      </c>
      <c r="T211" s="52">
        <f>IFERROR(IF(INDEX('GCE'!$N$10:$N$12,MATCH($F211,'GCE'!$B$10:$B$12,0))="","Cell will autofill based on response",INDEX('GCE'!$N$10:$N$12,MATCH($F211,'GCE'!$B$10:$B$12,0))),"N/A")</f>
        <v/>
      </c>
      <c r="U211" s="52">
        <f>IFERROR(IF(INDEX('Education'!$N$10:$N$13,MATCH($F211,'Education'!$B$10:$B$13,0))="","Cell will autofill based on response",INDEX('Education'!$N$10:$N$13,MATCH($F211,'Education'!$B$10:$B$13,0))),"N/A")</f>
        <v/>
      </c>
      <c r="V211" s="52">
        <f>IFERROR(IF(INDEX('SaSS'!$N$10:$N$12,MATCH($F211,'SaSS'!$B$10:$B$12,0))="","Cell will autofill based on response",INDEX('SaSS'!$N$10:$N$12,MATCH($F211,'SaSS'!$B$10:$B$12,0))),"N/A")</f>
        <v/>
      </c>
      <c r="W211" s="52">
        <f>IFERROR(IF(INDEX('Indigenous'!$N$10:$N$11,MATCH($F211,'Indigenous'!$B$10:$B$11,0))="","Cell will autofill based on response",INDEX('Indigenous'!$N$10:$N$11,MATCH($F211,'Indigenous'!$B$10:$B$11,0))),"N/A")</f>
        <v/>
      </c>
      <c r="X211" s="52">
        <f>IFERROR(IF(INDEX('L&amp;R'!$N$10:$N$11,MATCH($F211,'L&amp;R'!$B$10:$B$11,0))="","Cell will autofill based on response",INDEX('L&amp;R'!$N$10:$N$11,MATCH($F211,'L&amp;R'!$B$10:$B$11,0))),"N/A")</f>
        <v/>
      </c>
    </row>
    <row r="212">
      <c r="A212">
        <f>F212&amp;"|"&amp;G212</f>
        <v/>
      </c>
      <c r="B212" s="13" t="inlineStr"/>
      <c r="C212" s="8" t="inlineStr"/>
      <c r="D212" s="8" t="inlineStr"/>
      <c r="E212" s="8" t="inlineStr"/>
      <c r="F212" s="8" t="inlineStr">
        <is>
          <t>RI1(b)</t>
        </is>
      </c>
      <c r="G212" s="8" t="inlineStr">
        <is>
          <t>Supporting information/comments</t>
        </is>
      </c>
      <c r="H212" s="52">
        <f>IFERROR(IF(INDEX('Faculties'!$O$10:$O$19,MATCH($F212,'Faculties'!$B$10:$B$19,0))="","Cell will autofill based on response",INDEX('Faculties'!$O$10:$O$19,MATCH($F212,'Faculties'!$B$10:$B$19,0))),"N/A")</f>
        <v/>
      </c>
      <c r="I212" s="52">
        <f>IFERROR(IF(INDEX('Faculties'!$O$26:$O$35,MATCH($F212,'Faculties'!$B$26:$B$35,0))="","Cell will autofill based on response",INDEX('Faculties'!$O$26:$O$35,MATCH($F212,'Faculties'!$B$26:$B$35,0))),"N/A")</f>
        <v/>
      </c>
      <c r="J212" s="52">
        <f>IFERROR(IF(INDEX('Faculties'!$O$42:$O$51,MATCH($F212,'Faculties'!$B$42:$B$51,0))="","Cell will autofill based on response",INDEX('Faculties'!$O$42:$O$51,MATCH($F212,'Faculties'!$B$42:$B$51,0))),"N/A")</f>
        <v/>
      </c>
      <c r="K212" s="52">
        <f>IFERROR(IF(INDEX('Faculties'!$O$58:$O$67,MATCH($F212,'Faculties'!$B$58:$B$67,0))="","Cell will autofill based on response",INDEX('Faculties'!$O$58:$O$67,MATCH($F212,'Faculties'!$B$58:$B$67,0))),"N/A")</f>
        <v/>
      </c>
      <c r="L212" s="52">
        <f>IFERROR(IF(INDEX('CI&amp;S'!$O$10:$O$15,MATCH($F212,'CI&amp;S'!$B$10:$B$15,0))="","Cell will autofill based on response",INDEX('CI&amp;S'!$O$10:$O$15,MATCH($F212,'CI&amp;S'!$B$10:$B$15,0))),"N/A")</f>
        <v/>
      </c>
      <c r="M212" s="52">
        <f>IFERROR(IF(INDEX('CI&amp;S'!$O$22:$O$36,MATCH($F212,'CI&amp;S'!$B$22:$B$36,0))="","Cell will autofill based on response",INDEX('CI&amp;S'!$O$22:$O$36,MATCH($F212,'CI&amp;S'!$B$22:$B$36,0))),"N/A")</f>
        <v/>
      </c>
      <c r="N212" s="52">
        <f>IFERROR(IF(INDEX('CFOG'!$O$10:$O$16,MATCH($F212,'CFOG'!$B$10:$B$16,0))="","Cell will autofill based on response",INDEX('CFOG'!$O$10:$O$16,MATCH($F212,'CFOG'!$B$10:$B$16,0))),"N/A")</f>
        <v/>
      </c>
      <c r="O212" s="52">
        <f>IFERROR(IF(INDEX('CFOG'!$O$23:$O$24,MATCH($F212,'CFOG'!$B$23:$B$24,0))="","Cell will autofill based on response",INDEX('CFOG'!$O$23:$O$24,MATCH($F212,'CFOG'!$B$23:$B$24,0))),"N/A")</f>
        <v/>
      </c>
      <c r="P212" s="52">
        <f>IFERROR(IF(INDEX('ESG'!$O$10:$O$17,MATCH($F212,'ESG'!$B$10:$B$17,0))="","Cell will autofill based on response",INDEX('ESG'!$O$10:$O$17,MATCH($F212,'ESG'!$B$10:$B$17,0))),"N/A")</f>
        <v/>
      </c>
      <c r="Q212" s="52">
        <f>IFERROR(IF(INDEX('CIOG'!$O$10:$O$14,MATCH($F212,'CIOG'!$B$10:$B$14,0))="","Cell will autofill based on response",INDEX('CIOG'!$O$10:$O$14,MATCH($F212,'CIOG'!$B$10:$B$14,0))),"N/A")</f>
        <v/>
      </c>
      <c r="R212" s="52">
        <f>IFERROR(IF(INDEX('MRE'!$O$10:$O$18,MATCH($F212,'MRE'!$B$10:$B$18,0))="","Cell will autofill based on response",INDEX('MRE'!$O$10:$O$18,MATCH($F212,'MRE'!$B$10:$B$18,0))),"N/A")</f>
        <v/>
      </c>
      <c r="S212" s="52">
        <f>IFERROR(IF(INDEX('AC&amp;M'!$O$10:$O$14,MATCH($F212,'AC&amp;M'!$B$10:$B$14,0))="","Cell will autofill based on response",INDEX('AC&amp;M'!$O$10:$O$14,MATCH($F212,'AC&amp;M'!$B$10:$B$14,0))),"N/A")</f>
        <v/>
      </c>
      <c r="T212" s="52">
        <f>IFERROR(IF(INDEX('GCE'!$O$10:$O$12,MATCH($F212,'GCE'!$B$10:$B$12,0))="","Cell will autofill based on response",INDEX('GCE'!$O$10:$O$12,MATCH($F212,'GCE'!$B$10:$B$12,0))),"N/A")</f>
        <v/>
      </c>
      <c r="U212" s="52">
        <f>IFERROR(IF(INDEX('Education'!$O$10:$O$13,MATCH($F212,'Education'!$B$10:$B$13,0))="","Cell will autofill based on response",INDEX('Education'!$O$10:$O$13,MATCH($F212,'Education'!$B$10:$B$13,0))),"N/A")</f>
        <v/>
      </c>
      <c r="V212" s="52">
        <f>IFERROR(IF(INDEX('SaSS'!$O$10:$O$12,MATCH($F212,'SaSS'!$B$10:$B$12,0))="","Cell will autofill based on response",INDEX('SaSS'!$O$10:$O$12,MATCH($F212,'SaSS'!$B$10:$B$12,0))),"N/A")</f>
        <v/>
      </c>
      <c r="W212" s="52">
        <f>IFERROR(IF(INDEX('Indigenous'!$O$10:$O$11,MATCH($F212,'Indigenous'!$B$10:$B$11,0))="","Cell will autofill based on response",INDEX('Indigenous'!$O$10:$O$11,MATCH($F212,'Indigenous'!$B$10:$B$11,0))),"N/A")</f>
        <v/>
      </c>
      <c r="X212" s="52">
        <f>IFERROR(IF(INDEX('L&amp;R'!$O$10:$O$11,MATCH($F212,'L&amp;R'!$B$10:$B$11,0))="","Cell will autofill based on response",INDEX('L&amp;R'!$O$10:$O$11,MATCH($F212,'L&amp;R'!$B$10:$B$11,0))),"N/A")</f>
        <v/>
      </c>
    </row>
    <row r="213">
      <c r="A213">
        <f>F213&amp;"|"&amp;G213</f>
        <v/>
      </c>
      <c r="B213" s="13" t="inlineStr"/>
      <c r="C213" s="8" t="inlineStr"/>
      <c r="D213" s="8" t="inlineStr"/>
      <c r="E213" s="8" t="inlineStr"/>
      <c r="F213" s="8" t="inlineStr">
        <is>
          <t>RI1(b)</t>
        </is>
      </c>
      <c r="G213" s="8" t="inlineStr">
        <is>
          <t>Data source and limitations</t>
        </is>
      </c>
      <c r="H213" s="52">
        <f>IFERROR(IF(INDEX('Faculties'!$P$10:$P$19,MATCH($F213,'Faculties'!$B$10:$B$19,0))="","Cell will autofill based on response",INDEX('Faculties'!$P$10:$P$19,MATCH($F213,'Faculties'!$B$10:$B$19,0))),"N/A")</f>
        <v/>
      </c>
      <c r="I213" s="52">
        <f>IFERROR(IF(INDEX('Faculties'!$P$26:$P$35,MATCH($F213,'Faculties'!$B$26:$B$35,0))="","Cell will autofill based on response",INDEX('Faculties'!$P$26:$P$35,MATCH($F213,'Faculties'!$B$26:$B$35,0))),"N/A")</f>
        <v/>
      </c>
      <c r="J213" s="52">
        <f>IFERROR(IF(INDEX('Faculties'!$P$42:$P$51,MATCH($F213,'Faculties'!$B$42:$B$51,0))="","Cell will autofill based on response",INDEX('Faculties'!$P$42:$P$51,MATCH($F213,'Faculties'!$B$42:$B$51,0))),"N/A")</f>
        <v/>
      </c>
      <c r="K213" s="52">
        <f>IFERROR(IF(INDEX('Faculties'!$P$58:$P$67,MATCH($F213,'Faculties'!$B$58:$B$67,0))="","Cell will autofill based on response",INDEX('Faculties'!$P$58:$P$67,MATCH($F213,'Faculties'!$B$58:$B$67,0))),"N/A")</f>
        <v/>
      </c>
      <c r="L213" s="52">
        <f>IFERROR(IF(INDEX('CI&amp;S'!$P$10:$P$15,MATCH($F213,'CI&amp;S'!$B$10:$B$15,0))="","Cell will autofill based on response",INDEX('CI&amp;S'!$P$10:$P$15,MATCH($F213,'CI&amp;S'!$B$10:$B$15,0))),"N/A")</f>
        <v/>
      </c>
      <c r="M213" s="52">
        <f>IFERROR(IF(INDEX('CI&amp;S'!$P$22:$P$36,MATCH($F213,'CI&amp;S'!$B$22:$B$36,0))="","Cell will autofill based on response",INDEX('CI&amp;S'!$P$22:$P$36,MATCH($F213,'CI&amp;S'!$B$22:$B$36,0))),"N/A")</f>
        <v/>
      </c>
      <c r="N213" s="52">
        <f>IFERROR(IF(INDEX('CFOG'!$P$10:$P$16,MATCH($F213,'CFOG'!$B$10:$B$16,0))="","Cell will autofill based on response",INDEX('CFOG'!$P$10:$P$16,MATCH($F213,'CFOG'!$B$10:$B$16,0))),"N/A")</f>
        <v/>
      </c>
      <c r="O213" s="52">
        <f>IFERROR(IF(INDEX('CFOG'!$P$23:$P$24,MATCH($F213,'CFOG'!$B$23:$B$24,0))="","Cell will autofill based on response",INDEX('CFOG'!$P$23:$P$24,MATCH($F213,'CFOG'!$B$23:$B$24,0))),"N/A")</f>
        <v/>
      </c>
      <c r="P213" s="52">
        <f>IFERROR(IF(INDEX('ESG'!$P$10:$P$17,MATCH($F213,'ESG'!$B$10:$B$17,0))="","Cell will autofill based on response",INDEX('ESG'!$P$10:$P$17,MATCH($F213,'ESG'!$B$10:$B$17,0))),"N/A")</f>
        <v/>
      </c>
      <c r="Q213" s="52">
        <f>IFERROR(IF(INDEX('CIOG'!$P$10:$P$14,MATCH($F213,'CIOG'!$B$10:$B$14,0))="","Cell will autofill based on response",INDEX('CIOG'!$P$10:$P$14,MATCH($F213,'CIOG'!$B$10:$B$14,0))),"N/A")</f>
        <v/>
      </c>
      <c r="R213" s="52">
        <f>IFERROR(IF(INDEX('MRE'!$P$10:$P$18,MATCH($F213,'MRE'!$B$10:$B$18,0))="","Cell will autofill based on response",INDEX('MRE'!$P$10:$P$18,MATCH($F213,'MRE'!$B$10:$B$18,0))),"N/A")</f>
        <v/>
      </c>
      <c r="S213" s="52">
        <f>IFERROR(IF(INDEX('AC&amp;M'!$P$10:$P$14,MATCH($F213,'AC&amp;M'!$B$10:$B$14,0))="","Cell will autofill based on response",INDEX('AC&amp;M'!$P$10:$P$14,MATCH($F213,'AC&amp;M'!$B$10:$B$14,0))),"N/A")</f>
        <v/>
      </c>
      <c r="T213" s="52">
        <f>IFERROR(IF(INDEX('GCE'!$P$10:$P$12,MATCH($F213,'GCE'!$B$10:$B$12,0))="","Cell will autofill based on response",INDEX('GCE'!$P$10:$P$12,MATCH($F213,'GCE'!$B$10:$B$12,0))),"N/A")</f>
        <v/>
      </c>
      <c r="U213" s="52">
        <f>IFERROR(IF(INDEX('Education'!$P$10:$P$13,MATCH($F213,'Education'!$B$10:$B$13,0))="","Cell will autofill based on response",INDEX('Education'!$P$10:$P$13,MATCH($F213,'Education'!$B$10:$B$13,0))),"N/A")</f>
        <v/>
      </c>
      <c r="V213" s="52">
        <f>IFERROR(IF(INDEX('SaSS'!$P$10:$P$12,MATCH($F213,'SaSS'!$B$10:$B$12,0))="","Cell will autofill based on response",INDEX('SaSS'!$P$10:$P$12,MATCH($F213,'SaSS'!$B$10:$B$12,0))),"N/A")</f>
        <v/>
      </c>
      <c r="W213" s="52">
        <f>IFERROR(IF(INDEX('Indigenous'!$P$10:$P$11,MATCH($F213,'Indigenous'!$B$10:$B$11,0))="","Cell will autofill based on response",INDEX('Indigenous'!$P$10:$P$11,MATCH($F213,'Indigenous'!$B$10:$B$11,0))),"N/A")</f>
        <v/>
      </c>
      <c r="X213" s="52">
        <f>IFERROR(IF(INDEX('L&amp;R'!$P$10:$P$11,MATCH($F213,'L&amp;R'!$B$10:$B$11,0))="","Cell will autofill based on response",INDEX('L&amp;R'!$P$10:$P$11,MATCH($F213,'L&amp;R'!$B$10:$B$11,0))),"N/A")</f>
        <v/>
      </c>
    </row>
    <row r="214">
      <c r="A214">
        <f>F214&amp;"|"&amp;G214</f>
        <v/>
      </c>
      <c r="B214" s="13" t="inlineStr"/>
      <c r="C214" s="8" t="inlineStr"/>
      <c r="D214" s="8" t="inlineStr"/>
      <c r="E214" s="8" t="inlineStr"/>
      <c r="F214" s="8" t="inlineStr">
        <is>
          <t>RI1(b)</t>
        </is>
      </c>
      <c r="G214" s="8" t="inlineStr">
        <is>
          <t>Data owner confirms</t>
        </is>
      </c>
      <c r="H214" s="52">
        <f>IFERROR(IF(INDEX('Faculties'!$Q$10:$Q$19,MATCH($F214,'Faculties'!$B$10:$B$19,0))="","Cell will autofill based on response",INDEX('Faculties'!$Q$10:$Q$19,MATCH($F214,'Faculties'!$B$10:$B$19,0))),"N/A")</f>
        <v/>
      </c>
      <c r="I214" s="52">
        <f>IFERROR(IF(INDEX('Faculties'!$Q$26:$Q$35,MATCH($F214,'Faculties'!$B$26:$B$35,0))="","Cell will autofill based on response",INDEX('Faculties'!$Q$26:$Q$35,MATCH($F214,'Faculties'!$B$26:$B$35,0))),"N/A")</f>
        <v/>
      </c>
      <c r="J214" s="52">
        <f>IFERROR(IF(INDEX('Faculties'!$Q$42:$Q$51,MATCH($F214,'Faculties'!$B$42:$B$51,0))="","Cell will autofill based on response",INDEX('Faculties'!$Q$42:$Q$51,MATCH($F214,'Faculties'!$B$42:$B$51,0))),"N/A")</f>
        <v/>
      </c>
      <c r="K214" s="52">
        <f>IFERROR(IF(INDEX('Faculties'!$Q$58:$Q$67,MATCH($F214,'Faculties'!$B$58:$B$67,0))="","Cell will autofill based on response",INDEX('Faculties'!$Q$58:$Q$67,MATCH($F214,'Faculties'!$B$58:$B$67,0))),"N/A")</f>
        <v/>
      </c>
      <c r="L214" s="52">
        <f>IFERROR(IF(INDEX('CI&amp;S'!$Q$10:$Q$15,MATCH($F214,'CI&amp;S'!$B$10:$B$15,0))="","Cell will autofill based on response",INDEX('CI&amp;S'!$Q$10:$Q$15,MATCH($F214,'CI&amp;S'!$B$10:$B$15,0))),"N/A")</f>
        <v/>
      </c>
      <c r="M214" s="52">
        <f>IFERROR(IF(INDEX('CI&amp;S'!$Q$22:$Q$36,MATCH($F214,'CI&amp;S'!$B$22:$B$36,0))="","Cell will autofill based on response",INDEX('CI&amp;S'!$Q$22:$Q$36,MATCH($F214,'CI&amp;S'!$B$22:$B$36,0))),"N/A")</f>
        <v/>
      </c>
      <c r="N214" s="52">
        <f>IFERROR(IF(INDEX('CFOG'!$Q$10:$Q$16,MATCH($F214,'CFOG'!$B$10:$B$16,0))="","Cell will autofill based on response",INDEX('CFOG'!$Q$10:$Q$16,MATCH($F214,'CFOG'!$B$10:$B$16,0))),"N/A")</f>
        <v/>
      </c>
      <c r="O214" s="52">
        <f>IFERROR(IF(INDEX('CFOG'!$Q$23:$Q$24,MATCH($F214,'CFOG'!$B$23:$B$24,0))="","Cell will autofill based on response",INDEX('CFOG'!$Q$23:$Q$24,MATCH($F214,'CFOG'!$B$23:$B$24,0))),"N/A")</f>
        <v/>
      </c>
      <c r="P214" s="52">
        <f>IFERROR(IF(INDEX('ESG'!$Q$10:$Q$17,MATCH($F214,'ESG'!$B$10:$B$17,0))="","Cell will autofill based on response",INDEX('ESG'!$Q$10:$Q$17,MATCH($F214,'ESG'!$B$10:$B$17,0))),"N/A")</f>
        <v/>
      </c>
      <c r="Q214" s="52">
        <f>IFERROR(IF(INDEX('CIOG'!$Q$10:$Q$14,MATCH($F214,'CIOG'!$B$10:$B$14,0))="","Cell will autofill based on response",INDEX('CIOG'!$Q$10:$Q$14,MATCH($F214,'CIOG'!$B$10:$B$14,0))),"N/A")</f>
        <v/>
      </c>
      <c r="R214" s="52">
        <f>IFERROR(IF(INDEX('MRE'!$Q$10:$Q$18,MATCH($F214,'MRE'!$B$10:$B$18,0))="","Cell will autofill based on response",INDEX('MRE'!$Q$10:$Q$18,MATCH($F214,'MRE'!$B$10:$B$18,0))),"N/A")</f>
        <v/>
      </c>
      <c r="S214" s="52">
        <f>IFERROR(IF(INDEX('AC&amp;M'!$Q$10:$Q$14,MATCH($F214,'AC&amp;M'!$B$10:$B$14,0))="","Cell will autofill based on response",INDEX('AC&amp;M'!$Q$10:$Q$14,MATCH($F214,'AC&amp;M'!$B$10:$B$14,0))),"N/A")</f>
        <v/>
      </c>
      <c r="T214" s="52">
        <f>IFERROR(IF(INDEX('GCE'!$Q$10:$Q$12,MATCH($F214,'GCE'!$B$10:$B$12,0))="","Cell will autofill based on response",INDEX('GCE'!$Q$10:$Q$12,MATCH($F214,'GCE'!$B$10:$B$12,0))),"N/A")</f>
        <v/>
      </c>
      <c r="U214" s="52">
        <f>IFERROR(IF(INDEX('Education'!$Q$10:$Q$13,MATCH($F214,'Education'!$B$10:$B$13,0))="","Cell will autofill based on response",INDEX('Education'!$Q$10:$Q$13,MATCH($F214,'Education'!$B$10:$B$13,0))),"N/A")</f>
        <v/>
      </c>
      <c r="V214" s="52">
        <f>IFERROR(IF(INDEX('SaSS'!$Q$10:$Q$12,MATCH($F214,'SaSS'!$B$10:$B$12,0))="","Cell will autofill based on response",INDEX('SaSS'!$Q$10:$Q$12,MATCH($F214,'SaSS'!$B$10:$B$12,0))),"N/A")</f>
        <v/>
      </c>
      <c r="W214" s="52">
        <f>IFERROR(IF(INDEX('Indigenous'!$Q$10:$Q$11,MATCH($F214,'Indigenous'!$B$10:$B$11,0))="","Cell will autofill based on response",INDEX('Indigenous'!$Q$10:$Q$11,MATCH($F214,'Indigenous'!$B$10:$B$11,0))),"N/A")</f>
        <v/>
      </c>
      <c r="X214" s="52">
        <f>IFERROR(IF(INDEX('L&amp;R'!$Q$10:$Q$11,MATCH($F214,'L&amp;R'!$B$10:$B$11,0))="","Cell will autofill based on response",INDEX('L&amp;R'!$Q$10:$Q$11,MATCH($F214,'L&amp;R'!$B$10:$B$11,0))),"N/A")</f>
        <v/>
      </c>
    </row>
    <row r="215">
      <c r="A215">
        <f>F215&amp;"|"&amp;G215</f>
        <v/>
      </c>
      <c r="B215" s="7" t="inlineStr">
        <is>
          <t>EN1(a)</t>
        </is>
      </c>
      <c r="C215" s="50" t="inlineStr">
        <is>
          <t>Enablers</t>
        </is>
      </c>
      <c r="D215" s="50" t="inlineStr">
        <is>
          <t>Evidence of sustainability outcomes informed by Indigenous knowledges</t>
        </is>
      </c>
      <c r="E215" s="50"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215" s="50" t="inlineStr">
        <is>
          <t>EN1(a)</t>
        </is>
      </c>
      <c r="G215" s="50" t="inlineStr">
        <is>
          <t>Confirm end-2026 target status</t>
        </is>
      </c>
      <c r="H215" s="52">
        <f>IFERROR(IF(INDEX('Faculties'!$L$10:$L$19,MATCH($F215,'Faculties'!$B$10:$B$19,0))="","Cell will autofill based on response",INDEX('Faculties'!$L$10:$L$19,MATCH($F215,'Faculties'!$B$10:$B$19,0))),"N/A")</f>
        <v/>
      </c>
      <c r="I215" s="52">
        <f>IFERROR(IF(INDEX('Faculties'!$L$26:$L$35,MATCH($F215,'Faculties'!$B$26:$B$35,0))="","Cell will autofill based on response",INDEX('Faculties'!$L$26:$L$35,MATCH($F215,'Faculties'!$B$26:$B$35,0))),"N/A")</f>
        <v/>
      </c>
      <c r="J215" s="52">
        <f>IFERROR(IF(INDEX('Faculties'!$L$42:$L$51,MATCH($F215,'Faculties'!$B$42:$B$51,0))="","Cell will autofill based on response",INDEX('Faculties'!$L$42:$L$51,MATCH($F215,'Faculties'!$B$42:$B$51,0))),"N/A")</f>
        <v/>
      </c>
      <c r="K215" s="52">
        <f>IFERROR(IF(INDEX('Faculties'!$L$58:$L$67,MATCH($F215,'Faculties'!$B$58:$B$67,0))="","Cell will autofill based on response",INDEX('Faculties'!$L$58:$L$67,MATCH($F215,'Faculties'!$B$58:$B$67,0))),"N/A")</f>
        <v/>
      </c>
      <c r="L215" s="52">
        <f>IFERROR(IF(INDEX('CI&amp;S'!$L$10:$L$15,MATCH($F215,'CI&amp;S'!$B$10:$B$15,0))="","Cell will autofill based on response",INDEX('CI&amp;S'!$L$10:$L$15,MATCH($F215,'CI&amp;S'!$B$10:$B$15,0))),"N/A")</f>
        <v/>
      </c>
      <c r="M215" s="52">
        <f>IFERROR(IF(INDEX('CI&amp;S'!$L$22:$L$36,MATCH($F215,'CI&amp;S'!$B$22:$B$36,0))="","Cell will autofill based on response",INDEX('CI&amp;S'!$L$22:$L$36,MATCH($F215,'CI&amp;S'!$B$22:$B$36,0))),"N/A")</f>
        <v/>
      </c>
      <c r="N215" s="52">
        <f>IFERROR(IF(INDEX('CFOG'!$L$10:$L$16,MATCH($F215,'CFOG'!$B$10:$B$16,0))="","Cell will autofill based on response",INDEX('CFOG'!$L$10:$L$16,MATCH($F215,'CFOG'!$B$10:$B$16,0))),"N/A")</f>
        <v/>
      </c>
      <c r="O215" s="52">
        <f>IFERROR(IF(INDEX('CFOG'!$L$23:$L$24,MATCH($F215,'CFOG'!$B$23:$B$24,0))="","Cell will autofill based on response",INDEX('CFOG'!$L$23:$L$24,MATCH($F215,'CFOG'!$B$23:$B$24,0))),"N/A")</f>
        <v/>
      </c>
      <c r="P215" s="52">
        <f>IFERROR(IF(INDEX('ESG'!$L$10:$L$17,MATCH($F215,'ESG'!$B$10:$B$17,0))="","Cell will autofill based on response",INDEX('ESG'!$L$10:$L$17,MATCH($F215,'ESG'!$B$10:$B$17,0))),"N/A")</f>
        <v/>
      </c>
      <c r="Q215" s="52">
        <f>IFERROR(IF(INDEX('CIOG'!$L$10:$L$14,MATCH($F215,'CIOG'!$B$10:$B$14,0))="","Cell will autofill based on response",INDEX('CIOG'!$L$10:$L$14,MATCH($F215,'CIOG'!$B$10:$B$14,0))),"N/A")</f>
        <v/>
      </c>
      <c r="R215" s="52">
        <f>IFERROR(IF(INDEX('MRE'!$L$10:$L$18,MATCH($F215,'MRE'!$B$10:$B$18,0))="","Cell will autofill based on response",INDEX('MRE'!$L$10:$L$18,MATCH($F215,'MRE'!$B$10:$B$18,0))),"N/A")</f>
        <v/>
      </c>
      <c r="S215" s="52">
        <f>IFERROR(IF(INDEX('AC&amp;M'!$L$10:$L$14,MATCH($F215,'AC&amp;M'!$B$10:$B$14,0))="","Cell will autofill based on response",INDEX('AC&amp;M'!$L$10:$L$14,MATCH($F215,'AC&amp;M'!$B$10:$B$14,0))),"N/A")</f>
        <v/>
      </c>
      <c r="T215" s="52">
        <f>IFERROR(IF(INDEX('GCE'!$L$10:$L$12,MATCH($F215,'GCE'!$B$10:$B$12,0))="","Cell will autofill based on response",INDEX('GCE'!$L$10:$L$12,MATCH($F215,'GCE'!$B$10:$B$12,0))),"N/A")</f>
        <v/>
      </c>
      <c r="U215" s="52">
        <f>IFERROR(IF(INDEX('Education'!$L$10:$L$13,MATCH($F215,'Education'!$B$10:$B$13,0))="","Cell will autofill based on response",INDEX('Education'!$L$10:$L$13,MATCH($F215,'Education'!$B$10:$B$13,0))),"N/A")</f>
        <v/>
      </c>
      <c r="V215" s="52">
        <f>IFERROR(IF(INDEX('SaSS'!$L$10:$L$12,MATCH($F215,'SaSS'!$B$10:$B$12,0))="","Cell will autofill based on response",INDEX('SaSS'!$L$10:$L$12,MATCH($F215,'SaSS'!$B$10:$B$12,0))),"N/A")</f>
        <v/>
      </c>
      <c r="W215" s="52">
        <f>IFERROR(IF(INDEX('Indigenous'!$L$10:$L$11,MATCH($F215,'Indigenous'!$B$10:$B$11,0))="","Cell will autofill based on response",INDEX('Indigenous'!$L$10:$L$11,MATCH($F215,'Indigenous'!$B$10:$B$11,0))),"N/A")</f>
        <v/>
      </c>
      <c r="X215" s="52">
        <f>IFERROR(IF(INDEX('L&amp;R'!$L$10:$L$11,MATCH($F215,'L&amp;R'!$B$10:$B$11,0))="","Cell will autofill based on response",INDEX('L&amp;R'!$L$10:$L$11,MATCH($F215,'L&amp;R'!$B$10:$B$11,0))),"N/A")</f>
        <v/>
      </c>
      <c r="Z215" s="10">
        <f>COUNTIF($H215:$X215,"Cell will autofill based on response")</f>
        <v/>
      </c>
      <c r="AA215" s="10">
        <f>COUNTIF($H215:$X215,"Not yet started")</f>
        <v/>
      </c>
      <c r="AB215" s="10">
        <f>COUNTIF($H215:$X215,"Not met")</f>
        <v/>
      </c>
      <c r="AC215" s="10">
        <f>COUNTIF($H215:$X215,"Partially met")</f>
        <v/>
      </c>
      <c r="AD215" s="10">
        <f>COUNTIF($H215:$X215,"Met or exceeded")</f>
        <v/>
      </c>
      <c r="AE215" s="10">
        <f>3*AD215+2*AC215+AB215</f>
        <v/>
      </c>
      <c r="AF215" s="10">
        <f>AD215+AC215+AB215+AA215</f>
        <v/>
      </c>
      <c r="AG215" s="53">
        <f>IF(AF215&gt;0,AE215/AF215,"No valid responses to date")</f>
        <v/>
      </c>
      <c r="AH215" s="10">
        <f>IF(ISNUMBER(AG215),INDEX(Lists!$G$2:$G$5,MATCH(ROUND(AG215,0),Lists!$H$2:$H$5,0)),"")</f>
        <v/>
      </c>
      <c r="AI215" s="54">
        <f>IF(AF215&gt;0,AD215/AF215,"")</f>
        <v/>
      </c>
      <c r="AJ215" s="54">
        <f>IF(AF215&gt;0,(AD215+AC215)/AF215,"")</f>
        <v/>
      </c>
      <c r="AK215" s="10">
        <f>IF(AF215=0,"",IF(AI215&gt;0.75,"Met or exceeded",IF(AJ215&gt;=0.5,"Partially met","Not met")))</f>
        <v/>
      </c>
    </row>
    <row r="216">
      <c r="A216">
        <f>F216&amp;"|"&amp;G216</f>
        <v/>
      </c>
      <c r="B216" s="13" t="inlineStr"/>
      <c r="C216" s="8" t="inlineStr"/>
      <c r="D216" s="8" t="inlineStr"/>
      <c r="E216" s="8" t="inlineStr"/>
      <c r="F216" s="8" t="inlineStr">
        <is>
          <t>EN1(a)</t>
        </is>
      </c>
      <c r="G216" s="8" t="inlineStr">
        <is>
          <t>OPTION 1:  Target-level reporting</t>
        </is>
      </c>
      <c r="H216" s="52">
        <f>IFERROR(IF(INDEX('Faculties'!$M$10:$M$19,MATCH($F216,'Faculties'!$B$10:$B$19,0))="","Cell will autofill based on response",INDEX('Faculties'!$M$10:$M$19,MATCH($F216,'Faculties'!$B$10:$B$19,0))),"N/A")</f>
        <v/>
      </c>
      <c r="I216" s="52">
        <f>IFERROR(IF(INDEX('Faculties'!$M$26:$M$35,MATCH($F216,'Faculties'!$B$26:$B$35,0))="","Cell will autofill based on response",INDEX('Faculties'!$M$26:$M$35,MATCH($F216,'Faculties'!$B$26:$B$35,0))),"N/A")</f>
        <v/>
      </c>
      <c r="J216" s="52">
        <f>IFERROR(IF(INDEX('Faculties'!$M$42:$M$51,MATCH($F216,'Faculties'!$B$42:$B$51,0))="","Cell will autofill based on response",INDEX('Faculties'!$M$42:$M$51,MATCH($F216,'Faculties'!$B$42:$B$51,0))),"N/A")</f>
        <v/>
      </c>
      <c r="K216" s="52">
        <f>IFERROR(IF(INDEX('Faculties'!$M$58:$M$67,MATCH($F216,'Faculties'!$B$58:$B$67,0))="","Cell will autofill based on response",INDEX('Faculties'!$M$58:$M$67,MATCH($F216,'Faculties'!$B$58:$B$67,0))),"N/A")</f>
        <v/>
      </c>
      <c r="L216" s="52">
        <f>IFERROR(IF(INDEX('CI&amp;S'!$M$10:$M$15,MATCH($F216,'CI&amp;S'!$B$10:$B$15,0))="","Cell will autofill based on response",INDEX('CI&amp;S'!$M$10:$M$15,MATCH($F216,'CI&amp;S'!$B$10:$B$15,0))),"N/A")</f>
        <v/>
      </c>
      <c r="M216" s="52">
        <f>IFERROR(IF(INDEX('CI&amp;S'!$M$22:$M$36,MATCH($F216,'CI&amp;S'!$B$22:$B$36,0))="","Cell will autofill based on response",INDEX('CI&amp;S'!$M$22:$M$36,MATCH($F216,'CI&amp;S'!$B$22:$B$36,0))),"N/A")</f>
        <v/>
      </c>
      <c r="N216" s="52">
        <f>IFERROR(IF(INDEX('CFOG'!$M$10:$M$16,MATCH($F216,'CFOG'!$B$10:$B$16,0))="","Cell will autofill based on response",INDEX('CFOG'!$M$10:$M$16,MATCH($F216,'CFOG'!$B$10:$B$16,0))),"N/A")</f>
        <v/>
      </c>
      <c r="O216" s="52">
        <f>IFERROR(IF(INDEX('CFOG'!$M$23:$M$24,MATCH($F216,'CFOG'!$B$23:$B$24,0))="","Cell will autofill based on response",INDEX('CFOG'!$M$23:$M$24,MATCH($F216,'CFOG'!$B$23:$B$24,0))),"N/A")</f>
        <v/>
      </c>
      <c r="P216" s="52">
        <f>IFERROR(IF(INDEX('ESG'!$M$10:$M$17,MATCH($F216,'ESG'!$B$10:$B$17,0))="","Cell will autofill based on response",INDEX('ESG'!$M$10:$M$17,MATCH($F216,'ESG'!$B$10:$B$17,0))),"N/A")</f>
        <v/>
      </c>
      <c r="Q216" s="52">
        <f>IFERROR(IF(INDEX('CIOG'!$M$10:$M$14,MATCH($F216,'CIOG'!$B$10:$B$14,0))="","Cell will autofill based on response",INDEX('CIOG'!$M$10:$M$14,MATCH($F216,'CIOG'!$B$10:$B$14,0))),"N/A")</f>
        <v/>
      </c>
      <c r="R216" s="52">
        <f>IFERROR(IF(INDEX('MRE'!$M$10:$M$18,MATCH($F216,'MRE'!$B$10:$B$18,0))="","Cell will autofill based on response",INDEX('MRE'!$M$10:$M$18,MATCH($F216,'MRE'!$B$10:$B$18,0))),"N/A")</f>
        <v/>
      </c>
      <c r="S216" s="52">
        <f>IFERROR(IF(INDEX('AC&amp;M'!$M$10:$M$14,MATCH($F216,'AC&amp;M'!$B$10:$B$14,0))="","Cell will autofill based on response",INDEX('AC&amp;M'!$M$10:$M$14,MATCH($F216,'AC&amp;M'!$B$10:$B$14,0))),"N/A")</f>
        <v/>
      </c>
      <c r="T216" s="52">
        <f>IFERROR(IF(INDEX('GCE'!$M$10:$M$12,MATCH($F216,'GCE'!$B$10:$B$12,0))="","Cell will autofill based on response",INDEX('GCE'!$M$10:$M$12,MATCH($F216,'GCE'!$B$10:$B$12,0))),"N/A")</f>
        <v/>
      </c>
      <c r="U216" s="52">
        <f>IFERROR(IF(INDEX('Education'!$M$10:$M$13,MATCH($F216,'Education'!$B$10:$B$13,0))="","Cell will autofill based on response",INDEX('Education'!$M$10:$M$13,MATCH($F216,'Education'!$B$10:$B$13,0))),"N/A")</f>
        <v/>
      </c>
      <c r="V216" s="52">
        <f>IFERROR(IF(INDEX('SaSS'!$M$10:$M$12,MATCH($F216,'SaSS'!$B$10:$B$12,0))="","Cell will autofill based on response",INDEX('SaSS'!$M$10:$M$12,MATCH($F216,'SaSS'!$B$10:$B$12,0))),"N/A")</f>
        <v/>
      </c>
      <c r="W216" s="52">
        <f>IFERROR(IF(INDEX('Indigenous'!$M$10:$M$11,MATCH($F216,'Indigenous'!$B$10:$B$11,0))="","Cell will autofill based on response",INDEX('Indigenous'!$M$10:$M$11,MATCH($F216,'Indigenous'!$B$10:$B$11,0))),"N/A")</f>
        <v/>
      </c>
      <c r="X216" s="52">
        <f>IFERROR(IF(INDEX('L&amp;R'!$M$10:$M$11,MATCH($F216,'L&amp;R'!$B$10:$B$11,0))="","Cell will autofill based on response",INDEX('L&amp;R'!$M$10:$M$11,MATCH($F216,'L&amp;R'!$B$10:$B$11,0))),"N/A")</f>
        <v/>
      </c>
    </row>
    <row r="217">
      <c r="A217">
        <f>F217&amp;"|"&amp;G217</f>
        <v/>
      </c>
      <c r="B217" s="13" t="inlineStr"/>
      <c r="C217" s="8" t="inlineStr"/>
      <c r="D217" s="8" t="inlineStr"/>
      <c r="E217" s="8" t="inlineStr"/>
      <c r="F217" s="8" t="inlineStr">
        <is>
          <t>EN1(a)</t>
        </is>
      </c>
      <c r="G217" s="8" t="inlineStr">
        <is>
          <t>OPTION 2:  Indicator level reporting</t>
        </is>
      </c>
      <c r="H217" s="52">
        <f>IFERROR(IF(INDEX('Faculties'!$N$10:$N$19,MATCH($F217,'Faculties'!$B$10:$B$19,0))="","Cell will autofill based on response",INDEX('Faculties'!$N$10:$N$19,MATCH($F217,'Faculties'!$B$10:$B$19,0))),"N/A")</f>
        <v/>
      </c>
      <c r="I217" s="52">
        <f>IFERROR(IF(INDEX('Faculties'!$N$26:$N$35,MATCH($F217,'Faculties'!$B$26:$B$35,0))="","Cell will autofill based on response",INDEX('Faculties'!$N$26:$N$35,MATCH($F217,'Faculties'!$B$26:$B$35,0))),"N/A")</f>
        <v/>
      </c>
      <c r="J217" s="52">
        <f>IFERROR(IF(INDEX('Faculties'!$N$42:$N$51,MATCH($F217,'Faculties'!$B$42:$B$51,0))="","Cell will autofill based on response",INDEX('Faculties'!$N$42:$N$51,MATCH($F217,'Faculties'!$B$42:$B$51,0))),"N/A")</f>
        <v/>
      </c>
      <c r="K217" s="52">
        <f>IFERROR(IF(INDEX('Faculties'!$N$58:$N$67,MATCH($F217,'Faculties'!$B$58:$B$67,0))="","Cell will autofill based on response",INDEX('Faculties'!$N$58:$N$67,MATCH($F217,'Faculties'!$B$58:$B$67,0))),"N/A")</f>
        <v/>
      </c>
      <c r="L217" s="52">
        <f>IFERROR(IF(INDEX('CI&amp;S'!$N$10:$N$15,MATCH($F217,'CI&amp;S'!$B$10:$B$15,0))="","Cell will autofill based on response",INDEX('CI&amp;S'!$N$10:$N$15,MATCH($F217,'CI&amp;S'!$B$10:$B$15,0))),"N/A")</f>
        <v/>
      </c>
      <c r="M217" s="52">
        <f>IFERROR(IF(INDEX('CI&amp;S'!$N$22:$N$36,MATCH($F217,'CI&amp;S'!$B$22:$B$36,0))="","Cell will autofill based on response",INDEX('CI&amp;S'!$N$22:$N$36,MATCH($F217,'CI&amp;S'!$B$22:$B$36,0))),"N/A")</f>
        <v/>
      </c>
      <c r="N217" s="52">
        <f>IFERROR(IF(INDEX('CFOG'!$N$10:$N$16,MATCH($F217,'CFOG'!$B$10:$B$16,0))="","Cell will autofill based on response",INDEX('CFOG'!$N$10:$N$16,MATCH($F217,'CFOG'!$B$10:$B$16,0))),"N/A")</f>
        <v/>
      </c>
      <c r="O217" s="52">
        <f>IFERROR(IF(INDEX('CFOG'!$N$23:$N$24,MATCH($F217,'CFOG'!$B$23:$B$24,0))="","Cell will autofill based on response",INDEX('CFOG'!$N$23:$N$24,MATCH($F217,'CFOG'!$B$23:$B$24,0))),"N/A")</f>
        <v/>
      </c>
      <c r="P217" s="52">
        <f>IFERROR(IF(INDEX('ESG'!$N$10:$N$17,MATCH($F217,'ESG'!$B$10:$B$17,0))="","Cell will autofill based on response",INDEX('ESG'!$N$10:$N$17,MATCH($F217,'ESG'!$B$10:$B$17,0))),"N/A")</f>
        <v/>
      </c>
      <c r="Q217" s="52">
        <f>IFERROR(IF(INDEX('CIOG'!$N$10:$N$14,MATCH($F217,'CIOG'!$B$10:$B$14,0))="","Cell will autofill based on response",INDEX('CIOG'!$N$10:$N$14,MATCH($F217,'CIOG'!$B$10:$B$14,0))),"N/A")</f>
        <v/>
      </c>
      <c r="R217" s="52">
        <f>IFERROR(IF(INDEX('MRE'!$N$10:$N$18,MATCH($F217,'MRE'!$B$10:$B$18,0))="","Cell will autofill based on response",INDEX('MRE'!$N$10:$N$18,MATCH($F217,'MRE'!$B$10:$B$18,0))),"N/A")</f>
        <v/>
      </c>
      <c r="S217" s="52">
        <f>IFERROR(IF(INDEX('AC&amp;M'!$N$10:$N$14,MATCH($F217,'AC&amp;M'!$B$10:$B$14,0))="","Cell will autofill based on response",INDEX('AC&amp;M'!$N$10:$N$14,MATCH($F217,'AC&amp;M'!$B$10:$B$14,0))),"N/A")</f>
        <v/>
      </c>
      <c r="T217" s="52">
        <f>IFERROR(IF(INDEX('GCE'!$N$10:$N$12,MATCH($F217,'GCE'!$B$10:$B$12,0))="","Cell will autofill based on response",INDEX('GCE'!$N$10:$N$12,MATCH($F217,'GCE'!$B$10:$B$12,0))),"N/A")</f>
        <v/>
      </c>
      <c r="U217" s="52">
        <f>IFERROR(IF(INDEX('Education'!$N$10:$N$13,MATCH($F217,'Education'!$B$10:$B$13,0))="","Cell will autofill based on response",INDEX('Education'!$N$10:$N$13,MATCH($F217,'Education'!$B$10:$B$13,0))),"N/A")</f>
        <v/>
      </c>
      <c r="V217" s="52">
        <f>IFERROR(IF(INDEX('SaSS'!$N$10:$N$12,MATCH($F217,'SaSS'!$B$10:$B$12,0))="","Cell will autofill based on response",INDEX('SaSS'!$N$10:$N$12,MATCH($F217,'SaSS'!$B$10:$B$12,0))),"N/A")</f>
        <v/>
      </c>
      <c r="W217" s="52">
        <f>IFERROR(IF(INDEX('Indigenous'!$N$10:$N$11,MATCH($F217,'Indigenous'!$B$10:$B$11,0))="","Cell will autofill based on response",INDEX('Indigenous'!$N$10:$N$11,MATCH($F217,'Indigenous'!$B$10:$B$11,0))),"N/A")</f>
        <v/>
      </c>
      <c r="X217" s="52">
        <f>IFERROR(IF(INDEX('L&amp;R'!$N$10:$N$11,MATCH($F217,'L&amp;R'!$B$10:$B$11,0))="","Cell will autofill based on response",INDEX('L&amp;R'!$N$10:$N$11,MATCH($F217,'L&amp;R'!$B$10:$B$11,0))),"N/A")</f>
        <v/>
      </c>
    </row>
    <row r="218">
      <c r="A218">
        <f>F218&amp;"|"&amp;G218</f>
        <v/>
      </c>
      <c r="B218" s="13" t="inlineStr"/>
      <c r="C218" s="8" t="inlineStr"/>
      <c r="D218" s="8" t="inlineStr"/>
      <c r="E218" s="8" t="inlineStr"/>
      <c r="F218" s="8" t="inlineStr">
        <is>
          <t>EN1(a)</t>
        </is>
      </c>
      <c r="G218" s="8" t="inlineStr">
        <is>
          <t>Supporting information/comments</t>
        </is>
      </c>
      <c r="H218" s="52">
        <f>IFERROR(IF(INDEX('Faculties'!$O$10:$O$19,MATCH($F218,'Faculties'!$B$10:$B$19,0))="","Cell will autofill based on response",INDEX('Faculties'!$O$10:$O$19,MATCH($F218,'Faculties'!$B$10:$B$19,0))),"N/A")</f>
        <v/>
      </c>
      <c r="I218" s="52">
        <f>IFERROR(IF(INDEX('Faculties'!$O$26:$O$35,MATCH($F218,'Faculties'!$B$26:$B$35,0))="","Cell will autofill based on response",INDEX('Faculties'!$O$26:$O$35,MATCH($F218,'Faculties'!$B$26:$B$35,0))),"N/A")</f>
        <v/>
      </c>
      <c r="J218" s="52">
        <f>IFERROR(IF(INDEX('Faculties'!$O$42:$O$51,MATCH($F218,'Faculties'!$B$42:$B$51,0))="","Cell will autofill based on response",INDEX('Faculties'!$O$42:$O$51,MATCH($F218,'Faculties'!$B$42:$B$51,0))),"N/A")</f>
        <v/>
      </c>
      <c r="K218" s="52">
        <f>IFERROR(IF(INDEX('Faculties'!$O$58:$O$67,MATCH($F218,'Faculties'!$B$58:$B$67,0))="","Cell will autofill based on response",INDEX('Faculties'!$O$58:$O$67,MATCH($F218,'Faculties'!$B$58:$B$67,0))),"N/A")</f>
        <v/>
      </c>
      <c r="L218" s="52">
        <f>IFERROR(IF(INDEX('CI&amp;S'!$O$10:$O$15,MATCH($F218,'CI&amp;S'!$B$10:$B$15,0))="","Cell will autofill based on response",INDEX('CI&amp;S'!$O$10:$O$15,MATCH($F218,'CI&amp;S'!$B$10:$B$15,0))),"N/A")</f>
        <v/>
      </c>
      <c r="M218" s="52">
        <f>IFERROR(IF(INDEX('CI&amp;S'!$O$22:$O$36,MATCH($F218,'CI&amp;S'!$B$22:$B$36,0))="","Cell will autofill based on response",INDEX('CI&amp;S'!$O$22:$O$36,MATCH($F218,'CI&amp;S'!$B$22:$B$36,0))),"N/A")</f>
        <v/>
      </c>
      <c r="N218" s="52">
        <f>IFERROR(IF(INDEX('CFOG'!$O$10:$O$16,MATCH($F218,'CFOG'!$B$10:$B$16,0))="","Cell will autofill based on response",INDEX('CFOG'!$O$10:$O$16,MATCH($F218,'CFOG'!$B$10:$B$16,0))),"N/A")</f>
        <v/>
      </c>
      <c r="O218" s="52">
        <f>IFERROR(IF(INDEX('CFOG'!$O$23:$O$24,MATCH($F218,'CFOG'!$B$23:$B$24,0))="","Cell will autofill based on response",INDEX('CFOG'!$O$23:$O$24,MATCH($F218,'CFOG'!$B$23:$B$24,0))),"N/A")</f>
        <v/>
      </c>
      <c r="P218" s="52">
        <f>IFERROR(IF(INDEX('ESG'!$O$10:$O$17,MATCH($F218,'ESG'!$B$10:$B$17,0))="","Cell will autofill based on response",INDEX('ESG'!$O$10:$O$17,MATCH($F218,'ESG'!$B$10:$B$17,0))),"N/A")</f>
        <v/>
      </c>
      <c r="Q218" s="52">
        <f>IFERROR(IF(INDEX('CIOG'!$O$10:$O$14,MATCH($F218,'CIOG'!$B$10:$B$14,0))="","Cell will autofill based on response",INDEX('CIOG'!$O$10:$O$14,MATCH($F218,'CIOG'!$B$10:$B$14,0))),"N/A")</f>
        <v/>
      </c>
      <c r="R218" s="52">
        <f>IFERROR(IF(INDEX('MRE'!$O$10:$O$18,MATCH($F218,'MRE'!$B$10:$B$18,0))="","Cell will autofill based on response",INDEX('MRE'!$O$10:$O$18,MATCH($F218,'MRE'!$B$10:$B$18,0))),"N/A")</f>
        <v/>
      </c>
      <c r="S218" s="52">
        <f>IFERROR(IF(INDEX('AC&amp;M'!$O$10:$O$14,MATCH($F218,'AC&amp;M'!$B$10:$B$14,0))="","Cell will autofill based on response",INDEX('AC&amp;M'!$O$10:$O$14,MATCH($F218,'AC&amp;M'!$B$10:$B$14,0))),"N/A")</f>
        <v/>
      </c>
      <c r="T218" s="52">
        <f>IFERROR(IF(INDEX('GCE'!$O$10:$O$12,MATCH($F218,'GCE'!$B$10:$B$12,0))="","Cell will autofill based on response",INDEX('GCE'!$O$10:$O$12,MATCH($F218,'GCE'!$B$10:$B$12,0))),"N/A")</f>
        <v/>
      </c>
      <c r="U218" s="52">
        <f>IFERROR(IF(INDEX('Education'!$O$10:$O$13,MATCH($F218,'Education'!$B$10:$B$13,0))="","Cell will autofill based on response",INDEX('Education'!$O$10:$O$13,MATCH($F218,'Education'!$B$10:$B$13,0))),"N/A")</f>
        <v/>
      </c>
      <c r="V218" s="52">
        <f>IFERROR(IF(INDEX('SaSS'!$O$10:$O$12,MATCH($F218,'SaSS'!$B$10:$B$12,0))="","Cell will autofill based on response",INDEX('SaSS'!$O$10:$O$12,MATCH($F218,'SaSS'!$B$10:$B$12,0))),"N/A")</f>
        <v/>
      </c>
      <c r="W218" s="52">
        <f>IFERROR(IF(INDEX('Indigenous'!$O$10:$O$11,MATCH($F218,'Indigenous'!$B$10:$B$11,0))="","Cell will autofill based on response",INDEX('Indigenous'!$O$10:$O$11,MATCH($F218,'Indigenous'!$B$10:$B$11,0))),"N/A")</f>
        <v/>
      </c>
      <c r="X218" s="52">
        <f>IFERROR(IF(INDEX('L&amp;R'!$O$10:$O$11,MATCH($F218,'L&amp;R'!$B$10:$B$11,0))="","Cell will autofill based on response",INDEX('L&amp;R'!$O$10:$O$11,MATCH($F218,'L&amp;R'!$B$10:$B$11,0))),"N/A")</f>
        <v/>
      </c>
    </row>
    <row r="219">
      <c r="A219">
        <f>F219&amp;"|"&amp;G219</f>
        <v/>
      </c>
      <c r="B219" s="13" t="inlineStr"/>
      <c r="C219" s="8" t="inlineStr"/>
      <c r="D219" s="8" t="inlineStr"/>
      <c r="E219" s="8" t="inlineStr"/>
      <c r="F219" s="8" t="inlineStr">
        <is>
          <t>EN1(a)</t>
        </is>
      </c>
      <c r="G219" s="8" t="inlineStr">
        <is>
          <t>Data source and limitations</t>
        </is>
      </c>
      <c r="H219" s="52">
        <f>IFERROR(IF(INDEX('Faculties'!$P$10:$P$19,MATCH($F219,'Faculties'!$B$10:$B$19,0))="","Cell will autofill based on response",INDEX('Faculties'!$P$10:$P$19,MATCH($F219,'Faculties'!$B$10:$B$19,0))),"N/A")</f>
        <v/>
      </c>
      <c r="I219" s="52">
        <f>IFERROR(IF(INDEX('Faculties'!$P$26:$P$35,MATCH($F219,'Faculties'!$B$26:$B$35,0))="","Cell will autofill based on response",INDEX('Faculties'!$P$26:$P$35,MATCH($F219,'Faculties'!$B$26:$B$35,0))),"N/A")</f>
        <v/>
      </c>
      <c r="J219" s="52">
        <f>IFERROR(IF(INDEX('Faculties'!$P$42:$P$51,MATCH($F219,'Faculties'!$B$42:$B$51,0))="","Cell will autofill based on response",INDEX('Faculties'!$P$42:$P$51,MATCH($F219,'Faculties'!$B$42:$B$51,0))),"N/A")</f>
        <v/>
      </c>
      <c r="K219" s="52">
        <f>IFERROR(IF(INDEX('Faculties'!$P$58:$P$67,MATCH($F219,'Faculties'!$B$58:$B$67,0))="","Cell will autofill based on response",INDEX('Faculties'!$P$58:$P$67,MATCH($F219,'Faculties'!$B$58:$B$67,0))),"N/A")</f>
        <v/>
      </c>
      <c r="L219" s="52">
        <f>IFERROR(IF(INDEX('CI&amp;S'!$P$10:$P$15,MATCH($F219,'CI&amp;S'!$B$10:$B$15,0))="","Cell will autofill based on response",INDEX('CI&amp;S'!$P$10:$P$15,MATCH($F219,'CI&amp;S'!$B$10:$B$15,0))),"N/A")</f>
        <v/>
      </c>
      <c r="M219" s="52">
        <f>IFERROR(IF(INDEX('CI&amp;S'!$P$22:$P$36,MATCH($F219,'CI&amp;S'!$B$22:$B$36,0))="","Cell will autofill based on response",INDEX('CI&amp;S'!$P$22:$P$36,MATCH($F219,'CI&amp;S'!$B$22:$B$36,0))),"N/A")</f>
        <v/>
      </c>
      <c r="N219" s="52">
        <f>IFERROR(IF(INDEX('CFOG'!$P$10:$P$16,MATCH($F219,'CFOG'!$B$10:$B$16,0))="","Cell will autofill based on response",INDEX('CFOG'!$P$10:$P$16,MATCH($F219,'CFOG'!$B$10:$B$16,0))),"N/A")</f>
        <v/>
      </c>
      <c r="O219" s="52">
        <f>IFERROR(IF(INDEX('CFOG'!$P$23:$P$24,MATCH($F219,'CFOG'!$B$23:$B$24,0))="","Cell will autofill based on response",INDEX('CFOG'!$P$23:$P$24,MATCH($F219,'CFOG'!$B$23:$B$24,0))),"N/A")</f>
        <v/>
      </c>
      <c r="P219" s="52">
        <f>IFERROR(IF(INDEX('ESG'!$P$10:$P$17,MATCH($F219,'ESG'!$B$10:$B$17,0))="","Cell will autofill based on response",INDEX('ESG'!$P$10:$P$17,MATCH($F219,'ESG'!$B$10:$B$17,0))),"N/A")</f>
        <v/>
      </c>
      <c r="Q219" s="52">
        <f>IFERROR(IF(INDEX('CIOG'!$P$10:$P$14,MATCH($F219,'CIOG'!$B$10:$B$14,0))="","Cell will autofill based on response",INDEX('CIOG'!$P$10:$P$14,MATCH($F219,'CIOG'!$B$10:$B$14,0))),"N/A")</f>
        <v/>
      </c>
      <c r="R219" s="52">
        <f>IFERROR(IF(INDEX('MRE'!$P$10:$P$18,MATCH($F219,'MRE'!$B$10:$B$18,0))="","Cell will autofill based on response",INDEX('MRE'!$P$10:$P$18,MATCH($F219,'MRE'!$B$10:$B$18,0))),"N/A")</f>
        <v/>
      </c>
      <c r="S219" s="52">
        <f>IFERROR(IF(INDEX('AC&amp;M'!$P$10:$P$14,MATCH($F219,'AC&amp;M'!$B$10:$B$14,0))="","Cell will autofill based on response",INDEX('AC&amp;M'!$P$10:$P$14,MATCH($F219,'AC&amp;M'!$B$10:$B$14,0))),"N/A")</f>
        <v/>
      </c>
      <c r="T219" s="52">
        <f>IFERROR(IF(INDEX('GCE'!$P$10:$P$12,MATCH($F219,'GCE'!$B$10:$B$12,0))="","Cell will autofill based on response",INDEX('GCE'!$P$10:$P$12,MATCH($F219,'GCE'!$B$10:$B$12,0))),"N/A")</f>
        <v/>
      </c>
      <c r="U219" s="52">
        <f>IFERROR(IF(INDEX('Education'!$P$10:$P$13,MATCH($F219,'Education'!$B$10:$B$13,0))="","Cell will autofill based on response",INDEX('Education'!$P$10:$P$13,MATCH($F219,'Education'!$B$10:$B$13,0))),"N/A")</f>
        <v/>
      </c>
      <c r="V219" s="52">
        <f>IFERROR(IF(INDEX('SaSS'!$P$10:$P$12,MATCH($F219,'SaSS'!$B$10:$B$12,0))="","Cell will autofill based on response",INDEX('SaSS'!$P$10:$P$12,MATCH($F219,'SaSS'!$B$10:$B$12,0))),"N/A")</f>
        <v/>
      </c>
      <c r="W219" s="52">
        <f>IFERROR(IF(INDEX('Indigenous'!$P$10:$P$11,MATCH($F219,'Indigenous'!$B$10:$B$11,0))="","Cell will autofill based on response",INDEX('Indigenous'!$P$10:$P$11,MATCH($F219,'Indigenous'!$B$10:$B$11,0))),"N/A")</f>
        <v/>
      </c>
      <c r="X219" s="52">
        <f>IFERROR(IF(INDEX('L&amp;R'!$P$10:$P$11,MATCH($F219,'L&amp;R'!$B$10:$B$11,0))="","Cell will autofill based on response",INDEX('L&amp;R'!$P$10:$P$11,MATCH($F219,'L&amp;R'!$B$10:$B$11,0))),"N/A")</f>
        <v/>
      </c>
    </row>
    <row r="220">
      <c r="A220">
        <f>F220&amp;"|"&amp;G220</f>
        <v/>
      </c>
      <c r="B220" s="13" t="inlineStr"/>
      <c r="C220" s="8" t="inlineStr"/>
      <c r="D220" s="8" t="inlineStr"/>
      <c r="E220" s="8" t="inlineStr"/>
      <c r="F220" s="8" t="inlineStr">
        <is>
          <t>EN1(a)</t>
        </is>
      </c>
      <c r="G220" s="8" t="inlineStr">
        <is>
          <t>Data owner confirms</t>
        </is>
      </c>
      <c r="H220" s="52">
        <f>IFERROR(IF(INDEX('Faculties'!$Q$10:$Q$19,MATCH($F220,'Faculties'!$B$10:$B$19,0))="","Cell will autofill based on response",INDEX('Faculties'!$Q$10:$Q$19,MATCH($F220,'Faculties'!$B$10:$B$19,0))),"N/A")</f>
        <v/>
      </c>
      <c r="I220" s="52">
        <f>IFERROR(IF(INDEX('Faculties'!$Q$26:$Q$35,MATCH($F220,'Faculties'!$B$26:$B$35,0))="","Cell will autofill based on response",INDEX('Faculties'!$Q$26:$Q$35,MATCH($F220,'Faculties'!$B$26:$B$35,0))),"N/A")</f>
        <v/>
      </c>
      <c r="J220" s="52">
        <f>IFERROR(IF(INDEX('Faculties'!$Q$42:$Q$51,MATCH($F220,'Faculties'!$B$42:$B$51,0))="","Cell will autofill based on response",INDEX('Faculties'!$Q$42:$Q$51,MATCH($F220,'Faculties'!$B$42:$B$51,0))),"N/A")</f>
        <v/>
      </c>
      <c r="K220" s="52">
        <f>IFERROR(IF(INDEX('Faculties'!$Q$58:$Q$67,MATCH($F220,'Faculties'!$B$58:$B$67,0))="","Cell will autofill based on response",INDEX('Faculties'!$Q$58:$Q$67,MATCH($F220,'Faculties'!$B$58:$B$67,0))),"N/A")</f>
        <v/>
      </c>
      <c r="L220" s="52">
        <f>IFERROR(IF(INDEX('CI&amp;S'!$Q$10:$Q$15,MATCH($F220,'CI&amp;S'!$B$10:$B$15,0))="","Cell will autofill based on response",INDEX('CI&amp;S'!$Q$10:$Q$15,MATCH($F220,'CI&amp;S'!$B$10:$B$15,0))),"N/A")</f>
        <v/>
      </c>
      <c r="M220" s="52">
        <f>IFERROR(IF(INDEX('CI&amp;S'!$Q$22:$Q$36,MATCH($F220,'CI&amp;S'!$B$22:$B$36,0))="","Cell will autofill based on response",INDEX('CI&amp;S'!$Q$22:$Q$36,MATCH($F220,'CI&amp;S'!$B$22:$B$36,0))),"N/A")</f>
        <v/>
      </c>
      <c r="N220" s="52">
        <f>IFERROR(IF(INDEX('CFOG'!$Q$10:$Q$16,MATCH($F220,'CFOG'!$B$10:$B$16,0))="","Cell will autofill based on response",INDEX('CFOG'!$Q$10:$Q$16,MATCH($F220,'CFOG'!$B$10:$B$16,0))),"N/A")</f>
        <v/>
      </c>
      <c r="O220" s="52">
        <f>IFERROR(IF(INDEX('CFOG'!$Q$23:$Q$24,MATCH($F220,'CFOG'!$B$23:$B$24,0))="","Cell will autofill based on response",INDEX('CFOG'!$Q$23:$Q$24,MATCH($F220,'CFOG'!$B$23:$B$24,0))),"N/A")</f>
        <v/>
      </c>
      <c r="P220" s="52">
        <f>IFERROR(IF(INDEX('ESG'!$Q$10:$Q$17,MATCH($F220,'ESG'!$B$10:$B$17,0))="","Cell will autofill based on response",INDEX('ESG'!$Q$10:$Q$17,MATCH($F220,'ESG'!$B$10:$B$17,0))),"N/A")</f>
        <v/>
      </c>
      <c r="Q220" s="52">
        <f>IFERROR(IF(INDEX('CIOG'!$Q$10:$Q$14,MATCH($F220,'CIOG'!$B$10:$B$14,0))="","Cell will autofill based on response",INDEX('CIOG'!$Q$10:$Q$14,MATCH($F220,'CIOG'!$B$10:$B$14,0))),"N/A")</f>
        <v/>
      </c>
      <c r="R220" s="52">
        <f>IFERROR(IF(INDEX('MRE'!$Q$10:$Q$18,MATCH($F220,'MRE'!$B$10:$B$18,0))="","Cell will autofill based on response",INDEX('MRE'!$Q$10:$Q$18,MATCH($F220,'MRE'!$B$10:$B$18,0))),"N/A")</f>
        <v/>
      </c>
      <c r="S220" s="52">
        <f>IFERROR(IF(INDEX('AC&amp;M'!$Q$10:$Q$14,MATCH($F220,'AC&amp;M'!$B$10:$B$14,0))="","Cell will autofill based on response",INDEX('AC&amp;M'!$Q$10:$Q$14,MATCH($F220,'AC&amp;M'!$B$10:$B$14,0))),"N/A")</f>
        <v/>
      </c>
      <c r="T220" s="52">
        <f>IFERROR(IF(INDEX('GCE'!$Q$10:$Q$12,MATCH($F220,'GCE'!$B$10:$B$12,0))="","Cell will autofill based on response",INDEX('GCE'!$Q$10:$Q$12,MATCH($F220,'GCE'!$B$10:$B$12,0))),"N/A")</f>
        <v/>
      </c>
      <c r="U220" s="52">
        <f>IFERROR(IF(INDEX('Education'!$Q$10:$Q$13,MATCH($F220,'Education'!$B$10:$B$13,0))="","Cell will autofill based on response",INDEX('Education'!$Q$10:$Q$13,MATCH($F220,'Education'!$B$10:$B$13,0))),"N/A")</f>
        <v/>
      </c>
      <c r="V220" s="52">
        <f>IFERROR(IF(INDEX('SaSS'!$Q$10:$Q$12,MATCH($F220,'SaSS'!$B$10:$B$12,0))="","Cell will autofill based on response",INDEX('SaSS'!$Q$10:$Q$12,MATCH($F220,'SaSS'!$B$10:$B$12,0))),"N/A")</f>
        <v/>
      </c>
      <c r="W220" s="52">
        <f>IFERROR(IF(INDEX('Indigenous'!$Q$10:$Q$11,MATCH($F220,'Indigenous'!$B$10:$B$11,0))="","Cell will autofill based on response",INDEX('Indigenous'!$Q$10:$Q$11,MATCH($F220,'Indigenous'!$B$10:$B$11,0))),"N/A")</f>
        <v/>
      </c>
      <c r="X220" s="52">
        <f>IFERROR(IF(INDEX('L&amp;R'!$Q$10:$Q$11,MATCH($F220,'L&amp;R'!$B$10:$B$11,0))="","Cell will autofill based on response",INDEX('L&amp;R'!$Q$10:$Q$11,MATCH($F220,'L&amp;R'!$B$10:$B$11,0))),"N/A")</f>
        <v/>
      </c>
    </row>
    <row r="221">
      <c r="A221">
        <f>F221&amp;"|"&amp;G221</f>
        <v/>
      </c>
      <c r="B221" s="7" t="inlineStr">
        <is>
          <t>EN1(b)</t>
        </is>
      </c>
      <c r="C221" s="50" t="inlineStr">
        <is>
          <t>Enablers</t>
        </is>
      </c>
      <c r="D221" s="50" t="inlineStr">
        <is>
          <t>Living laboratories enabling applied learning, research and operational sustainability outcomes</t>
        </is>
      </c>
      <c r="E221" s="50" t="inlineStr">
        <is>
          <t>Comment on living labs in the Faculty - outputs, outcomes, and impact</t>
        </is>
      </c>
      <c r="F221" s="50" t="inlineStr">
        <is>
          <t>EN1(b)</t>
        </is>
      </c>
      <c r="G221" s="50" t="inlineStr">
        <is>
          <t>Confirm end-2026 target status</t>
        </is>
      </c>
      <c r="H221" s="52">
        <f>IFERROR(IF(INDEX('Faculties'!$L$10:$L$19,MATCH($F221,'Faculties'!$B$10:$B$19,0))="","Cell will autofill based on response",INDEX('Faculties'!$L$10:$L$19,MATCH($F221,'Faculties'!$B$10:$B$19,0))),"N/A")</f>
        <v/>
      </c>
      <c r="I221" s="52">
        <f>IFERROR(IF(INDEX('Faculties'!$L$26:$L$35,MATCH($F221,'Faculties'!$B$26:$B$35,0))="","Cell will autofill based on response",INDEX('Faculties'!$L$26:$L$35,MATCH($F221,'Faculties'!$B$26:$B$35,0))),"N/A")</f>
        <v/>
      </c>
      <c r="J221" s="52">
        <f>IFERROR(IF(INDEX('Faculties'!$L$42:$L$51,MATCH($F221,'Faculties'!$B$42:$B$51,0))="","Cell will autofill based on response",INDEX('Faculties'!$L$42:$L$51,MATCH($F221,'Faculties'!$B$42:$B$51,0))),"N/A")</f>
        <v/>
      </c>
      <c r="K221" s="52">
        <f>IFERROR(IF(INDEX('Faculties'!$L$58:$L$67,MATCH($F221,'Faculties'!$B$58:$B$67,0))="","Cell will autofill based on response",INDEX('Faculties'!$L$58:$L$67,MATCH($F221,'Faculties'!$B$58:$B$67,0))),"N/A")</f>
        <v/>
      </c>
      <c r="L221" s="52">
        <f>IFERROR(IF(INDEX('CI&amp;S'!$L$10:$L$15,MATCH($F221,'CI&amp;S'!$B$10:$B$15,0))="","Cell will autofill based on response",INDEX('CI&amp;S'!$L$10:$L$15,MATCH($F221,'CI&amp;S'!$B$10:$B$15,0))),"N/A")</f>
        <v/>
      </c>
      <c r="M221" s="52">
        <f>IFERROR(IF(INDEX('CI&amp;S'!$L$22:$L$36,MATCH($F221,'CI&amp;S'!$B$22:$B$36,0))="","Cell will autofill based on response",INDEX('CI&amp;S'!$L$22:$L$36,MATCH($F221,'CI&amp;S'!$B$22:$B$36,0))),"N/A")</f>
        <v/>
      </c>
      <c r="N221" s="52">
        <f>IFERROR(IF(INDEX('CFOG'!$L$10:$L$16,MATCH($F221,'CFOG'!$B$10:$B$16,0))="","Cell will autofill based on response",INDEX('CFOG'!$L$10:$L$16,MATCH($F221,'CFOG'!$B$10:$B$16,0))),"N/A")</f>
        <v/>
      </c>
      <c r="O221" s="52">
        <f>IFERROR(IF(INDEX('CFOG'!$L$23:$L$24,MATCH($F221,'CFOG'!$B$23:$B$24,0))="","Cell will autofill based on response",INDEX('CFOG'!$L$23:$L$24,MATCH($F221,'CFOG'!$B$23:$B$24,0))),"N/A")</f>
        <v/>
      </c>
      <c r="P221" s="52">
        <f>IFERROR(IF(INDEX('ESG'!$L$10:$L$17,MATCH($F221,'ESG'!$B$10:$B$17,0))="","Cell will autofill based on response",INDEX('ESG'!$L$10:$L$17,MATCH($F221,'ESG'!$B$10:$B$17,0))),"N/A")</f>
        <v/>
      </c>
      <c r="Q221" s="52">
        <f>IFERROR(IF(INDEX('CIOG'!$L$10:$L$14,MATCH($F221,'CIOG'!$B$10:$B$14,0))="","Cell will autofill based on response",INDEX('CIOG'!$L$10:$L$14,MATCH($F221,'CIOG'!$B$10:$B$14,0))),"N/A")</f>
        <v/>
      </c>
      <c r="R221" s="52">
        <f>IFERROR(IF(INDEX('MRE'!$L$10:$L$18,MATCH($F221,'MRE'!$B$10:$B$18,0))="","Cell will autofill based on response",INDEX('MRE'!$L$10:$L$18,MATCH($F221,'MRE'!$B$10:$B$18,0))),"N/A")</f>
        <v/>
      </c>
      <c r="S221" s="52">
        <f>IFERROR(IF(INDEX('AC&amp;M'!$L$10:$L$14,MATCH($F221,'AC&amp;M'!$B$10:$B$14,0))="","Cell will autofill based on response",INDEX('AC&amp;M'!$L$10:$L$14,MATCH($F221,'AC&amp;M'!$B$10:$B$14,0))),"N/A")</f>
        <v/>
      </c>
      <c r="T221" s="52">
        <f>IFERROR(IF(INDEX('GCE'!$L$10:$L$12,MATCH($F221,'GCE'!$B$10:$B$12,0))="","Cell will autofill based on response",INDEX('GCE'!$L$10:$L$12,MATCH($F221,'GCE'!$B$10:$B$12,0))),"N/A")</f>
        <v/>
      </c>
      <c r="U221" s="52">
        <f>IFERROR(IF(INDEX('Education'!$L$10:$L$13,MATCH($F221,'Education'!$B$10:$B$13,0))="","Cell will autofill based on response",INDEX('Education'!$L$10:$L$13,MATCH($F221,'Education'!$B$10:$B$13,0))),"N/A")</f>
        <v/>
      </c>
      <c r="V221" s="52">
        <f>IFERROR(IF(INDEX('SaSS'!$L$10:$L$12,MATCH($F221,'SaSS'!$B$10:$B$12,0))="","Cell will autofill based on response",INDEX('SaSS'!$L$10:$L$12,MATCH($F221,'SaSS'!$B$10:$B$12,0))),"N/A")</f>
        <v/>
      </c>
      <c r="W221" s="52">
        <f>IFERROR(IF(INDEX('Indigenous'!$L$10:$L$11,MATCH($F221,'Indigenous'!$B$10:$B$11,0))="","Cell will autofill based on response",INDEX('Indigenous'!$L$10:$L$11,MATCH($F221,'Indigenous'!$B$10:$B$11,0))),"N/A")</f>
        <v/>
      </c>
      <c r="X221" s="52">
        <f>IFERROR(IF(INDEX('L&amp;R'!$L$10:$L$11,MATCH($F221,'L&amp;R'!$B$10:$B$11,0))="","Cell will autofill based on response",INDEX('L&amp;R'!$L$10:$L$11,MATCH($F221,'L&amp;R'!$B$10:$B$11,0))),"N/A")</f>
        <v/>
      </c>
      <c r="Z221" s="10">
        <f>COUNTIF($H221:$X221,"Cell will autofill based on response")</f>
        <v/>
      </c>
      <c r="AA221" s="10">
        <f>COUNTIF($H221:$X221,"Not yet started")</f>
        <v/>
      </c>
      <c r="AB221" s="10">
        <f>COUNTIF($H221:$X221,"Not met")</f>
        <v/>
      </c>
      <c r="AC221" s="10">
        <f>COUNTIF($H221:$X221,"Partially met")</f>
        <v/>
      </c>
      <c r="AD221" s="10">
        <f>COUNTIF($H221:$X221,"Met or exceeded")</f>
        <v/>
      </c>
      <c r="AE221" s="10">
        <f>3*AD221+2*AC221+AB221</f>
        <v/>
      </c>
      <c r="AF221" s="10">
        <f>AD221+AC221+AB221+AA221</f>
        <v/>
      </c>
      <c r="AG221" s="53">
        <f>IF(AF221&gt;0,AE221/AF221,"No valid responses to date")</f>
        <v/>
      </c>
      <c r="AH221" s="10">
        <f>IF(ISNUMBER(AG221),INDEX(Lists!$G$2:$G$5,MATCH(ROUND(AG221,0),Lists!$H$2:$H$5,0)),"")</f>
        <v/>
      </c>
      <c r="AI221" s="54">
        <f>IF(AF221&gt;0,AD221/AF221,"")</f>
        <v/>
      </c>
      <c r="AJ221" s="54">
        <f>IF(AF221&gt;0,(AD221+AC221)/AF221,"")</f>
        <v/>
      </c>
      <c r="AK221" s="10">
        <f>IF(AF221=0,"",IF(AI221&gt;0.75,"Met or exceeded",IF(AJ221&gt;=0.5,"Partially met","Not met")))</f>
        <v/>
      </c>
    </row>
    <row r="222">
      <c r="A222">
        <f>F222&amp;"|"&amp;G222</f>
        <v/>
      </c>
      <c r="B222" s="13" t="inlineStr"/>
      <c r="C222" s="8" t="inlineStr"/>
      <c r="D222" s="8" t="inlineStr"/>
      <c r="E222" s="8" t="inlineStr"/>
      <c r="F222" s="8" t="inlineStr">
        <is>
          <t>EN1(b)</t>
        </is>
      </c>
      <c r="G222" s="8" t="inlineStr">
        <is>
          <t>OPTION 1:  Target-level reporting</t>
        </is>
      </c>
      <c r="H222" s="52">
        <f>IFERROR(IF(INDEX('Faculties'!$M$10:$M$19,MATCH($F222,'Faculties'!$B$10:$B$19,0))="","Cell will autofill based on response",INDEX('Faculties'!$M$10:$M$19,MATCH($F222,'Faculties'!$B$10:$B$19,0))),"N/A")</f>
        <v/>
      </c>
      <c r="I222" s="52">
        <f>IFERROR(IF(INDEX('Faculties'!$M$26:$M$35,MATCH($F222,'Faculties'!$B$26:$B$35,0))="","Cell will autofill based on response",INDEX('Faculties'!$M$26:$M$35,MATCH($F222,'Faculties'!$B$26:$B$35,0))),"N/A")</f>
        <v/>
      </c>
      <c r="J222" s="52">
        <f>IFERROR(IF(INDEX('Faculties'!$M$42:$M$51,MATCH($F222,'Faculties'!$B$42:$B$51,0))="","Cell will autofill based on response",INDEX('Faculties'!$M$42:$M$51,MATCH($F222,'Faculties'!$B$42:$B$51,0))),"N/A")</f>
        <v/>
      </c>
      <c r="K222" s="52">
        <f>IFERROR(IF(INDEX('Faculties'!$M$58:$M$67,MATCH($F222,'Faculties'!$B$58:$B$67,0))="","Cell will autofill based on response",INDEX('Faculties'!$M$58:$M$67,MATCH($F222,'Faculties'!$B$58:$B$67,0))),"N/A")</f>
        <v/>
      </c>
      <c r="L222" s="52">
        <f>IFERROR(IF(INDEX('CI&amp;S'!$M$10:$M$15,MATCH($F222,'CI&amp;S'!$B$10:$B$15,0))="","Cell will autofill based on response",INDEX('CI&amp;S'!$M$10:$M$15,MATCH($F222,'CI&amp;S'!$B$10:$B$15,0))),"N/A")</f>
        <v/>
      </c>
      <c r="M222" s="52">
        <f>IFERROR(IF(INDEX('CI&amp;S'!$M$22:$M$36,MATCH($F222,'CI&amp;S'!$B$22:$B$36,0))="","Cell will autofill based on response",INDEX('CI&amp;S'!$M$22:$M$36,MATCH($F222,'CI&amp;S'!$B$22:$B$36,0))),"N/A")</f>
        <v/>
      </c>
      <c r="N222" s="52">
        <f>IFERROR(IF(INDEX('CFOG'!$M$10:$M$16,MATCH($F222,'CFOG'!$B$10:$B$16,0))="","Cell will autofill based on response",INDEX('CFOG'!$M$10:$M$16,MATCH($F222,'CFOG'!$B$10:$B$16,0))),"N/A")</f>
        <v/>
      </c>
      <c r="O222" s="52">
        <f>IFERROR(IF(INDEX('CFOG'!$M$23:$M$24,MATCH($F222,'CFOG'!$B$23:$B$24,0))="","Cell will autofill based on response",INDEX('CFOG'!$M$23:$M$24,MATCH($F222,'CFOG'!$B$23:$B$24,0))),"N/A")</f>
        <v/>
      </c>
      <c r="P222" s="52">
        <f>IFERROR(IF(INDEX('ESG'!$M$10:$M$17,MATCH($F222,'ESG'!$B$10:$B$17,0))="","Cell will autofill based on response",INDEX('ESG'!$M$10:$M$17,MATCH($F222,'ESG'!$B$10:$B$17,0))),"N/A")</f>
        <v/>
      </c>
      <c r="Q222" s="52">
        <f>IFERROR(IF(INDEX('CIOG'!$M$10:$M$14,MATCH($F222,'CIOG'!$B$10:$B$14,0))="","Cell will autofill based on response",INDEX('CIOG'!$M$10:$M$14,MATCH($F222,'CIOG'!$B$10:$B$14,0))),"N/A")</f>
        <v/>
      </c>
      <c r="R222" s="52">
        <f>IFERROR(IF(INDEX('MRE'!$M$10:$M$18,MATCH($F222,'MRE'!$B$10:$B$18,0))="","Cell will autofill based on response",INDEX('MRE'!$M$10:$M$18,MATCH($F222,'MRE'!$B$10:$B$18,0))),"N/A")</f>
        <v/>
      </c>
      <c r="S222" s="52">
        <f>IFERROR(IF(INDEX('AC&amp;M'!$M$10:$M$14,MATCH($F222,'AC&amp;M'!$B$10:$B$14,0))="","Cell will autofill based on response",INDEX('AC&amp;M'!$M$10:$M$14,MATCH($F222,'AC&amp;M'!$B$10:$B$14,0))),"N/A")</f>
        <v/>
      </c>
      <c r="T222" s="52">
        <f>IFERROR(IF(INDEX('GCE'!$M$10:$M$12,MATCH($F222,'GCE'!$B$10:$B$12,0))="","Cell will autofill based on response",INDEX('GCE'!$M$10:$M$12,MATCH($F222,'GCE'!$B$10:$B$12,0))),"N/A")</f>
        <v/>
      </c>
      <c r="U222" s="52">
        <f>IFERROR(IF(INDEX('Education'!$M$10:$M$13,MATCH($F222,'Education'!$B$10:$B$13,0))="","Cell will autofill based on response",INDEX('Education'!$M$10:$M$13,MATCH($F222,'Education'!$B$10:$B$13,0))),"N/A")</f>
        <v/>
      </c>
      <c r="V222" s="52">
        <f>IFERROR(IF(INDEX('SaSS'!$M$10:$M$12,MATCH($F222,'SaSS'!$B$10:$B$12,0))="","Cell will autofill based on response",INDEX('SaSS'!$M$10:$M$12,MATCH($F222,'SaSS'!$B$10:$B$12,0))),"N/A")</f>
        <v/>
      </c>
      <c r="W222" s="52">
        <f>IFERROR(IF(INDEX('Indigenous'!$M$10:$M$11,MATCH($F222,'Indigenous'!$B$10:$B$11,0))="","Cell will autofill based on response",INDEX('Indigenous'!$M$10:$M$11,MATCH($F222,'Indigenous'!$B$10:$B$11,0))),"N/A")</f>
        <v/>
      </c>
      <c r="X222" s="52">
        <f>IFERROR(IF(INDEX('L&amp;R'!$M$10:$M$11,MATCH($F222,'L&amp;R'!$B$10:$B$11,0))="","Cell will autofill based on response",INDEX('L&amp;R'!$M$10:$M$11,MATCH($F222,'L&amp;R'!$B$10:$B$11,0))),"N/A")</f>
        <v/>
      </c>
    </row>
    <row r="223">
      <c r="A223">
        <f>F223&amp;"|"&amp;G223</f>
        <v/>
      </c>
      <c r="B223" s="13" t="inlineStr"/>
      <c r="C223" s="8" t="inlineStr"/>
      <c r="D223" s="8" t="inlineStr"/>
      <c r="E223" s="8" t="inlineStr"/>
      <c r="F223" s="8" t="inlineStr">
        <is>
          <t>EN1(b)</t>
        </is>
      </c>
      <c r="G223" s="8" t="inlineStr">
        <is>
          <t>OPTION 2:  Indicator level reporting</t>
        </is>
      </c>
      <c r="H223" s="52">
        <f>IFERROR(IF(INDEX('Faculties'!$N$10:$N$19,MATCH($F223,'Faculties'!$B$10:$B$19,0))="","Cell will autofill based on response",INDEX('Faculties'!$N$10:$N$19,MATCH($F223,'Faculties'!$B$10:$B$19,0))),"N/A")</f>
        <v/>
      </c>
      <c r="I223" s="52">
        <f>IFERROR(IF(INDEX('Faculties'!$N$26:$N$35,MATCH($F223,'Faculties'!$B$26:$B$35,0))="","Cell will autofill based on response",INDEX('Faculties'!$N$26:$N$35,MATCH($F223,'Faculties'!$B$26:$B$35,0))),"N/A")</f>
        <v/>
      </c>
      <c r="J223" s="52">
        <f>IFERROR(IF(INDEX('Faculties'!$N$42:$N$51,MATCH($F223,'Faculties'!$B$42:$B$51,0))="","Cell will autofill based on response",INDEX('Faculties'!$N$42:$N$51,MATCH($F223,'Faculties'!$B$42:$B$51,0))),"N/A")</f>
        <v/>
      </c>
      <c r="K223" s="52">
        <f>IFERROR(IF(INDEX('Faculties'!$N$58:$N$67,MATCH($F223,'Faculties'!$B$58:$B$67,0))="","Cell will autofill based on response",INDEX('Faculties'!$N$58:$N$67,MATCH($F223,'Faculties'!$B$58:$B$67,0))),"N/A")</f>
        <v/>
      </c>
      <c r="L223" s="52">
        <f>IFERROR(IF(INDEX('CI&amp;S'!$N$10:$N$15,MATCH($F223,'CI&amp;S'!$B$10:$B$15,0))="","Cell will autofill based on response",INDEX('CI&amp;S'!$N$10:$N$15,MATCH($F223,'CI&amp;S'!$B$10:$B$15,0))),"N/A")</f>
        <v/>
      </c>
      <c r="M223" s="52">
        <f>IFERROR(IF(INDEX('CI&amp;S'!$N$22:$N$36,MATCH($F223,'CI&amp;S'!$B$22:$B$36,0))="","Cell will autofill based on response",INDEX('CI&amp;S'!$N$22:$N$36,MATCH($F223,'CI&amp;S'!$B$22:$B$36,0))),"N/A")</f>
        <v/>
      </c>
      <c r="N223" s="52">
        <f>IFERROR(IF(INDEX('CFOG'!$N$10:$N$16,MATCH($F223,'CFOG'!$B$10:$B$16,0))="","Cell will autofill based on response",INDEX('CFOG'!$N$10:$N$16,MATCH($F223,'CFOG'!$B$10:$B$16,0))),"N/A")</f>
        <v/>
      </c>
      <c r="O223" s="52">
        <f>IFERROR(IF(INDEX('CFOG'!$N$23:$N$24,MATCH($F223,'CFOG'!$B$23:$B$24,0))="","Cell will autofill based on response",INDEX('CFOG'!$N$23:$N$24,MATCH($F223,'CFOG'!$B$23:$B$24,0))),"N/A")</f>
        <v/>
      </c>
      <c r="P223" s="52">
        <f>IFERROR(IF(INDEX('ESG'!$N$10:$N$17,MATCH($F223,'ESG'!$B$10:$B$17,0))="","Cell will autofill based on response",INDEX('ESG'!$N$10:$N$17,MATCH($F223,'ESG'!$B$10:$B$17,0))),"N/A")</f>
        <v/>
      </c>
      <c r="Q223" s="52">
        <f>IFERROR(IF(INDEX('CIOG'!$N$10:$N$14,MATCH($F223,'CIOG'!$B$10:$B$14,0))="","Cell will autofill based on response",INDEX('CIOG'!$N$10:$N$14,MATCH($F223,'CIOG'!$B$10:$B$14,0))),"N/A")</f>
        <v/>
      </c>
      <c r="R223" s="52">
        <f>IFERROR(IF(INDEX('MRE'!$N$10:$N$18,MATCH($F223,'MRE'!$B$10:$B$18,0))="","Cell will autofill based on response",INDEX('MRE'!$N$10:$N$18,MATCH($F223,'MRE'!$B$10:$B$18,0))),"N/A")</f>
        <v/>
      </c>
      <c r="S223" s="52">
        <f>IFERROR(IF(INDEX('AC&amp;M'!$N$10:$N$14,MATCH($F223,'AC&amp;M'!$B$10:$B$14,0))="","Cell will autofill based on response",INDEX('AC&amp;M'!$N$10:$N$14,MATCH($F223,'AC&amp;M'!$B$10:$B$14,0))),"N/A")</f>
        <v/>
      </c>
      <c r="T223" s="52">
        <f>IFERROR(IF(INDEX('GCE'!$N$10:$N$12,MATCH($F223,'GCE'!$B$10:$B$12,0))="","Cell will autofill based on response",INDEX('GCE'!$N$10:$N$12,MATCH($F223,'GCE'!$B$10:$B$12,0))),"N/A")</f>
        <v/>
      </c>
      <c r="U223" s="52">
        <f>IFERROR(IF(INDEX('Education'!$N$10:$N$13,MATCH($F223,'Education'!$B$10:$B$13,0))="","Cell will autofill based on response",INDEX('Education'!$N$10:$N$13,MATCH($F223,'Education'!$B$10:$B$13,0))),"N/A")</f>
        <v/>
      </c>
      <c r="V223" s="52">
        <f>IFERROR(IF(INDEX('SaSS'!$N$10:$N$12,MATCH($F223,'SaSS'!$B$10:$B$12,0))="","Cell will autofill based on response",INDEX('SaSS'!$N$10:$N$12,MATCH($F223,'SaSS'!$B$10:$B$12,0))),"N/A")</f>
        <v/>
      </c>
      <c r="W223" s="52">
        <f>IFERROR(IF(INDEX('Indigenous'!$N$10:$N$11,MATCH($F223,'Indigenous'!$B$10:$B$11,0))="","Cell will autofill based on response",INDEX('Indigenous'!$N$10:$N$11,MATCH($F223,'Indigenous'!$B$10:$B$11,0))),"N/A")</f>
        <v/>
      </c>
      <c r="X223" s="52">
        <f>IFERROR(IF(INDEX('L&amp;R'!$N$10:$N$11,MATCH($F223,'L&amp;R'!$B$10:$B$11,0))="","Cell will autofill based on response",INDEX('L&amp;R'!$N$10:$N$11,MATCH($F223,'L&amp;R'!$B$10:$B$11,0))),"N/A")</f>
        <v/>
      </c>
    </row>
    <row r="224">
      <c r="A224">
        <f>F224&amp;"|"&amp;G224</f>
        <v/>
      </c>
      <c r="B224" s="13" t="inlineStr"/>
      <c r="C224" s="8" t="inlineStr"/>
      <c r="D224" s="8" t="inlineStr"/>
      <c r="E224" s="8" t="inlineStr"/>
      <c r="F224" s="8" t="inlineStr">
        <is>
          <t>EN1(b)</t>
        </is>
      </c>
      <c r="G224" s="8" t="inlineStr">
        <is>
          <t>Supporting information/comments</t>
        </is>
      </c>
      <c r="H224" s="52">
        <f>IFERROR(IF(INDEX('Faculties'!$O$10:$O$19,MATCH($F224,'Faculties'!$B$10:$B$19,0))="","Cell will autofill based on response",INDEX('Faculties'!$O$10:$O$19,MATCH($F224,'Faculties'!$B$10:$B$19,0))),"N/A")</f>
        <v/>
      </c>
      <c r="I224" s="52">
        <f>IFERROR(IF(INDEX('Faculties'!$O$26:$O$35,MATCH($F224,'Faculties'!$B$26:$B$35,0))="","Cell will autofill based on response",INDEX('Faculties'!$O$26:$O$35,MATCH($F224,'Faculties'!$B$26:$B$35,0))),"N/A")</f>
        <v/>
      </c>
      <c r="J224" s="52">
        <f>IFERROR(IF(INDEX('Faculties'!$O$42:$O$51,MATCH($F224,'Faculties'!$B$42:$B$51,0))="","Cell will autofill based on response",INDEX('Faculties'!$O$42:$O$51,MATCH($F224,'Faculties'!$B$42:$B$51,0))),"N/A")</f>
        <v/>
      </c>
      <c r="K224" s="52">
        <f>IFERROR(IF(INDEX('Faculties'!$O$58:$O$67,MATCH($F224,'Faculties'!$B$58:$B$67,0))="","Cell will autofill based on response",INDEX('Faculties'!$O$58:$O$67,MATCH($F224,'Faculties'!$B$58:$B$67,0))),"N/A")</f>
        <v/>
      </c>
      <c r="L224" s="52">
        <f>IFERROR(IF(INDEX('CI&amp;S'!$O$10:$O$15,MATCH($F224,'CI&amp;S'!$B$10:$B$15,0))="","Cell will autofill based on response",INDEX('CI&amp;S'!$O$10:$O$15,MATCH($F224,'CI&amp;S'!$B$10:$B$15,0))),"N/A")</f>
        <v/>
      </c>
      <c r="M224" s="52">
        <f>IFERROR(IF(INDEX('CI&amp;S'!$O$22:$O$36,MATCH($F224,'CI&amp;S'!$B$22:$B$36,0))="","Cell will autofill based on response",INDEX('CI&amp;S'!$O$22:$O$36,MATCH($F224,'CI&amp;S'!$B$22:$B$36,0))),"N/A")</f>
        <v/>
      </c>
      <c r="N224" s="52">
        <f>IFERROR(IF(INDEX('CFOG'!$O$10:$O$16,MATCH($F224,'CFOG'!$B$10:$B$16,0))="","Cell will autofill based on response",INDEX('CFOG'!$O$10:$O$16,MATCH($F224,'CFOG'!$B$10:$B$16,0))),"N/A")</f>
        <v/>
      </c>
      <c r="O224" s="52">
        <f>IFERROR(IF(INDEX('CFOG'!$O$23:$O$24,MATCH($F224,'CFOG'!$B$23:$B$24,0))="","Cell will autofill based on response",INDEX('CFOG'!$O$23:$O$24,MATCH($F224,'CFOG'!$B$23:$B$24,0))),"N/A")</f>
        <v/>
      </c>
      <c r="P224" s="52">
        <f>IFERROR(IF(INDEX('ESG'!$O$10:$O$17,MATCH($F224,'ESG'!$B$10:$B$17,0))="","Cell will autofill based on response",INDEX('ESG'!$O$10:$O$17,MATCH($F224,'ESG'!$B$10:$B$17,0))),"N/A")</f>
        <v/>
      </c>
      <c r="Q224" s="52">
        <f>IFERROR(IF(INDEX('CIOG'!$O$10:$O$14,MATCH($F224,'CIOG'!$B$10:$B$14,0))="","Cell will autofill based on response",INDEX('CIOG'!$O$10:$O$14,MATCH($F224,'CIOG'!$B$10:$B$14,0))),"N/A")</f>
        <v/>
      </c>
      <c r="R224" s="52">
        <f>IFERROR(IF(INDEX('MRE'!$O$10:$O$18,MATCH($F224,'MRE'!$B$10:$B$18,0))="","Cell will autofill based on response",INDEX('MRE'!$O$10:$O$18,MATCH($F224,'MRE'!$B$10:$B$18,0))),"N/A")</f>
        <v/>
      </c>
      <c r="S224" s="52">
        <f>IFERROR(IF(INDEX('AC&amp;M'!$O$10:$O$14,MATCH($F224,'AC&amp;M'!$B$10:$B$14,0))="","Cell will autofill based on response",INDEX('AC&amp;M'!$O$10:$O$14,MATCH($F224,'AC&amp;M'!$B$10:$B$14,0))),"N/A")</f>
        <v/>
      </c>
      <c r="T224" s="52">
        <f>IFERROR(IF(INDEX('GCE'!$O$10:$O$12,MATCH($F224,'GCE'!$B$10:$B$12,0))="","Cell will autofill based on response",INDEX('GCE'!$O$10:$O$12,MATCH($F224,'GCE'!$B$10:$B$12,0))),"N/A")</f>
        <v/>
      </c>
      <c r="U224" s="52">
        <f>IFERROR(IF(INDEX('Education'!$O$10:$O$13,MATCH($F224,'Education'!$B$10:$B$13,0))="","Cell will autofill based on response",INDEX('Education'!$O$10:$O$13,MATCH($F224,'Education'!$B$10:$B$13,0))),"N/A")</f>
        <v/>
      </c>
      <c r="V224" s="52">
        <f>IFERROR(IF(INDEX('SaSS'!$O$10:$O$12,MATCH($F224,'SaSS'!$B$10:$B$12,0))="","Cell will autofill based on response",INDEX('SaSS'!$O$10:$O$12,MATCH($F224,'SaSS'!$B$10:$B$12,0))),"N/A")</f>
        <v/>
      </c>
      <c r="W224" s="52">
        <f>IFERROR(IF(INDEX('Indigenous'!$O$10:$O$11,MATCH($F224,'Indigenous'!$B$10:$B$11,0))="","Cell will autofill based on response",INDEX('Indigenous'!$O$10:$O$11,MATCH($F224,'Indigenous'!$B$10:$B$11,0))),"N/A")</f>
        <v/>
      </c>
      <c r="X224" s="52">
        <f>IFERROR(IF(INDEX('L&amp;R'!$O$10:$O$11,MATCH($F224,'L&amp;R'!$B$10:$B$11,0))="","Cell will autofill based on response",INDEX('L&amp;R'!$O$10:$O$11,MATCH($F224,'L&amp;R'!$B$10:$B$11,0))),"N/A")</f>
        <v/>
      </c>
    </row>
    <row r="225">
      <c r="A225">
        <f>F225&amp;"|"&amp;G225</f>
        <v/>
      </c>
      <c r="B225" s="13" t="inlineStr"/>
      <c r="C225" s="8" t="inlineStr"/>
      <c r="D225" s="8" t="inlineStr"/>
      <c r="E225" s="8" t="inlineStr"/>
      <c r="F225" s="8" t="inlineStr">
        <is>
          <t>EN1(b)</t>
        </is>
      </c>
      <c r="G225" s="8" t="inlineStr">
        <is>
          <t>Data source and limitations</t>
        </is>
      </c>
      <c r="H225" s="52">
        <f>IFERROR(IF(INDEX('Faculties'!$P$10:$P$19,MATCH($F225,'Faculties'!$B$10:$B$19,0))="","Cell will autofill based on response",INDEX('Faculties'!$P$10:$P$19,MATCH($F225,'Faculties'!$B$10:$B$19,0))),"N/A")</f>
        <v/>
      </c>
      <c r="I225" s="52">
        <f>IFERROR(IF(INDEX('Faculties'!$P$26:$P$35,MATCH($F225,'Faculties'!$B$26:$B$35,0))="","Cell will autofill based on response",INDEX('Faculties'!$P$26:$P$35,MATCH($F225,'Faculties'!$B$26:$B$35,0))),"N/A")</f>
        <v/>
      </c>
      <c r="J225" s="52">
        <f>IFERROR(IF(INDEX('Faculties'!$P$42:$P$51,MATCH($F225,'Faculties'!$B$42:$B$51,0))="","Cell will autofill based on response",INDEX('Faculties'!$P$42:$P$51,MATCH($F225,'Faculties'!$B$42:$B$51,0))),"N/A")</f>
        <v/>
      </c>
      <c r="K225" s="52">
        <f>IFERROR(IF(INDEX('Faculties'!$P$58:$P$67,MATCH($F225,'Faculties'!$B$58:$B$67,0))="","Cell will autofill based on response",INDEX('Faculties'!$P$58:$P$67,MATCH($F225,'Faculties'!$B$58:$B$67,0))),"N/A")</f>
        <v/>
      </c>
      <c r="L225" s="52">
        <f>IFERROR(IF(INDEX('CI&amp;S'!$P$10:$P$15,MATCH($F225,'CI&amp;S'!$B$10:$B$15,0))="","Cell will autofill based on response",INDEX('CI&amp;S'!$P$10:$P$15,MATCH($F225,'CI&amp;S'!$B$10:$B$15,0))),"N/A")</f>
        <v/>
      </c>
      <c r="M225" s="52">
        <f>IFERROR(IF(INDEX('CI&amp;S'!$P$22:$P$36,MATCH($F225,'CI&amp;S'!$B$22:$B$36,0))="","Cell will autofill based on response",INDEX('CI&amp;S'!$P$22:$P$36,MATCH($F225,'CI&amp;S'!$B$22:$B$36,0))),"N/A")</f>
        <v/>
      </c>
      <c r="N225" s="52">
        <f>IFERROR(IF(INDEX('CFOG'!$P$10:$P$16,MATCH($F225,'CFOG'!$B$10:$B$16,0))="","Cell will autofill based on response",INDEX('CFOG'!$P$10:$P$16,MATCH($F225,'CFOG'!$B$10:$B$16,0))),"N/A")</f>
        <v/>
      </c>
      <c r="O225" s="52">
        <f>IFERROR(IF(INDEX('CFOG'!$P$23:$P$24,MATCH($F225,'CFOG'!$B$23:$B$24,0))="","Cell will autofill based on response",INDEX('CFOG'!$P$23:$P$24,MATCH($F225,'CFOG'!$B$23:$B$24,0))),"N/A")</f>
        <v/>
      </c>
      <c r="P225" s="52">
        <f>IFERROR(IF(INDEX('ESG'!$P$10:$P$17,MATCH($F225,'ESG'!$B$10:$B$17,0))="","Cell will autofill based on response",INDEX('ESG'!$P$10:$P$17,MATCH($F225,'ESG'!$B$10:$B$17,0))),"N/A")</f>
        <v/>
      </c>
      <c r="Q225" s="52">
        <f>IFERROR(IF(INDEX('CIOG'!$P$10:$P$14,MATCH($F225,'CIOG'!$B$10:$B$14,0))="","Cell will autofill based on response",INDEX('CIOG'!$P$10:$P$14,MATCH($F225,'CIOG'!$B$10:$B$14,0))),"N/A")</f>
        <v/>
      </c>
      <c r="R225" s="52">
        <f>IFERROR(IF(INDEX('MRE'!$P$10:$P$18,MATCH($F225,'MRE'!$B$10:$B$18,0))="","Cell will autofill based on response",INDEX('MRE'!$P$10:$P$18,MATCH($F225,'MRE'!$B$10:$B$18,0))),"N/A")</f>
        <v/>
      </c>
      <c r="S225" s="52">
        <f>IFERROR(IF(INDEX('AC&amp;M'!$P$10:$P$14,MATCH($F225,'AC&amp;M'!$B$10:$B$14,0))="","Cell will autofill based on response",INDEX('AC&amp;M'!$P$10:$P$14,MATCH($F225,'AC&amp;M'!$B$10:$B$14,0))),"N/A")</f>
        <v/>
      </c>
      <c r="T225" s="52">
        <f>IFERROR(IF(INDEX('GCE'!$P$10:$P$12,MATCH($F225,'GCE'!$B$10:$B$12,0))="","Cell will autofill based on response",INDEX('GCE'!$P$10:$P$12,MATCH($F225,'GCE'!$B$10:$B$12,0))),"N/A")</f>
        <v/>
      </c>
      <c r="U225" s="52">
        <f>IFERROR(IF(INDEX('Education'!$P$10:$P$13,MATCH($F225,'Education'!$B$10:$B$13,0))="","Cell will autofill based on response",INDEX('Education'!$P$10:$P$13,MATCH($F225,'Education'!$B$10:$B$13,0))),"N/A")</f>
        <v/>
      </c>
      <c r="V225" s="52">
        <f>IFERROR(IF(INDEX('SaSS'!$P$10:$P$12,MATCH($F225,'SaSS'!$B$10:$B$12,0))="","Cell will autofill based on response",INDEX('SaSS'!$P$10:$P$12,MATCH($F225,'SaSS'!$B$10:$B$12,0))),"N/A")</f>
        <v/>
      </c>
      <c r="W225" s="52">
        <f>IFERROR(IF(INDEX('Indigenous'!$P$10:$P$11,MATCH($F225,'Indigenous'!$B$10:$B$11,0))="","Cell will autofill based on response",INDEX('Indigenous'!$P$10:$P$11,MATCH($F225,'Indigenous'!$B$10:$B$11,0))),"N/A")</f>
        <v/>
      </c>
      <c r="X225" s="52">
        <f>IFERROR(IF(INDEX('L&amp;R'!$P$10:$P$11,MATCH($F225,'L&amp;R'!$B$10:$B$11,0))="","Cell will autofill based on response",INDEX('L&amp;R'!$P$10:$P$11,MATCH($F225,'L&amp;R'!$B$10:$B$11,0))),"N/A")</f>
        <v/>
      </c>
    </row>
    <row r="226">
      <c r="A226">
        <f>F226&amp;"|"&amp;G226</f>
        <v/>
      </c>
      <c r="B226" s="13" t="inlineStr"/>
      <c r="C226" s="8" t="inlineStr"/>
      <c r="D226" s="8" t="inlineStr"/>
      <c r="E226" s="8" t="inlineStr"/>
      <c r="F226" s="8" t="inlineStr">
        <is>
          <t>EN1(b)</t>
        </is>
      </c>
      <c r="G226" s="8" t="inlineStr">
        <is>
          <t>Data owner confirms</t>
        </is>
      </c>
      <c r="H226" s="52">
        <f>IFERROR(IF(INDEX('Faculties'!$Q$10:$Q$19,MATCH($F226,'Faculties'!$B$10:$B$19,0))="","Cell will autofill based on response",INDEX('Faculties'!$Q$10:$Q$19,MATCH($F226,'Faculties'!$B$10:$B$19,0))),"N/A")</f>
        <v/>
      </c>
      <c r="I226" s="52">
        <f>IFERROR(IF(INDEX('Faculties'!$Q$26:$Q$35,MATCH($F226,'Faculties'!$B$26:$B$35,0))="","Cell will autofill based on response",INDEX('Faculties'!$Q$26:$Q$35,MATCH($F226,'Faculties'!$B$26:$B$35,0))),"N/A")</f>
        <v/>
      </c>
      <c r="J226" s="52">
        <f>IFERROR(IF(INDEX('Faculties'!$Q$42:$Q$51,MATCH($F226,'Faculties'!$B$42:$B$51,0))="","Cell will autofill based on response",INDEX('Faculties'!$Q$42:$Q$51,MATCH($F226,'Faculties'!$B$42:$B$51,0))),"N/A")</f>
        <v/>
      </c>
      <c r="K226" s="52">
        <f>IFERROR(IF(INDEX('Faculties'!$Q$58:$Q$67,MATCH($F226,'Faculties'!$B$58:$B$67,0))="","Cell will autofill based on response",INDEX('Faculties'!$Q$58:$Q$67,MATCH($F226,'Faculties'!$B$58:$B$67,0))),"N/A")</f>
        <v/>
      </c>
      <c r="L226" s="52">
        <f>IFERROR(IF(INDEX('CI&amp;S'!$Q$10:$Q$15,MATCH($F226,'CI&amp;S'!$B$10:$B$15,0))="","Cell will autofill based on response",INDEX('CI&amp;S'!$Q$10:$Q$15,MATCH($F226,'CI&amp;S'!$B$10:$B$15,0))),"N/A")</f>
        <v/>
      </c>
      <c r="M226" s="52">
        <f>IFERROR(IF(INDEX('CI&amp;S'!$Q$22:$Q$36,MATCH($F226,'CI&amp;S'!$B$22:$B$36,0))="","Cell will autofill based on response",INDEX('CI&amp;S'!$Q$22:$Q$36,MATCH($F226,'CI&amp;S'!$B$22:$B$36,0))),"N/A")</f>
        <v/>
      </c>
      <c r="N226" s="52">
        <f>IFERROR(IF(INDEX('CFOG'!$Q$10:$Q$16,MATCH($F226,'CFOG'!$B$10:$B$16,0))="","Cell will autofill based on response",INDEX('CFOG'!$Q$10:$Q$16,MATCH($F226,'CFOG'!$B$10:$B$16,0))),"N/A")</f>
        <v/>
      </c>
      <c r="O226" s="52">
        <f>IFERROR(IF(INDEX('CFOG'!$Q$23:$Q$24,MATCH($F226,'CFOG'!$B$23:$B$24,0))="","Cell will autofill based on response",INDEX('CFOG'!$Q$23:$Q$24,MATCH($F226,'CFOG'!$B$23:$B$24,0))),"N/A")</f>
        <v/>
      </c>
      <c r="P226" s="52">
        <f>IFERROR(IF(INDEX('ESG'!$Q$10:$Q$17,MATCH($F226,'ESG'!$B$10:$B$17,0))="","Cell will autofill based on response",INDEX('ESG'!$Q$10:$Q$17,MATCH($F226,'ESG'!$B$10:$B$17,0))),"N/A")</f>
        <v/>
      </c>
      <c r="Q226" s="52">
        <f>IFERROR(IF(INDEX('CIOG'!$Q$10:$Q$14,MATCH($F226,'CIOG'!$B$10:$B$14,0))="","Cell will autofill based on response",INDEX('CIOG'!$Q$10:$Q$14,MATCH($F226,'CIOG'!$B$10:$B$14,0))),"N/A")</f>
        <v/>
      </c>
      <c r="R226" s="52">
        <f>IFERROR(IF(INDEX('MRE'!$Q$10:$Q$18,MATCH($F226,'MRE'!$B$10:$B$18,0))="","Cell will autofill based on response",INDEX('MRE'!$Q$10:$Q$18,MATCH($F226,'MRE'!$B$10:$B$18,0))),"N/A")</f>
        <v/>
      </c>
      <c r="S226" s="52">
        <f>IFERROR(IF(INDEX('AC&amp;M'!$Q$10:$Q$14,MATCH($F226,'AC&amp;M'!$B$10:$B$14,0))="","Cell will autofill based on response",INDEX('AC&amp;M'!$Q$10:$Q$14,MATCH($F226,'AC&amp;M'!$B$10:$B$14,0))),"N/A")</f>
        <v/>
      </c>
      <c r="T226" s="52">
        <f>IFERROR(IF(INDEX('GCE'!$Q$10:$Q$12,MATCH($F226,'GCE'!$B$10:$B$12,0))="","Cell will autofill based on response",INDEX('GCE'!$Q$10:$Q$12,MATCH($F226,'GCE'!$B$10:$B$12,0))),"N/A")</f>
        <v/>
      </c>
      <c r="U226" s="52">
        <f>IFERROR(IF(INDEX('Education'!$Q$10:$Q$13,MATCH($F226,'Education'!$B$10:$B$13,0))="","Cell will autofill based on response",INDEX('Education'!$Q$10:$Q$13,MATCH($F226,'Education'!$B$10:$B$13,0))),"N/A")</f>
        <v/>
      </c>
      <c r="V226" s="52">
        <f>IFERROR(IF(INDEX('SaSS'!$Q$10:$Q$12,MATCH($F226,'SaSS'!$B$10:$B$12,0))="","Cell will autofill based on response",INDEX('SaSS'!$Q$10:$Q$12,MATCH($F226,'SaSS'!$B$10:$B$12,0))),"N/A")</f>
        <v/>
      </c>
      <c r="W226" s="52">
        <f>IFERROR(IF(INDEX('Indigenous'!$Q$10:$Q$11,MATCH($F226,'Indigenous'!$B$10:$B$11,0))="","Cell will autofill based on response",INDEX('Indigenous'!$Q$10:$Q$11,MATCH($F226,'Indigenous'!$B$10:$B$11,0))),"N/A")</f>
        <v/>
      </c>
      <c r="X226" s="52">
        <f>IFERROR(IF(INDEX('L&amp;R'!$Q$10:$Q$11,MATCH($F226,'L&amp;R'!$B$10:$B$11,0))="","Cell will autofill based on response",INDEX('L&amp;R'!$Q$10:$Q$11,MATCH($F226,'L&amp;R'!$B$10:$B$11,0))),"N/A")</f>
        <v/>
      </c>
    </row>
    <row r="227">
      <c r="A227">
        <f>F227&amp;"|"&amp;G227</f>
        <v/>
      </c>
      <c r="B227" s="7" t="inlineStr">
        <is>
          <t>EN1(c)</t>
        </is>
      </c>
      <c r="C227" s="50" t="inlineStr">
        <is>
          <t>Enablers</t>
        </is>
      </c>
      <c r="D227" s="50" t="inlineStr">
        <is>
          <t>Coordinated internal engagement and external partnerships contributing to delivery of sustainability outcomes across priority areas.</t>
        </is>
      </c>
      <c r="E227" s="50"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227" s="50" t="inlineStr">
        <is>
          <t>EN1(c)</t>
        </is>
      </c>
      <c r="G227" s="50" t="inlineStr">
        <is>
          <t>Confirm end-2026 target status</t>
        </is>
      </c>
      <c r="H227" s="52">
        <f>IFERROR(IF(INDEX('Faculties'!$L$10:$L$19,MATCH($F227,'Faculties'!$B$10:$B$19,0))="","Cell will autofill based on response",INDEX('Faculties'!$L$10:$L$19,MATCH($F227,'Faculties'!$B$10:$B$19,0))),"N/A")</f>
        <v/>
      </c>
      <c r="I227" s="52">
        <f>IFERROR(IF(INDEX('Faculties'!$L$26:$L$35,MATCH($F227,'Faculties'!$B$26:$B$35,0))="","Cell will autofill based on response",INDEX('Faculties'!$L$26:$L$35,MATCH($F227,'Faculties'!$B$26:$B$35,0))),"N/A")</f>
        <v/>
      </c>
      <c r="J227" s="52">
        <f>IFERROR(IF(INDEX('Faculties'!$L$42:$L$51,MATCH($F227,'Faculties'!$B$42:$B$51,0))="","Cell will autofill based on response",INDEX('Faculties'!$L$42:$L$51,MATCH($F227,'Faculties'!$B$42:$B$51,0))),"N/A")</f>
        <v/>
      </c>
      <c r="K227" s="52">
        <f>IFERROR(IF(INDEX('Faculties'!$L$58:$L$67,MATCH($F227,'Faculties'!$B$58:$B$67,0))="","Cell will autofill based on response",INDEX('Faculties'!$L$58:$L$67,MATCH($F227,'Faculties'!$B$58:$B$67,0))),"N/A")</f>
        <v/>
      </c>
      <c r="L227" s="52">
        <f>IFERROR(IF(INDEX('CI&amp;S'!$L$10:$L$15,MATCH($F227,'CI&amp;S'!$B$10:$B$15,0))="","Cell will autofill based on response",INDEX('CI&amp;S'!$L$10:$L$15,MATCH($F227,'CI&amp;S'!$B$10:$B$15,0))),"N/A")</f>
        <v/>
      </c>
      <c r="M227" s="52">
        <f>IFERROR(IF(INDEX('CI&amp;S'!$L$22:$L$36,MATCH($F227,'CI&amp;S'!$B$22:$B$36,0))="","Cell will autofill based on response",INDEX('CI&amp;S'!$L$22:$L$36,MATCH($F227,'CI&amp;S'!$B$22:$B$36,0))),"N/A")</f>
        <v/>
      </c>
      <c r="N227" s="52">
        <f>IFERROR(IF(INDEX('CFOG'!$L$10:$L$16,MATCH($F227,'CFOG'!$B$10:$B$16,0))="","Cell will autofill based on response",INDEX('CFOG'!$L$10:$L$16,MATCH($F227,'CFOG'!$B$10:$B$16,0))),"N/A")</f>
        <v/>
      </c>
      <c r="O227" s="52">
        <f>IFERROR(IF(INDEX('CFOG'!$L$23:$L$24,MATCH($F227,'CFOG'!$B$23:$B$24,0))="","Cell will autofill based on response",INDEX('CFOG'!$L$23:$L$24,MATCH($F227,'CFOG'!$B$23:$B$24,0))),"N/A")</f>
        <v/>
      </c>
      <c r="P227" s="52">
        <f>IFERROR(IF(INDEX('ESG'!$L$10:$L$17,MATCH($F227,'ESG'!$B$10:$B$17,0))="","Cell will autofill based on response",INDEX('ESG'!$L$10:$L$17,MATCH($F227,'ESG'!$B$10:$B$17,0))),"N/A")</f>
        <v/>
      </c>
      <c r="Q227" s="52">
        <f>IFERROR(IF(INDEX('CIOG'!$L$10:$L$14,MATCH($F227,'CIOG'!$B$10:$B$14,0))="","Cell will autofill based on response",INDEX('CIOG'!$L$10:$L$14,MATCH($F227,'CIOG'!$B$10:$B$14,0))),"N/A")</f>
        <v/>
      </c>
      <c r="R227" s="52">
        <f>IFERROR(IF(INDEX('MRE'!$L$10:$L$18,MATCH($F227,'MRE'!$B$10:$B$18,0))="","Cell will autofill based on response",INDEX('MRE'!$L$10:$L$18,MATCH($F227,'MRE'!$B$10:$B$18,0))),"N/A")</f>
        <v/>
      </c>
      <c r="S227" s="52">
        <f>IFERROR(IF(INDEX('AC&amp;M'!$L$10:$L$14,MATCH($F227,'AC&amp;M'!$B$10:$B$14,0))="","Cell will autofill based on response",INDEX('AC&amp;M'!$L$10:$L$14,MATCH($F227,'AC&amp;M'!$B$10:$B$14,0))),"N/A")</f>
        <v/>
      </c>
      <c r="T227" s="52">
        <f>IFERROR(IF(INDEX('GCE'!$L$10:$L$12,MATCH($F227,'GCE'!$B$10:$B$12,0))="","Cell will autofill based on response",INDEX('GCE'!$L$10:$L$12,MATCH($F227,'GCE'!$B$10:$B$12,0))),"N/A")</f>
        <v/>
      </c>
      <c r="U227" s="52">
        <f>IFERROR(IF(INDEX('Education'!$L$10:$L$13,MATCH($F227,'Education'!$B$10:$B$13,0))="","Cell will autofill based on response",INDEX('Education'!$L$10:$L$13,MATCH($F227,'Education'!$B$10:$B$13,0))),"N/A")</f>
        <v/>
      </c>
      <c r="V227" s="52">
        <f>IFERROR(IF(INDEX('SaSS'!$L$10:$L$12,MATCH($F227,'SaSS'!$B$10:$B$12,0))="","Cell will autofill based on response",INDEX('SaSS'!$L$10:$L$12,MATCH($F227,'SaSS'!$B$10:$B$12,0))),"N/A")</f>
        <v/>
      </c>
      <c r="W227" s="52">
        <f>IFERROR(IF(INDEX('Indigenous'!$L$10:$L$11,MATCH($F227,'Indigenous'!$B$10:$B$11,0))="","Cell will autofill based on response",INDEX('Indigenous'!$L$10:$L$11,MATCH($F227,'Indigenous'!$B$10:$B$11,0))),"N/A")</f>
        <v/>
      </c>
      <c r="X227" s="52">
        <f>IFERROR(IF(INDEX('L&amp;R'!$L$10:$L$11,MATCH($F227,'L&amp;R'!$B$10:$B$11,0))="","Cell will autofill based on response",INDEX('L&amp;R'!$L$10:$L$11,MATCH($F227,'L&amp;R'!$B$10:$B$11,0))),"N/A")</f>
        <v/>
      </c>
      <c r="Z227" s="10">
        <f>COUNTIF($H227:$X227,"Cell will autofill based on response")</f>
        <v/>
      </c>
      <c r="AA227" s="10">
        <f>COUNTIF($H227:$X227,"Not yet started")</f>
        <v/>
      </c>
      <c r="AB227" s="10">
        <f>COUNTIF($H227:$X227,"Not met")</f>
        <v/>
      </c>
      <c r="AC227" s="10">
        <f>COUNTIF($H227:$X227,"Partially met")</f>
        <v/>
      </c>
      <c r="AD227" s="10">
        <f>COUNTIF($H227:$X227,"Met or exceeded")</f>
        <v/>
      </c>
      <c r="AE227" s="10">
        <f>3*AD227+2*AC227+AB227</f>
        <v/>
      </c>
      <c r="AF227" s="10">
        <f>AD227+AC227+AB227+AA227</f>
        <v/>
      </c>
      <c r="AG227" s="53">
        <f>IF(AF227&gt;0,AE227/AF227,"No valid responses to date")</f>
        <v/>
      </c>
      <c r="AH227" s="10">
        <f>IF(ISNUMBER(AG227),INDEX(Lists!$G$2:$G$5,MATCH(ROUND(AG227,0),Lists!$H$2:$H$5,0)),"")</f>
        <v/>
      </c>
      <c r="AI227" s="54">
        <f>IF(AF227&gt;0,AD227/AF227,"")</f>
        <v/>
      </c>
      <c r="AJ227" s="54">
        <f>IF(AF227&gt;0,(AD227+AC227)/AF227,"")</f>
        <v/>
      </c>
      <c r="AK227" s="10">
        <f>IF(AF227=0,"",IF(AI227&gt;0.75,"Met or exceeded",IF(AJ227&gt;=0.5,"Partially met","Not met")))</f>
        <v/>
      </c>
    </row>
    <row r="228">
      <c r="A228">
        <f>F228&amp;"|"&amp;G228</f>
        <v/>
      </c>
      <c r="B228" s="13" t="inlineStr"/>
      <c r="C228" s="8" t="inlineStr"/>
      <c r="D228" s="8" t="inlineStr"/>
      <c r="E228" s="8" t="inlineStr"/>
      <c r="F228" s="8" t="inlineStr">
        <is>
          <t>EN1(c)</t>
        </is>
      </c>
      <c r="G228" s="8" t="inlineStr">
        <is>
          <t>OPTION 1:  Target-level reporting</t>
        </is>
      </c>
      <c r="H228" s="52">
        <f>IFERROR(IF(INDEX('Faculties'!$M$10:$M$19,MATCH($F228,'Faculties'!$B$10:$B$19,0))="","Cell will autofill based on response",INDEX('Faculties'!$M$10:$M$19,MATCH($F228,'Faculties'!$B$10:$B$19,0))),"N/A")</f>
        <v/>
      </c>
      <c r="I228" s="52">
        <f>IFERROR(IF(INDEX('Faculties'!$M$26:$M$35,MATCH($F228,'Faculties'!$B$26:$B$35,0))="","Cell will autofill based on response",INDEX('Faculties'!$M$26:$M$35,MATCH($F228,'Faculties'!$B$26:$B$35,0))),"N/A")</f>
        <v/>
      </c>
      <c r="J228" s="52">
        <f>IFERROR(IF(INDEX('Faculties'!$M$42:$M$51,MATCH($F228,'Faculties'!$B$42:$B$51,0))="","Cell will autofill based on response",INDEX('Faculties'!$M$42:$M$51,MATCH($F228,'Faculties'!$B$42:$B$51,0))),"N/A")</f>
        <v/>
      </c>
      <c r="K228" s="52">
        <f>IFERROR(IF(INDEX('Faculties'!$M$58:$M$67,MATCH($F228,'Faculties'!$B$58:$B$67,0))="","Cell will autofill based on response",INDEX('Faculties'!$M$58:$M$67,MATCH($F228,'Faculties'!$B$58:$B$67,0))),"N/A")</f>
        <v/>
      </c>
      <c r="L228" s="52">
        <f>IFERROR(IF(INDEX('CI&amp;S'!$M$10:$M$15,MATCH($F228,'CI&amp;S'!$B$10:$B$15,0))="","Cell will autofill based on response",INDEX('CI&amp;S'!$M$10:$M$15,MATCH($F228,'CI&amp;S'!$B$10:$B$15,0))),"N/A")</f>
        <v/>
      </c>
      <c r="M228" s="52">
        <f>IFERROR(IF(INDEX('CI&amp;S'!$M$22:$M$36,MATCH($F228,'CI&amp;S'!$B$22:$B$36,0))="","Cell will autofill based on response",INDEX('CI&amp;S'!$M$22:$M$36,MATCH($F228,'CI&amp;S'!$B$22:$B$36,0))),"N/A")</f>
        <v/>
      </c>
      <c r="N228" s="52">
        <f>IFERROR(IF(INDEX('CFOG'!$M$10:$M$16,MATCH($F228,'CFOG'!$B$10:$B$16,0))="","Cell will autofill based on response",INDEX('CFOG'!$M$10:$M$16,MATCH($F228,'CFOG'!$B$10:$B$16,0))),"N/A")</f>
        <v/>
      </c>
      <c r="O228" s="52">
        <f>IFERROR(IF(INDEX('CFOG'!$M$23:$M$24,MATCH($F228,'CFOG'!$B$23:$B$24,0))="","Cell will autofill based on response",INDEX('CFOG'!$M$23:$M$24,MATCH($F228,'CFOG'!$B$23:$B$24,0))),"N/A")</f>
        <v/>
      </c>
      <c r="P228" s="52">
        <f>IFERROR(IF(INDEX('ESG'!$M$10:$M$17,MATCH($F228,'ESG'!$B$10:$B$17,0))="","Cell will autofill based on response",INDEX('ESG'!$M$10:$M$17,MATCH($F228,'ESG'!$B$10:$B$17,0))),"N/A")</f>
        <v/>
      </c>
      <c r="Q228" s="52">
        <f>IFERROR(IF(INDEX('CIOG'!$M$10:$M$14,MATCH($F228,'CIOG'!$B$10:$B$14,0))="","Cell will autofill based on response",INDEX('CIOG'!$M$10:$M$14,MATCH($F228,'CIOG'!$B$10:$B$14,0))),"N/A")</f>
        <v/>
      </c>
      <c r="R228" s="52">
        <f>IFERROR(IF(INDEX('MRE'!$M$10:$M$18,MATCH($F228,'MRE'!$B$10:$B$18,0))="","Cell will autofill based on response",INDEX('MRE'!$M$10:$M$18,MATCH($F228,'MRE'!$B$10:$B$18,0))),"N/A")</f>
        <v/>
      </c>
      <c r="S228" s="52">
        <f>IFERROR(IF(INDEX('AC&amp;M'!$M$10:$M$14,MATCH($F228,'AC&amp;M'!$B$10:$B$14,0))="","Cell will autofill based on response",INDEX('AC&amp;M'!$M$10:$M$14,MATCH($F228,'AC&amp;M'!$B$10:$B$14,0))),"N/A")</f>
        <v/>
      </c>
      <c r="T228" s="52">
        <f>IFERROR(IF(INDEX('GCE'!$M$10:$M$12,MATCH($F228,'GCE'!$B$10:$B$12,0))="","Cell will autofill based on response",INDEX('GCE'!$M$10:$M$12,MATCH($F228,'GCE'!$B$10:$B$12,0))),"N/A")</f>
        <v/>
      </c>
      <c r="U228" s="52">
        <f>IFERROR(IF(INDEX('Education'!$M$10:$M$13,MATCH($F228,'Education'!$B$10:$B$13,0))="","Cell will autofill based on response",INDEX('Education'!$M$10:$M$13,MATCH($F228,'Education'!$B$10:$B$13,0))),"N/A")</f>
        <v/>
      </c>
      <c r="V228" s="52">
        <f>IFERROR(IF(INDEX('SaSS'!$M$10:$M$12,MATCH($F228,'SaSS'!$B$10:$B$12,0))="","Cell will autofill based on response",INDEX('SaSS'!$M$10:$M$12,MATCH($F228,'SaSS'!$B$10:$B$12,0))),"N/A")</f>
        <v/>
      </c>
      <c r="W228" s="52">
        <f>IFERROR(IF(INDEX('Indigenous'!$M$10:$M$11,MATCH($F228,'Indigenous'!$B$10:$B$11,0))="","Cell will autofill based on response",INDEX('Indigenous'!$M$10:$M$11,MATCH($F228,'Indigenous'!$B$10:$B$11,0))),"N/A")</f>
        <v/>
      </c>
      <c r="X228" s="52">
        <f>IFERROR(IF(INDEX('L&amp;R'!$M$10:$M$11,MATCH($F228,'L&amp;R'!$B$10:$B$11,0))="","Cell will autofill based on response",INDEX('L&amp;R'!$M$10:$M$11,MATCH($F228,'L&amp;R'!$B$10:$B$11,0))),"N/A")</f>
        <v/>
      </c>
    </row>
    <row r="229">
      <c r="A229">
        <f>F229&amp;"|"&amp;G229</f>
        <v/>
      </c>
      <c r="B229" s="13" t="inlineStr"/>
      <c r="C229" s="8" t="inlineStr"/>
      <c r="D229" s="8" t="inlineStr"/>
      <c r="E229" s="8" t="inlineStr"/>
      <c r="F229" s="8" t="inlineStr">
        <is>
          <t>EN1(c)</t>
        </is>
      </c>
      <c r="G229" s="8" t="inlineStr">
        <is>
          <t>OPTION 2:  Indicator level reporting</t>
        </is>
      </c>
      <c r="H229" s="52">
        <f>IFERROR(IF(INDEX('Faculties'!$N$10:$N$19,MATCH($F229,'Faculties'!$B$10:$B$19,0))="","Cell will autofill based on response",INDEX('Faculties'!$N$10:$N$19,MATCH($F229,'Faculties'!$B$10:$B$19,0))),"N/A")</f>
        <v/>
      </c>
      <c r="I229" s="52">
        <f>IFERROR(IF(INDEX('Faculties'!$N$26:$N$35,MATCH($F229,'Faculties'!$B$26:$B$35,0))="","Cell will autofill based on response",INDEX('Faculties'!$N$26:$N$35,MATCH($F229,'Faculties'!$B$26:$B$35,0))),"N/A")</f>
        <v/>
      </c>
      <c r="J229" s="52">
        <f>IFERROR(IF(INDEX('Faculties'!$N$42:$N$51,MATCH($F229,'Faculties'!$B$42:$B$51,0))="","Cell will autofill based on response",INDEX('Faculties'!$N$42:$N$51,MATCH($F229,'Faculties'!$B$42:$B$51,0))),"N/A")</f>
        <v/>
      </c>
      <c r="K229" s="52">
        <f>IFERROR(IF(INDEX('Faculties'!$N$58:$N$67,MATCH($F229,'Faculties'!$B$58:$B$67,0))="","Cell will autofill based on response",INDEX('Faculties'!$N$58:$N$67,MATCH($F229,'Faculties'!$B$58:$B$67,0))),"N/A")</f>
        <v/>
      </c>
      <c r="L229" s="52">
        <f>IFERROR(IF(INDEX('CI&amp;S'!$N$10:$N$15,MATCH($F229,'CI&amp;S'!$B$10:$B$15,0))="","Cell will autofill based on response",INDEX('CI&amp;S'!$N$10:$N$15,MATCH($F229,'CI&amp;S'!$B$10:$B$15,0))),"N/A")</f>
        <v/>
      </c>
      <c r="M229" s="52">
        <f>IFERROR(IF(INDEX('CI&amp;S'!$N$22:$N$36,MATCH($F229,'CI&amp;S'!$B$22:$B$36,0))="","Cell will autofill based on response",INDEX('CI&amp;S'!$N$22:$N$36,MATCH($F229,'CI&amp;S'!$B$22:$B$36,0))),"N/A")</f>
        <v/>
      </c>
      <c r="N229" s="52">
        <f>IFERROR(IF(INDEX('CFOG'!$N$10:$N$16,MATCH($F229,'CFOG'!$B$10:$B$16,0))="","Cell will autofill based on response",INDEX('CFOG'!$N$10:$N$16,MATCH($F229,'CFOG'!$B$10:$B$16,0))),"N/A")</f>
        <v/>
      </c>
      <c r="O229" s="52">
        <f>IFERROR(IF(INDEX('CFOG'!$N$23:$N$24,MATCH($F229,'CFOG'!$B$23:$B$24,0))="","Cell will autofill based on response",INDEX('CFOG'!$N$23:$N$24,MATCH($F229,'CFOG'!$B$23:$B$24,0))),"N/A")</f>
        <v/>
      </c>
      <c r="P229" s="52">
        <f>IFERROR(IF(INDEX('ESG'!$N$10:$N$17,MATCH($F229,'ESG'!$B$10:$B$17,0))="","Cell will autofill based on response",INDEX('ESG'!$N$10:$N$17,MATCH($F229,'ESG'!$B$10:$B$17,0))),"N/A")</f>
        <v/>
      </c>
      <c r="Q229" s="52">
        <f>IFERROR(IF(INDEX('CIOG'!$N$10:$N$14,MATCH($F229,'CIOG'!$B$10:$B$14,0))="","Cell will autofill based on response",INDEX('CIOG'!$N$10:$N$14,MATCH($F229,'CIOG'!$B$10:$B$14,0))),"N/A")</f>
        <v/>
      </c>
      <c r="R229" s="52">
        <f>IFERROR(IF(INDEX('MRE'!$N$10:$N$18,MATCH($F229,'MRE'!$B$10:$B$18,0))="","Cell will autofill based on response",INDEX('MRE'!$N$10:$N$18,MATCH($F229,'MRE'!$B$10:$B$18,0))),"N/A")</f>
        <v/>
      </c>
      <c r="S229" s="52">
        <f>IFERROR(IF(INDEX('AC&amp;M'!$N$10:$N$14,MATCH($F229,'AC&amp;M'!$B$10:$B$14,0))="","Cell will autofill based on response",INDEX('AC&amp;M'!$N$10:$N$14,MATCH($F229,'AC&amp;M'!$B$10:$B$14,0))),"N/A")</f>
        <v/>
      </c>
      <c r="T229" s="52">
        <f>IFERROR(IF(INDEX('GCE'!$N$10:$N$12,MATCH($F229,'GCE'!$B$10:$B$12,0))="","Cell will autofill based on response",INDEX('GCE'!$N$10:$N$12,MATCH($F229,'GCE'!$B$10:$B$12,0))),"N/A")</f>
        <v/>
      </c>
      <c r="U229" s="52">
        <f>IFERROR(IF(INDEX('Education'!$N$10:$N$13,MATCH($F229,'Education'!$B$10:$B$13,0))="","Cell will autofill based on response",INDEX('Education'!$N$10:$N$13,MATCH($F229,'Education'!$B$10:$B$13,0))),"N/A")</f>
        <v/>
      </c>
      <c r="V229" s="52">
        <f>IFERROR(IF(INDEX('SaSS'!$N$10:$N$12,MATCH($F229,'SaSS'!$B$10:$B$12,0))="","Cell will autofill based on response",INDEX('SaSS'!$N$10:$N$12,MATCH($F229,'SaSS'!$B$10:$B$12,0))),"N/A")</f>
        <v/>
      </c>
      <c r="W229" s="52">
        <f>IFERROR(IF(INDEX('Indigenous'!$N$10:$N$11,MATCH($F229,'Indigenous'!$B$10:$B$11,0))="","Cell will autofill based on response",INDEX('Indigenous'!$N$10:$N$11,MATCH($F229,'Indigenous'!$B$10:$B$11,0))),"N/A")</f>
        <v/>
      </c>
      <c r="X229" s="52">
        <f>IFERROR(IF(INDEX('L&amp;R'!$N$10:$N$11,MATCH($F229,'L&amp;R'!$B$10:$B$11,0))="","Cell will autofill based on response",INDEX('L&amp;R'!$N$10:$N$11,MATCH($F229,'L&amp;R'!$B$10:$B$11,0))),"N/A")</f>
        <v/>
      </c>
    </row>
    <row r="230">
      <c r="A230">
        <f>F230&amp;"|"&amp;G230</f>
        <v/>
      </c>
      <c r="B230" s="13" t="inlineStr"/>
      <c r="C230" s="8" t="inlineStr"/>
      <c r="D230" s="8" t="inlineStr"/>
      <c r="E230" s="8" t="inlineStr"/>
      <c r="F230" s="8" t="inlineStr">
        <is>
          <t>EN1(c)</t>
        </is>
      </c>
      <c r="G230" s="8" t="inlineStr">
        <is>
          <t>Supporting information/comments</t>
        </is>
      </c>
      <c r="H230" s="52">
        <f>IFERROR(IF(INDEX('Faculties'!$O$10:$O$19,MATCH($F230,'Faculties'!$B$10:$B$19,0))="","Cell will autofill based on response",INDEX('Faculties'!$O$10:$O$19,MATCH($F230,'Faculties'!$B$10:$B$19,0))),"N/A")</f>
        <v/>
      </c>
      <c r="I230" s="52">
        <f>IFERROR(IF(INDEX('Faculties'!$O$26:$O$35,MATCH($F230,'Faculties'!$B$26:$B$35,0))="","Cell will autofill based on response",INDEX('Faculties'!$O$26:$O$35,MATCH($F230,'Faculties'!$B$26:$B$35,0))),"N/A")</f>
        <v/>
      </c>
      <c r="J230" s="52">
        <f>IFERROR(IF(INDEX('Faculties'!$O$42:$O$51,MATCH($F230,'Faculties'!$B$42:$B$51,0))="","Cell will autofill based on response",INDEX('Faculties'!$O$42:$O$51,MATCH($F230,'Faculties'!$B$42:$B$51,0))),"N/A")</f>
        <v/>
      </c>
      <c r="K230" s="52">
        <f>IFERROR(IF(INDEX('Faculties'!$O$58:$O$67,MATCH($F230,'Faculties'!$B$58:$B$67,0))="","Cell will autofill based on response",INDEX('Faculties'!$O$58:$O$67,MATCH($F230,'Faculties'!$B$58:$B$67,0))),"N/A")</f>
        <v/>
      </c>
      <c r="L230" s="52">
        <f>IFERROR(IF(INDEX('CI&amp;S'!$O$10:$O$15,MATCH($F230,'CI&amp;S'!$B$10:$B$15,0))="","Cell will autofill based on response",INDEX('CI&amp;S'!$O$10:$O$15,MATCH($F230,'CI&amp;S'!$B$10:$B$15,0))),"N/A")</f>
        <v/>
      </c>
      <c r="M230" s="52">
        <f>IFERROR(IF(INDEX('CI&amp;S'!$O$22:$O$36,MATCH($F230,'CI&amp;S'!$B$22:$B$36,0))="","Cell will autofill based on response",INDEX('CI&amp;S'!$O$22:$O$36,MATCH($F230,'CI&amp;S'!$B$22:$B$36,0))),"N/A")</f>
        <v/>
      </c>
      <c r="N230" s="52">
        <f>IFERROR(IF(INDEX('CFOG'!$O$10:$O$16,MATCH($F230,'CFOG'!$B$10:$B$16,0))="","Cell will autofill based on response",INDEX('CFOG'!$O$10:$O$16,MATCH($F230,'CFOG'!$B$10:$B$16,0))),"N/A")</f>
        <v/>
      </c>
      <c r="O230" s="52">
        <f>IFERROR(IF(INDEX('CFOG'!$O$23:$O$24,MATCH($F230,'CFOG'!$B$23:$B$24,0))="","Cell will autofill based on response",INDEX('CFOG'!$O$23:$O$24,MATCH($F230,'CFOG'!$B$23:$B$24,0))),"N/A")</f>
        <v/>
      </c>
      <c r="P230" s="52">
        <f>IFERROR(IF(INDEX('ESG'!$O$10:$O$17,MATCH($F230,'ESG'!$B$10:$B$17,0))="","Cell will autofill based on response",INDEX('ESG'!$O$10:$O$17,MATCH($F230,'ESG'!$B$10:$B$17,0))),"N/A")</f>
        <v/>
      </c>
      <c r="Q230" s="52">
        <f>IFERROR(IF(INDEX('CIOG'!$O$10:$O$14,MATCH($F230,'CIOG'!$B$10:$B$14,0))="","Cell will autofill based on response",INDEX('CIOG'!$O$10:$O$14,MATCH($F230,'CIOG'!$B$10:$B$14,0))),"N/A")</f>
        <v/>
      </c>
      <c r="R230" s="52">
        <f>IFERROR(IF(INDEX('MRE'!$O$10:$O$18,MATCH($F230,'MRE'!$B$10:$B$18,0))="","Cell will autofill based on response",INDEX('MRE'!$O$10:$O$18,MATCH($F230,'MRE'!$B$10:$B$18,0))),"N/A")</f>
        <v/>
      </c>
      <c r="S230" s="52">
        <f>IFERROR(IF(INDEX('AC&amp;M'!$O$10:$O$14,MATCH($F230,'AC&amp;M'!$B$10:$B$14,0))="","Cell will autofill based on response",INDEX('AC&amp;M'!$O$10:$O$14,MATCH($F230,'AC&amp;M'!$B$10:$B$14,0))),"N/A")</f>
        <v/>
      </c>
      <c r="T230" s="52">
        <f>IFERROR(IF(INDEX('GCE'!$O$10:$O$12,MATCH($F230,'GCE'!$B$10:$B$12,0))="","Cell will autofill based on response",INDEX('GCE'!$O$10:$O$12,MATCH($F230,'GCE'!$B$10:$B$12,0))),"N/A")</f>
        <v/>
      </c>
      <c r="U230" s="52">
        <f>IFERROR(IF(INDEX('Education'!$O$10:$O$13,MATCH($F230,'Education'!$B$10:$B$13,0))="","Cell will autofill based on response",INDEX('Education'!$O$10:$O$13,MATCH($F230,'Education'!$B$10:$B$13,0))),"N/A")</f>
        <v/>
      </c>
      <c r="V230" s="52">
        <f>IFERROR(IF(INDEX('SaSS'!$O$10:$O$12,MATCH($F230,'SaSS'!$B$10:$B$12,0))="","Cell will autofill based on response",INDEX('SaSS'!$O$10:$O$12,MATCH($F230,'SaSS'!$B$10:$B$12,0))),"N/A")</f>
        <v/>
      </c>
      <c r="W230" s="52">
        <f>IFERROR(IF(INDEX('Indigenous'!$O$10:$O$11,MATCH($F230,'Indigenous'!$B$10:$B$11,0))="","Cell will autofill based on response",INDEX('Indigenous'!$O$10:$O$11,MATCH($F230,'Indigenous'!$B$10:$B$11,0))),"N/A")</f>
        <v/>
      </c>
      <c r="X230" s="52">
        <f>IFERROR(IF(INDEX('L&amp;R'!$O$10:$O$11,MATCH($F230,'L&amp;R'!$B$10:$B$11,0))="","Cell will autofill based on response",INDEX('L&amp;R'!$O$10:$O$11,MATCH($F230,'L&amp;R'!$B$10:$B$11,0))),"N/A")</f>
        <v/>
      </c>
    </row>
    <row r="231">
      <c r="A231">
        <f>F231&amp;"|"&amp;G231</f>
        <v/>
      </c>
      <c r="B231" s="13" t="inlineStr"/>
      <c r="C231" s="8" t="inlineStr"/>
      <c r="D231" s="8" t="inlineStr"/>
      <c r="E231" s="8" t="inlineStr"/>
      <c r="F231" s="8" t="inlineStr">
        <is>
          <t>EN1(c)</t>
        </is>
      </c>
      <c r="G231" s="8" t="inlineStr">
        <is>
          <t>Data source and limitations</t>
        </is>
      </c>
      <c r="H231" s="52">
        <f>IFERROR(IF(INDEX('Faculties'!$P$10:$P$19,MATCH($F231,'Faculties'!$B$10:$B$19,0))="","Cell will autofill based on response",INDEX('Faculties'!$P$10:$P$19,MATCH($F231,'Faculties'!$B$10:$B$19,0))),"N/A")</f>
        <v/>
      </c>
      <c r="I231" s="52">
        <f>IFERROR(IF(INDEX('Faculties'!$P$26:$P$35,MATCH($F231,'Faculties'!$B$26:$B$35,0))="","Cell will autofill based on response",INDEX('Faculties'!$P$26:$P$35,MATCH($F231,'Faculties'!$B$26:$B$35,0))),"N/A")</f>
        <v/>
      </c>
      <c r="J231" s="52">
        <f>IFERROR(IF(INDEX('Faculties'!$P$42:$P$51,MATCH($F231,'Faculties'!$B$42:$B$51,0))="","Cell will autofill based on response",INDEX('Faculties'!$P$42:$P$51,MATCH($F231,'Faculties'!$B$42:$B$51,0))),"N/A")</f>
        <v/>
      </c>
      <c r="K231" s="52">
        <f>IFERROR(IF(INDEX('Faculties'!$P$58:$P$67,MATCH($F231,'Faculties'!$B$58:$B$67,0))="","Cell will autofill based on response",INDEX('Faculties'!$P$58:$P$67,MATCH($F231,'Faculties'!$B$58:$B$67,0))),"N/A")</f>
        <v/>
      </c>
      <c r="L231" s="52">
        <f>IFERROR(IF(INDEX('CI&amp;S'!$P$10:$P$15,MATCH($F231,'CI&amp;S'!$B$10:$B$15,0))="","Cell will autofill based on response",INDEX('CI&amp;S'!$P$10:$P$15,MATCH($F231,'CI&amp;S'!$B$10:$B$15,0))),"N/A")</f>
        <v/>
      </c>
      <c r="M231" s="52">
        <f>IFERROR(IF(INDEX('CI&amp;S'!$P$22:$P$36,MATCH($F231,'CI&amp;S'!$B$22:$B$36,0))="","Cell will autofill based on response",INDEX('CI&amp;S'!$P$22:$P$36,MATCH($F231,'CI&amp;S'!$B$22:$B$36,0))),"N/A")</f>
        <v/>
      </c>
      <c r="N231" s="52">
        <f>IFERROR(IF(INDEX('CFOG'!$P$10:$P$16,MATCH($F231,'CFOG'!$B$10:$B$16,0))="","Cell will autofill based on response",INDEX('CFOG'!$P$10:$P$16,MATCH($F231,'CFOG'!$B$10:$B$16,0))),"N/A")</f>
        <v/>
      </c>
      <c r="O231" s="52">
        <f>IFERROR(IF(INDEX('CFOG'!$P$23:$P$24,MATCH($F231,'CFOG'!$B$23:$B$24,0))="","Cell will autofill based on response",INDEX('CFOG'!$P$23:$P$24,MATCH($F231,'CFOG'!$B$23:$B$24,0))),"N/A")</f>
        <v/>
      </c>
      <c r="P231" s="52">
        <f>IFERROR(IF(INDEX('ESG'!$P$10:$P$17,MATCH($F231,'ESG'!$B$10:$B$17,0))="","Cell will autofill based on response",INDEX('ESG'!$P$10:$P$17,MATCH($F231,'ESG'!$B$10:$B$17,0))),"N/A")</f>
        <v/>
      </c>
      <c r="Q231" s="52">
        <f>IFERROR(IF(INDEX('CIOG'!$P$10:$P$14,MATCH($F231,'CIOG'!$B$10:$B$14,0))="","Cell will autofill based on response",INDEX('CIOG'!$P$10:$P$14,MATCH($F231,'CIOG'!$B$10:$B$14,0))),"N/A")</f>
        <v/>
      </c>
      <c r="R231" s="52">
        <f>IFERROR(IF(INDEX('MRE'!$P$10:$P$18,MATCH($F231,'MRE'!$B$10:$B$18,0))="","Cell will autofill based on response",INDEX('MRE'!$P$10:$P$18,MATCH($F231,'MRE'!$B$10:$B$18,0))),"N/A")</f>
        <v/>
      </c>
      <c r="S231" s="52">
        <f>IFERROR(IF(INDEX('AC&amp;M'!$P$10:$P$14,MATCH($F231,'AC&amp;M'!$B$10:$B$14,0))="","Cell will autofill based on response",INDEX('AC&amp;M'!$P$10:$P$14,MATCH($F231,'AC&amp;M'!$B$10:$B$14,0))),"N/A")</f>
        <v/>
      </c>
      <c r="T231" s="52">
        <f>IFERROR(IF(INDEX('GCE'!$P$10:$P$12,MATCH($F231,'GCE'!$B$10:$B$12,0))="","Cell will autofill based on response",INDEX('GCE'!$P$10:$P$12,MATCH($F231,'GCE'!$B$10:$B$12,0))),"N/A")</f>
        <v/>
      </c>
      <c r="U231" s="52">
        <f>IFERROR(IF(INDEX('Education'!$P$10:$P$13,MATCH($F231,'Education'!$B$10:$B$13,0))="","Cell will autofill based on response",INDEX('Education'!$P$10:$P$13,MATCH($F231,'Education'!$B$10:$B$13,0))),"N/A")</f>
        <v/>
      </c>
      <c r="V231" s="52">
        <f>IFERROR(IF(INDEX('SaSS'!$P$10:$P$12,MATCH($F231,'SaSS'!$B$10:$B$12,0))="","Cell will autofill based on response",INDEX('SaSS'!$P$10:$P$12,MATCH($F231,'SaSS'!$B$10:$B$12,0))),"N/A")</f>
        <v/>
      </c>
      <c r="W231" s="52">
        <f>IFERROR(IF(INDEX('Indigenous'!$P$10:$P$11,MATCH($F231,'Indigenous'!$B$10:$B$11,0))="","Cell will autofill based on response",INDEX('Indigenous'!$P$10:$P$11,MATCH($F231,'Indigenous'!$B$10:$B$11,0))),"N/A")</f>
        <v/>
      </c>
      <c r="X231" s="52">
        <f>IFERROR(IF(INDEX('L&amp;R'!$P$10:$P$11,MATCH($F231,'L&amp;R'!$B$10:$B$11,0))="","Cell will autofill based on response",INDEX('L&amp;R'!$P$10:$P$11,MATCH($F231,'L&amp;R'!$B$10:$B$11,0))),"N/A")</f>
        <v/>
      </c>
    </row>
    <row r="232">
      <c r="A232">
        <f>F232&amp;"|"&amp;G232</f>
        <v/>
      </c>
      <c r="B232" s="13" t="inlineStr"/>
      <c r="C232" s="8" t="inlineStr"/>
      <c r="D232" s="8" t="inlineStr"/>
      <c r="E232" s="8" t="inlineStr"/>
      <c r="F232" s="8" t="inlineStr">
        <is>
          <t>EN1(c)</t>
        </is>
      </c>
      <c r="G232" s="8" t="inlineStr">
        <is>
          <t>Data owner confirms</t>
        </is>
      </c>
      <c r="H232" s="52">
        <f>IFERROR(IF(INDEX('Faculties'!$Q$10:$Q$19,MATCH($F232,'Faculties'!$B$10:$B$19,0))="","Cell will autofill based on response",INDEX('Faculties'!$Q$10:$Q$19,MATCH($F232,'Faculties'!$B$10:$B$19,0))),"N/A")</f>
        <v/>
      </c>
      <c r="I232" s="52">
        <f>IFERROR(IF(INDEX('Faculties'!$Q$26:$Q$35,MATCH($F232,'Faculties'!$B$26:$B$35,0))="","Cell will autofill based on response",INDEX('Faculties'!$Q$26:$Q$35,MATCH($F232,'Faculties'!$B$26:$B$35,0))),"N/A")</f>
        <v/>
      </c>
      <c r="J232" s="52">
        <f>IFERROR(IF(INDEX('Faculties'!$Q$42:$Q$51,MATCH($F232,'Faculties'!$B$42:$B$51,0))="","Cell will autofill based on response",INDEX('Faculties'!$Q$42:$Q$51,MATCH($F232,'Faculties'!$B$42:$B$51,0))),"N/A")</f>
        <v/>
      </c>
      <c r="K232" s="52">
        <f>IFERROR(IF(INDEX('Faculties'!$Q$58:$Q$67,MATCH($F232,'Faculties'!$B$58:$B$67,0))="","Cell will autofill based on response",INDEX('Faculties'!$Q$58:$Q$67,MATCH($F232,'Faculties'!$B$58:$B$67,0))),"N/A")</f>
        <v/>
      </c>
      <c r="L232" s="52">
        <f>IFERROR(IF(INDEX('CI&amp;S'!$Q$10:$Q$15,MATCH($F232,'CI&amp;S'!$B$10:$B$15,0))="","Cell will autofill based on response",INDEX('CI&amp;S'!$Q$10:$Q$15,MATCH($F232,'CI&amp;S'!$B$10:$B$15,0))),"N/A")</f>
        <v/>
      </c>
      <c r="M232" s="52">
        <f>IFERROR(IF(INDEX('CI&amp;S'!$Q$22:$Q$36,MATCH($F232,'CI&amp;S'!$B$22:$B$36,0))="","Cell will autofill based on response",INDEX('CI&amp;S'!$Q$22:$Q$36,MATCH($F232,'CI&amp;S'!$B$22:$B$36,0))),"N/A")</f>
        <v/>
      </c>
      <c r="N232" s="52">
        <f>IFERROR(IF(INDEX('CFOG'!$Q$10:$Q$16,MATCH($F232,'CFOG'!$B$10:$B$16,0))="","Cell will autofill based on response",INDEX('CFOG'!$Q$10:$Q$16,MATCH($F232,'CFOG'!$B$10:$B$16,0))),"N/A")</f>
        <v/>
      </c>
      <c r="O232" s="52">
        <f>IFERROR(IF(INDEX('CFOG'!$Q$23:$Q$24,MATCH($F232,'CFOG'!$B$23:$B$24,0))="","Cell will autofill based on response",INDEX('CFOG'!$Q$23:$Q$24,MATCH($F232,'CFOG'!$B$23:$B$24,0))),"N/A")</f>
        <v/>
      </c>
      <c r="P232" s="52">
        <f>IFERROR(IF(INDEX('ESG'!$Q$10:$Q$17,MATCH($F232,'ESG'!$B$10:$B$17,0))="","Cell will autofill based on response",INDEX('ESG'!$Q$10:$Q$17,MATCH($F232,'ESG'!$B$10:$B$17,0))),"N/A")</f>
        <v/>
      </c>
      <c r="Q232" s="52">
        <f>IFERROR(IF(INDEX('CIOG'!$Q$10:$Q$14,MATCH($F232,'CIOG'!$B$10:$B$14,0))="","Cell will autofill based on response",INDEX('CIOG'!$Q$10:$Q$14,MATCH($F232,'CIOG'!$B$10:$B$14,0))),"N/A")</f>
        <v/>
      </c>
      <c r="R232" s="52">
        <f>IFERROR(IF(INDEX('MRE'!$Q$10:$Q$18,MATCH($F232,'MRE'!$B$10:$B$18,0))="","Cell will autofill based on response",INDEX('MRE'!$Q$10:$Q$18,MATCH($F232,'MRE'!$B$10:$B$18,0))),"N/A")</f>
        <v/>
      </c>
      <c r="S232" s="52">
        <f>IFERROR(IF(INDEX('AC&amp;M'!$Q$10:$Q$14,MATCH($F232,'AC&amp;M'!$B$10:$B$14,0))="","Cell will autofill based on response",INDEX('AC&amp;M'!$Q$10:$Q$14,MATCH($F232,'AC&amp;M'!$B$10:$B$14,0))),"N/A")</f>
        <v/>
      </c>
      <c r="T232" s="52">
        <f>IFERROR(IF(INDEX('GCE'!$Q$10:$Q$12,MATCH($F232,'GCE'!$B$10:$B$12,0))="","Cell will autofill based on response",INDEX('GCE'!$Q$10:$Q$12,MATCH($F232,'GCE'!$B$10:$B$12,0))),"N/A")</f>
        <v/>
      </c>
      <c r="U232" s="52">
        <f>IFERROR(IF(INDEX('Education'!$Q$10:$Q$13,MATCH($F232,'Education'!$B$10:$B$13,0))="","Cell will autofill based on response",INDEX('Education'!$Q$10:$Q$13,MATCH($F232,'Education'!$B$10:$B$13,0))),"N/A")</f>
        <v/>
      </c>
      <c r="V232" s="52">
        <f>IFERROR(IF(INDEX('SaSS'!$Q$10:$Q$12,MATCH($F232,'SaSS'!$B$10:$B$12,0))="","Cell will autofill based on response",INDEX('SaSS'!$Q$10:$Q$12,MATCH($F232,'SaSS'!$B$10:$B$12,0))),"N/A")</f>
        <v/>
      </c>
      <c r="W232" s="52">
        <f>IFERROR(IF(INDEX('Indigenous'!$Q$10:$Q$11,MATCH($F232,'Indigenous'!$B$10:$B$11,0))="","Cell will autofill based on response",INDEX('Indigenous'!$Q$10:$Q$11,MATCH($F232,'Indigenous'!$B$10:$B$11,0))),"N/A")</f>
        <v/>
      </c>
      <c r="X232" s="52">
        <f>IFERROR(IF(INDEX('L&amp;R'!$Q$10:$Q$11,MATCH($F232,'L&amp;R'!$B$10:$B$11,0))="","Cell will autofill based on response",INDEX('L&amp;R'!$Q$10:$Q$11,MATCH($F232,'L&amp;R'!$B$10:$B$11,0))),"N/A")</f>
        <v/>
      </c>
    </row>
    <row r="233">
      <c r="A233">
        <f>F233&amp;"|"&amp;G233</f>
        <v/>
      </c>
      <c r="B233" s="7" t="inlineStr">
        <is>
          <t>EN1(d)</t>
        </is>
      </c>
      <c r="C233" s="50" t="inlineStr">
        <is>
          <t>Enablers</t>
        </is>
      </c>
      <c r="D233" s="50" t="inlineStr">
        <is>
          <t>Sustainability objectives integrated into governance and decision‑making processes, supported by transparent reporting.</t>
        </is>
      </c>
      <c r="E233" s="50"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233" s="50" t="inlineStr">
        <is>
          <t>EN1(d)</t>
        </is>
      </c>
      <c r="G233" s="50" t="inlineStr">
        <is>
          <t>Confirm end-2026 target status</t>
        </is>
      </c>
      <c r="H233" s="52">
        <f>IFERROR(IF(INDEX('Faculties'!$L$10:$L$19,MATCH($F233,'Faculties'!$B$10:$B$19,0))="","Cell will autofill based on response",INDEX('Faculties'!$L$10:$L$19,MATCH($F233,'Faculties'!$B$10:$B$19,0))),"N/A")</f>
        <v/>
      </c>
      <c r="I233" s="52">
        <f>IFERROR(IF(INDEX('Faculties'!$L$26:$L$35,MATCH($F233,'Faculties'!$B$26:$B$35,0))="","Cell will autofill based on response",INDEX('Faculties'!$L$26:$L$35,MATCH($F233,'Faculties'!$B$26:$B$35,0))),"N/A")</f>
        <v/>
      </c>
      <c r="J233" s="52">
        <f>IFERROR(IF(INDEX('Faculties'!$L$42:$L$51,MATCH($F233,'Faculties'!$B$42:$B$51,0))="","Cell will autofill based on response",INDEX('Faculties'!$L$42:$L$51,MATCH($F233,'Faculties'!$B$42:$B$51,0))),"N/A")</f>
        <v/>
      </c>
      <c r="K233" s="52">
        <f>IFERROR(IF(INDEX('Faculties'!$L$58:$L$67,MATCH($F233,'Faculties'!$B$58:$B$67,0))="","Cell will autofill based on response",INDEX('Faculties'!$L$58:$L$67,MATCH($F233,'Faculties'!$B$58:$B$67,0))),"N/A")</f>
        <v/>
      </c>
      <c r="L233" s="52">
        <f>IFERROR(IF(INDEX('CI&amp;S'!$L$10:$L$15,MATCH($F233,'CI&amp;S'!$B$10:$B$15,0))="","Cell will autofill based on response",INDEX('CI&amp;S'!$L$10:$L$15,MATCH($F233,'CI&amp;S'!$B$10:$B$15,0))),"N/A")</f>
        <v/>
      </c>
      <c r="M233" s="52">
        <f>IFERROR(IF(INDEX('CI&amp;S'!$L$22:$L$36,MATCH($F233,'CI&amp;S'!$B$22:$B$36,0))="","Cell will autofill based on response",INDEX('CI&amp;S'!$L$22:$L$36,MATCH($F233,'CI&amp;S'!$B$22:$B$36,0))),"N/A")</f>
        <v/>
      </c>
      <c r="N233" s="52">
        <f>IFERROR(IF(INDEX('CFOG'!$L$10:$L$16,MATCH($F233,'CFOG'!$B$10:$B$16,0))="","Cell will autofill based on response",INDEX('CFOG'!$L$10:$L$16,MATCH($F233,'CFOG'!$B$10:$B$16,0))),"N/A")</f>
        <v/>
      </c>
      <c r="O233" s="52">
        <f>IFERROR(IF(INDEX('CFOG'!$L$23:$L$24,MATCH($F233,'CFOG'!$B$23:$B$24,0))="","Cell will autofill based on response",INDEX('CFOG'!$L$23:$L$24,MATCH($F233,'CFOG'!$B$23:$B$24,0))),"N/A")</f>
        <v/>
      </c>
      <c r="P233" s="52">
        <f>IFERROR(IF(INDEX('ESG'!$L$10:$L$17,MATCH($F233,'ESG'!$B$10:$B$17,0))="","Cell will autofill based on response",INDEX('ESG'!$L$10:$L$17,MATCH($F233,'ESG'!$B$10:$B$17,0))),"N/A")</f>
        <v/>
      </c>
      <c r="Q233" s="52">
        <f>IFERROR(IF(INDEX('CIOG'!$L$10:$L$14,MATCH($F233,'CIOG'!$B$10:$B$14,0))="","Cell will autofill based on response",INDEX('CIOG'!$L$10:$L$14,MATCH($F233,'CIOG'!$B$10:$B$14,0))),"N/A")</f>
        <v/>
      </c>
      <c r="R233" s="52">
        <f>IFERROR(IF(INDEX('MRE'!$L$10:$L$18,MATCH($F233,'MRE'!$B$10:$B$18,0))="","Cell will autofill based on response",INDEX('MRE'!$L$10:$L$18,MATCH($F233,'MRE'!$B$10:$B$18,0))),"N/A")</f>
        <v/>
      </c>
      <c r="S233" s="52">
        <f>IFERROR(IF(INDEX('AC&amp;M'!$L$10:$L$14,MATCH($F233,'AC&amp;M'!$B$10:$B$14,0))="","Cell will autofill based on response",INDEX('AC&amp;M'!$L$10:$L$14,MATCH($F233,'AC&amp;M'!$B$10:$B$14,0))),"N/A")</f>
        <v/>
      </c>
      <c r="T233" s="52">
        <f>IFERROR(IF(INDEX('GCE'!$L$10:$L$12,MATCH($F233,'GCE'!$B$10:$B$12,0))="","Cell will autofill based on response",INDEX('GCE'!$L$10:$L$12,MATCH($F233,'GCE'!$B$10:$B$12,0))),"N/A")</f>
        <v/>
      </c>
      <c r="U233" s="52">
        <f>IFERROR(IF(INDEX('Education'!$L$10:$L$13,MATCH($F233,'Education'!$B$10:$B$13,0))="","Cell will autofill based on response",INDEX('Education'!$L$10:$L$13,MATCH($F233,'Education'!$B$10:$B$13,0))),"N/A")</f>
        <v/>
      </c>
      <c r="V233" s="52">
        <f>IFERROR(IF(INDEX('SaSS'!$L$10:$L$12,MATCH($F233,'SaSS'!$B$10:$B$12,0))="","Cell will autofill based on response",INDEX('SaSS'!$L$10:$L$12,MATCH($F233,'SaSS'!$B$10:$B$12,0))),"N/A")</f>
        <v/>
      </c>
      <c r="W233" s="52">
        <f>IFERROR(IF(INDEX('Indigenous'!$L$10:$L$11,MATCH($F233,'Indigenous'!$B$10:$B$11,0))="","Cell will autofill based on response",INDEX('Indigenous'!$L$10:$L$11,MATCH($F233,'Indigenous'!$B$10:$B$11,0))),"N/A")</f>
        <v/>
      </c>
      <c r="X233" s="52">
        <f>IFERROR(IF(INDEX('L&amp;R'!$L$10:$L$11,MATCH($F233,'L&amp;R'!$B$10:$B$11,0))="","Cell will autofill based on response",INDEX('L&amp;R'!$L$10:$L$11,MATCH($F233,'L&amp;R'!$B$10:$B$11,0))),"N/A")</f>
        <v/>
      </c>
      <c r="Z233" s="10">
        <f>COUNTIF($H233:$X233,"Cell will autofill based on response")</f>
        <v/>
      </c>
      <c r="AA233" s="10">
        <f>COUNTIF($H233:$X233,"Not yet started")</f>
        <v/>
      </c>
      <c r="AB233" s="10">
        <f>COUNTIF($H233:$X233,"Not met")</f>
        <v/>
      </c>
      <c r="AC233" s="10">
        <f>COUNTIF($H233:$X233,"Partially met")</f>
        <v/>
      </c>
      <c r="AD233" s="10">
        <f>COUNTIF($H233:$X233,"Met or exceeded")</f>
        <v/>
      </c>
      <c r="AE233" s="10">
        <f>3*AD233+2*AC233+AB233</f>
        <v/>
      </c>
      <c r="AF233" s="10">
        <f>AD233+AC233+AB233+AA233</f>
        <v/>
      </c>
      <c r="AG233" s="53">
        <f>IF(AF233&gt;0,AE233/AF233,"No valid responses to date")</f>
        <v/>
      </c>
      <c r="AH233" s="10">
        <f>IF(ISNUMBER(AG233),INDEX(Lists!$G$2:$G$5,MATCH(ROUND(AG233,0),Lists!$H$2:$H$5,0)),"")</f>
        <v/>
      </c>
      <c r="AI233" s="54">
        <f>IF(AF233&gt;0,AD233/AF233,"")</f>
        <v/>
      </c>
      <c r="AJ233" s="54">
        <f>IF(AF233&gt;0,(AD233+AC233)/AF233,"")</f>
        <v/>
      </c>
      <c r="AK233" s="10">
        <f>IF(AF233=0,"",IF(AI233&gt;0.75,"Met or exceeded",IF(AJ233&gt;=0.5,"Partially met","Not met")))</f>
        <v/>
      </c>
    </row>
    <row r="234">
      <c r="A234">
        <f>F234&amp;"|"&amp;G234</f>
        <v/>
      </c>
      <c r="B234" s="13" t="inlineStr"/>
      <c r="C234" s="8" t="inlineStr"/>
      <c r="D234" s="8" t="inlineStr"/>
      <c r="E234" s="8" t="inlineStr"/>
      <c r="F234" s="8" t="inlineStr">
        <is>
          <t>EN1(d)</t>
        </is>
      </c>
      <c r="G234" s="8" t="inlineStr">
        <is>
          <t>OPTION 1:  Target-level reporting</t>
        </is>
      </c>
      <c r="H234" s="52">
        <f>IFERROR(IF(INDEX('Faculties'!$M$10:$M$19,MATCH($F234,'Faculties'!$B$10:$B$19,0))="","Cell will autofill based on response",INDEX('Faculties'!$M$10:$M$19,MATCH($F234,'Faculties'!$B$10:$B$19,0))),"N/A")</f>
        <v/>
      </c>
      <c r="I234" s="52">
        <f>IFERROR(IF(INDEX('Faculties'!$M$26:$M$35,MATCH($F234,'Faculties'!$B$26:$B$35,0))="","Cell will autofill based on response",INDEX('Faculties'!$M$26:$M$35,MATCH($F234,'Faculties'!$B$26:$B$35,0))),"N/A")</f>
        <v/>
      </c>
      <c r="J234" s="52">
        <f>IFERROR(IF(INDEX('Faculties'!$M$42:$M$51,MATCH($F234,'Faculties'!$B$42:$B$51,0))="","Cell will autofill based on response",INDEX('Faculties'!$M$42:$M$51,MATCH($F234,'Faculties'!$B$42:$B$51,0))),"N/A")</f>
        <v/>
      </c>
      <c r="K234" s="52">
        <f>IFERROR(IF(INDEX('Faculties'!$M$58:$M$67,MATCH($F234,'Faculties'!$B$58:$B$67,0))="","Cell will autofill based on response",INDEX('Faculties'!$M$58:$M$67,MATCH($F234,'Faculties'!$B$58:$B$67,0))),"N/A")</f>
        <v/>
      </c>
      <c r="L234" s="52">
        <f>IFERROR(IF(INDEX('CI&amp;S'!$M$10:$M$15,MATCH($F234,'CI&amp;S'!$B$10:$B$15,0))="","Cell will autofill based on response",INDEX('CI&amp;S'!$M$10:$M$15,MATCH($F234,'CI&amp;S'!$B$10:$B$15,0))),"N/A")</f>
        <v/>
      </c>
      <c r="M234" s="52">
        <f>IFERROR(IF(INDEX('CI&amp;S'!$M$22:$M$36,MATCH($F234,'CI&amp;S'!$B$22:$B$36,0))="","Cell will autofill based on response",INDEX('CI&amp;S'!$M$22:$M$36,MATCH($F234,'CI&amp;S'!$B$22:$B$36,0))),"N/A")</f>
        <v/>
      </c>
      <c r="N234" s="52">
        <f>IFERROR(IF(INDEX('CFOG'!$M$10:$M$16,MATCH($F234,'CFOG'!$B$10:$B$16,0))="","Cell will autofill based on response",INDEX('CFOG'!$M$10:$M$16,MATCH($F234,'CFOG'!$B$10:$B$16,0))),"N/A")</f>
        <v/>
      </c>
      <c r="O234" s="52">
        <f>IFERROR(IF(INDEX('CFOG'!$M$23:$M$24,MATCH($F234,'CFOG'!$B$23:$B$24,0))="","Cell will autofill based on response",INDEX('CFOG'!$M$23:$M$24,MATCH($F234,'CFOG'!$B$23:$B$24,0))),"N/A")</f>
        <v/>
      </c>
      <c r="P234" s="52">
        <f>IFERROR(IF(INDEX('ESG'!$M$10:$M$17,MATCH($F234,'ESG'!$B$10:$B$17,0))="","Cell will autofill based on response",INDEX('ESG'!$M$10:$M$17,MATCH($F234,'ESG'!$B$10:$B$17,0))),"N/A")</f>
        <v/>
      </c>
      <c r="Q234" s="52">
        <f>IFERROR(IF(INDEX('CIOG'!$M$10:$M$14,MATCH($F234,'CIOG'!$B$10:$B$14,0))="","Cell will autofill based on response",INDEX('CIOG'!$M$10:$M$14,MATCH($F234,'CIOG'!$B$10:$B$14,0))),"N/A")</f>
        <v/>
      </c>
      <c r="R234" s="52">
        <f>IFERROR(IF(INDEX('MRE'!$M$10:$M$18,MATCH($F234,'MRE'!$B$10:$B$18,0))="","Cell will autofill based on response",INDEX('MRE'!$M$10:$M$18,MATCH($F234,'MRE'!$B$10:$B$18,0))),"N/A")</f>
        <v/>
      </c>
      <c r="S234" s="52">
        <f>IFERROR(IF(INDEX('AC&amp;M'!$M$10:$M$14,MATCH($F234,'AC&amp;M'!$B$10:$B$14,0))="","Cell will autofill based on response",INDEX('AC&amp;M'!$M$10:$M$14,MATCH($F234,'AC&amp;M'!$B$10:$B$14,0))),"N/A")</f>
        <v/>
      </c>
      <c r="T234" s="52">
        <f>IFERROR(IF(INDEX('GCE'!$M$10:$M$12,MATCH($F234,'GCE'!$B$10:$B$12,0))="","Cell will autofill based on response",INDEX('GCE'!$M$10:$M$12,MATCH($F234,'GCE'!$B$10:$B$12,0))),"N/A")</f>
        <v/>
      </c>
      <c r="U234" s="52">
        <f>IFERROR(IF(INDEX('Education'!$M$10:$M$13,MATCH($F234,'Education'!$B$10:$B$13,0))="","Cell will autofill based on response",INDEX('Education'!$M$10:$M$13,MATCH($F234,'Education'!$B$10:$B$13,0))),"N/A")</f>
        <v/>
      </c>
      <c r="V234" s="52">
        <f>IFERROR(IF(INDEX('SaSS'!$M$10:$M$12,MATCH($F234,'SaSS'!$B$10:$B$12,0))="","Cell will autofill based on response",INDEX('SaSS'!$M$10:$M$12,MATCH($F234,'SaSS'!$B$10:$B$12,0))),"N/A")</f>
        <v/>
      </c>
      <c r="W234" s="52">
        <f>IFERROR(IF(INDEX('Indigenous'!$M$10:$M$11,MATCH($F234,'Indigenous'!$B$10:$B$11,0))="","Cell will autofill based on response",INDEX('Indigenous'!$M$10:$M$11,MATCH($F234,'Indigenous'!$B$10:$B$11,0))),"N/A")</f>
        <v/>
      </c>
      <c r="X234" s="52">
        <f>IFERROR(IF(INDEX('L&amp;R'!$M$10:$M$11,MATCH($F234,'L&amp;R'!$B$10:$B$11,0))="","Cell will autofill based on response",INDEX('L&amp;R'!$M$10:$M$11,MATCH($F234,'L&amp;R'!$B$10:$B$11,0))),"N/A")</f>
        <v/>
      </c>
    </row>
    <row r="235">
      <c r="A235">
        <f>F235&amp;"|"&amp;G235</f>
        <v/>
      </c>
      <c r="B235" s="13" t="inlineStr"/>
      <c r="C235" s="8" t="inlineStr"/>
      <c r="D235" s="8" t="inlineStr"/>
      <c r="E235" s="8" t="inlineStr"/>
      <c r="F235" s="8" t="inlineStr">
        <is>
          <t>EN1(d)</t>
        </is>
      </c>
      <c r="G235" s="8" t="inlineStr">
        <is>
          <t>OPTION 2:  Indicator level reporting</t>
        </is>
      </c>
      <c r="H235" s="52">
        <f>IFERROR(IF(INDEX('Faculties'!$N$10:$N$19,MATCH($F235,'Faculties'!$B$10:$B$19,0))="","Cell will autofill based on response",INDEX('Faculties'!$N$10:$N$19,MATCH($F235,'Faculties'!$B$10:$B$19,0))),"N/A")</f>
        <v/>
      </c>
      <c r="I235" s="52">
        <f>IFERROR(IF(INDEX('Faculties'!$N$26:$N$35,MATCH($F235,'Faculties'!$B$26:$B$35,0))="","Cell will autofill based on response",INDEX('Faculties'!$N$26:$N$35,MATCH($F235,'Faculties'!$B$26:$B$35,0))),"N/A")</f>
        <v/>
      </c>
      <c r="J235" s="52">
        <f>IFERROR(IF(INDEX('Faculties'!$N$42:$N$51,MATCH($F235,'Faculties'!$B$42:$B$51,0))="","Cell will autofill based on response",INDEX('Faculties'!$N$42:$N$51,MATCH($F235,'Faculties'!$B$42:$B$51,0))),"N/A")</f>
        <v/>
      </c>
      <c r="K235" s="52">
        <f>IFERROR(IF(INDEX('Faculties'!$N$58:$N$67,MATCH($F235,'Faculties'!$B$58:$B$67,0))="","Cell will autofill based on response",INDEX('Faculties'!$N$58:$N$67,MATCH($F235,'Faculties'!$B$58:$B$67,0))),"N/A")</f>
        <v/>
      </c>
      <c r="L235" s="52">
        <f>IFERROR(IF(INDEX('CI&amp;S'!$N$10:$N$15,MATCH($F235,'CI&amp;S'!$B$10:$B$15,0))="","Cell will autofill based on response",INDEX('CI&amp;S'!$N$10:$N$15,MATCH($F235,'CI&amp;S'!$B$10:$B$15,0))),"N/A")</f>
        <v/>
      </c>
      <c r="M235" s="52">
        <f>IFERROR(IF(INDEX('CI&amp;S'!$N$22:$N$36,MATCH($F235,'CI&amp;S'!$B$22:$B$36,0))="","Cell will autofill based on response",INDEX('CI&amp;S'!$N$22:$N$36,MATCH($F235,'CI&amp;S'!$B$22:$B$36,0))),"N/A")</f>
        <v/>
      </c>
      <c r="N235" s="52">
        <f>IFERROR(IF(INDEX('CFOG'!$N$10:$N$16,MATCH($F235,'CFOG'!$B$10:$B$16,0))="","Cell will autofill based on response",INDEX('CFOG'!$N$10:$N$16,MATCH($F235,'CFOG'!$B$10:$B$16,0))),"N/A")</f>
        <v/>
      </c>
      <c r="O235" s="52">
        <f>IFERROR(IF(INDEX('CFOG'!$N$23:$N$24,MATCH($F235,'CFOG'!$B$23:$B$24,0))="","Cell will autofill based on response",INDEX('CFOG'!$N$23:$N$24,MATCH($F235,'CFOG'!$B$23:$B$24,0))),"N/A")</f>
        <v/>
      </c>
      <c r="P235" s="52">
        <f>IFERROR(IF(INDEX('ESG'!$N$10:$N$17,MATCH($F235,'ESG'!$B$10:$B$17,0))="","Cell will autofill based on response",INDEX('ESG'!$N$10:$N$17,MATCH($F235,'ESG'!$B$10:$B$17,0))),"N/A")</f>
        <v/>
      </c>
      <c r="Q235" s="52">
        <f>IFERROR(IF(INDEX('CIOG'!$N$10:$N$14,MATCH($F235,'CIOG'!$B$10:$B$14,0))="","Cell will autofill based on response",INDEX('CIOG'!$N$10:$N$14,MATCH($F235,'CIOG'!$B$10:$B$14,0))),"N/A")</f>
        <v/>
      </c>
      <c r="R235" s="52">
        <f>IFERROR(IF(INDEX('MRE'!$N$10:$N$18,MATCH($F235,'MRE'!$B$10:$B$18,0))="","Cell will autofill based on response",INDEX('MRE'!$N$10:$N$18,MATCH($F235,'MRE'!$B$10:$B$18,0))),"N/A")</f>
        <v/>
      </c>
      <c r="S235" s="52">
        <f>IFERROR(IF(INDEX('AC&amp;M'!$N$10:$N$14,MATCH($F235,'AC&amp;M'!$B$10:$B$14,0))="","Cell will autofill based on response",INDEX('AC&amp;M'!$N$10:$N$14,MATCH($F235,'AC&amp;M'!$B$10:$B$14,0))),"N/A")</f>
        <v/>
      </c>
      <c r="T235" s="52">
        <f>IFERROR(IF(INDEX('GCE'!$N$10:$N$12,MATCH($F235,'GCE'!$B$10:$B$12,0))="","Cell will autofill based on response",INDEX('GCE'!$N$10:$N$12,MATCH($F235,'GCE'!$B$10:$B$12,0))),"N/A")</f>
        <v/>
      </c>
      <c r="U235" s="52">
        <f>IFERROR(IF(INDEX('Education'!$N$10:$N$13,MATCH($F235,'Education'!$B$10:$B$13,0))="","Cell will autofill based on response",INDEX('Education'!$N$10:$N$13,MATCH($F235,'Education'!$B$10:$B$13,0))),"N/A")</f>
        <v/>
      </c>
      <c r="V235" s="52">
        <f>IFERROR(IF(INDEX('SaSS'!$N$10:$N$12,MATCH($F235,'SaSS'!$B$10:$B$12,0))="","Cell will autofill based on response",INDEX('SaSS'!$N$10:$N$12,MATCH($F235,'SaSS'!$B$10:$B$12,0))),"N/A")</f>
        <v/>
      </c>
      <c r="W235" s="52">
        <f>IFERROR(IF(INDEX('Indigenous'!$N$10:$N$11,MATCH($F235,'Indigenous'!$B$10:$B$11,0))="","Cell will autofill based on response",INDEX('Indigenous'!$N$10:$N$11,MATCH($F235,'Indigenous'!$B$10:$B$11,0))),"N/A")</f>
        <v/>
      </c>
      <c r="X235" s="52">
        <f>IFERROR(IF(INDEX('L&amp;R'!$N$10:$N$11,MATCH($F235,'L&amp;R'!$B$10:$B$11,0))="","Cell will autofill based on response",INDEX('L&amp;R'!$N$10:$N$11,MATCH($F235,'L&amp;R'!$B$10:$B$11,0))),"N/A")</f>
        <v/>
      </c>
    </row>
    <row r="236">
      <c r="A236">
        <f>F236&amp;"|"&amp;G236</f>
        <v/>
      </c>
      <c r="B236" s="13" t="inlineStr"/>
      <c r="C236" s="8" t="inlineStr"/>
      <c r="D236" s="8" t="inlineStr"/>
      <c r="E236" s="8" t="inlineStr"/>
      <c r="F236" s="8" t="inlineStr">
        <is>
          <t>EN1(d)</t>
        </is>
      </c>
      <c r="G236" s="8" t="inlineStr">
        <is>
          <t>Supporting information/comments</t>
        </is>
      </c>
      <c r="H236" s="52">
        <f>IFERROR(IF(INDEX('Faculties'!$O$10:$O$19,MATCH($F236,'Faculties'!$B$10:$B$19,0))="","Cell will autofill based on response",INDEX('Faculties'!$O$10:$O$19,MATCH($F236,'Faculties'!$B$10:$B$19,0))),"N/A")</f>
        <v/>
      </c>
      <c r="I236" s="52">
        <f>IFERROR(IF(INDEX('Faculties'!$O$26:$O$35,MATCH($F236,'Faculties'!$B$26:$B$35,0))="","Cell will autofill based on response",INDEX('Faculties'!$O$26:$O$35,MATCH($F236,'Faculties'!$B$26:$B$35,0))),"N/A")</f>
        <v/>
      </c>
      <c r="J236" s="52">
        <f>IFERROR(IF(INDEX('Faculties'!$O$42:$O$51,MATCH($F236,'Faculties'!$B$42:$B$51,0))="","Cell will autofill based on response",INDEX('Faculties'!$O$42:$O$51,MATCH($F236,'Faculties'!$B$42:$B$51,0))),"N/A")</f>
        <v/>
      </c>
      <c r="K236" s="52">
        <f>IFERROR(IF(INDEX('Faculties'!$O$58:$O$67,MATCH($F236,'Faculties'!$B$58:$B$67,0))="","Cell will autofill based on response",INDEX('Faculties'!$O$58:$O$67,MATCH($F236,'Faculties'!$B$58:$B$67,0))),"N/A")</f>
        <v/>
      </c>
      <c r="L236" s="52">
        <f>IFERROR(IF(INDEX('CI&amp;S'!$O$10:$O$15,MATCH($F236,'CI&amp;S'!$B$10:$B$15,0))="","Cell will autofill based on response",INDEX('CI&amp;S'!$O$10:$O$15,MATCH($F236,'CI&amp;S'!$B$10:$B$15,0))),"N/A")</f>
        <v/>
      </c>
      <c r="M236" s="52">
        <f>IFERROR(IF(INDEX('CI&amp;S'!$O$22:$O$36,MATCH($F236,'CI&amp;S'!$B$22:$B$36,0))="","Cell will autofill based on response",INDEX('CI&amp;S'!$O$22:$O$36,MATCH($F236,'CI&amp;S'!$B$22:$B$36,0))),"N/A")</f>
        <v/>
      </c>
      <c r="N236" s="52">
        <f>IFERROR(IF(INDEX('CFOG'!$O$10:$O$16,MATCH($F236,'CFOG'!$B$10:$B$16,0))="","Cell will autofill based on response",INDEX('CFOG'!$O$10:$O$16,MATCH($F236,'CFOG'!$B$10:$B$16,0))),"N/A")</f>
        <v/>
      </c>
      <c r="O236" s="52">
        <f>IFERROR(IF(INDEX('CFOG'!$O$23:$O$24,MATCH($F236,'CFOG'!$B$23:$B$24,0))="","Cell will autofill based on response",INDEX('CFOG'!$O$23:$O$24,MATCH($F236,'CFOG'!$B$23:$B$24,0))),"N/A")</f>
        <v/>
      </c>
      <c r="P236" s="52">
        <f>IFERROR(IF(INDEX('ESG'!$O$10:$O$17,MATCH($F236,'ESG'!$B$10:$B$17,0))="","Cell will autofill based on response",INDEX('ESG'!$O$10:$O$17,MATCH($F236,'ESG'!$B$10:$B$17,0))),"N/A")</f>
        <v/>
      </c>
      <c r="Q236" s="52">
        <f>IFERROR(IF(INDEX('CIOG'!$O$10:$O$14,MATCH($F236,'CIOG'!$B$10:$B$14,0))="","Cell will autofill based on response",INDEX('CIOG'!$O$10:$O$14,MATCH($F236,'CIOG'!$B$10:$B$14,0))),"N/A")</f>
        <v/>
      </c>
      <c r="R236" s="52">
        <f>IFERROR(IF(INDEX('MRE'!$O$10:$O$18,MATCH($F236,'MRE'!$B$10:$B$18,0))="","Cell will autofill based on response",INDEX('MRE'!$O$10:$O$18,MATCH($F236,'MRE'!$B$10:$B$18,0))),"N/A")</f>
        <v/>
      </c>
      <c r="S236" s="52">
        <f>IFERROR(IF(INDEX('AC&amp;M'!$O$10:$O$14,MATCH($F236,'AC&amp;M'!$B$10:$B$14,0))="","Cell will autofill based on response",INDEX('AC&amp;M'!$O$10:$O$14,MATCH($F236,'AC&amp;M'!$B$10:$B$14,0))),"N/A")</f>
        <v/>
      </c>
      <c r="T236" s="52">
        <f>IFERROR(IF(INDEX('GCE'!$O$10:$O$12,MATCH($F236,'GCE'!$B$10:$B$12,0))="","Cell will autofill based on response",INDEX('GCE'!$O$10:$O$12,MATCH($F236,'GCE'!$B$10:$B$12,0))),"N/A")</f>
        <v/>
      </c>
      <c r="U236" s="52">
        <f>IFERROR(IF(INDEX('Education'!$O$10:$O$13,MATCH($F236,'Education'!$B$10:$B$13,0))="","Cell will autofill based on response",INDEX('Education'!$O$10:$O$13,MATCH($F236,'Education'!$B$10:$B$13,0))),"N/A")</f>
        <v/>
      </c>
      <c r="V236" s="52">
        <f>IFERROR(IF(INDEX('SaSS'!$O$10:$O$12,MATCH($F236,'SaSS'!$B$10:$B$12,0))="","Cell will autofill based on response",INDEX('SaSS'!$O$10:$O$12,MATCH($F236,'SaSS'!$B$10:$B$12,0))),"N/A")</f>
        <v/>
      </c>
      <c r="W236" s="52">
        <f>IFERROR(IF(INDEX('Indigenous'!$O$10:$O$11,MATCH($F236,'Indigenous'!$B$10:$B$11,0))="","Cell will autofill based on response",INDEX('Indigenous'!$O$10:$O$11,MATCH($F236,'Indigenous'!$B$10:$B$11,0))),"N/A")</f>
        <v/>
      </c>
      <c r="X236" s="52">
        <f>IFERROR(IF(INDEX('L&amp;R'!$O$10:$O$11,MATCH($F236,'L&amp;R'!$B$10:$B$11,0))="","Cell will autofill based on response",INDEX('L&amp;R'!$O$10:$O$11,MATCH($F236,'L&amp;R'!$B$10:$B$11,0))),"N/A")</f>
        <v/>
      </c>
    </row>
    <row r="237">
      <c r="A237">
        <f>F237&amp;"|"&amp;G237</f>
        <v/>
      </c>
      <c r="B237" s="13" t="inlineStr"/>
      <c r="C237" s="8" t="inlineStr"/>
      <c r="D237" s="8" t="inlineStr"/>
      <c r="E237" s="8" t="inlineStr"/>
      <c r="F237" s="8" t="inlineStr">
        <is>
          <t>EN1(d)</t>
        </is>
      </c>
      <c r="G237" s="8" t="inlineStr">
        <is>
          <t>Data source and limitations</t>
        </is>
      </c>
      <c r="H237" s="52">
        <f>IFERROR(IF(INDEX('Faculties'!$P$10:$P$19,MATCH($F237,'Faculties'!$B$10:$B$19,0))="","Cell will autofill based on response",INDEX('Faculties'!$P$10:$P$19,MATCH($F237,'Faculties'!$B$10:$B$19,0))),"N/A")</f>
        <v/>
      </c>
      <c r="I237" s="52">
        <f>IFERROR(IF(INDEX('Faculties'!$P$26:$P$35,MATCH($F237,'Faculties'!$B$26:$B$35,0))="","Cell will autofill based on response",INDEX('Faculties'!$P$26:$P$35,MATCH($F237,'Faculties'!$B$26:$B$35,0))),"N/A")</f>
        <v/>
      </c>
      <c r="J237" s="52">
        <f>IFERROR(IF(INDEX('Faculties'!$P$42:$P$51,MATCH($F237,'Faculties'!$B$42:$B$51,0))="","Cell will autofill based on response",INDEX('Faculties'!$P$42:$P$51,MATCH($F237,'Faculties'!$B$42:$B$51,0))),"N/A")</f>
        <v/>
      </c>
      <c r="K237" s="52">
        <f>IFERROR(IF(INDEX('Faculties'!$P$58:$P$67,MATCH($F237,'Faculties'!$B$58:$B$67,0))="","Cell will autofill based on response",INDEX('Faculties'!$P$58:$P$67,MATCH($F237,'Faculties'!$B$58:$B$67,0))),"N/A")</f>
        <v/>
      </c>
      <c r="L237" s="52">
        <f>IFERROR(IF(INDEX('CI&amp;S'!$P$10:$P$15,MATCH($F237,'CI&amp;S'!$B$10:$B$15,0))="","Cell will autofill based on response",INDEX('CI&amp;S'!$P$10:$P$15,MATCH($F237,'CI&amp;S'!$B$10:$B$15,0))),"N/A")</f>
        <v/>
      </c>
      <c r="M237" s="52">
        <f>IFERROR(IF(INDEX('CI&amp;S'!$P$22:$P$36,MATCH($F237,'CI&amp;S'!$B$22:$B$36,0))="","Cell will autofill based on response",INDEX('CI&amp;S'!$P$22:$P$36,MATCH($F237,'CI&amp;S'!$B$22:$B$36,0))),"N/A")</f>
        <v/>
      </c>
      <c r="N237" s="52">
        <f>IFERROR(IF(INDEX('CFOG'!$P$10:$P$16,MATCH($F237,'CFOG'!$B$10:$B$16,0))="","Cell will autofill based on response",INDEX('CFOG'!$P$10:$P$16,MATCH($F237,'CFOG'!$B$10:$B$16,0))),"N/A")</f>
        <v/>
      </c>
      <c r="O237" s="52">
        <f>IFERROR(IF(INDEX('CFOG'!$P$23:$P$24,MATCH($F237,'CFOG'!$B$23:$B$24,0))="","Cell will autofill based on response",INDEX('CFOG'!$P$23:$P$24,MATCH($F237,'CFOG'!$B$23:$B$24,0))),"N/A")</f>
        <v/>
      </c>
      <c r="P237" s="52">
        <f>IFERROR(IF(INDEX('ESG'!$P$10:$P$17,MATCH($F237,'ESG'!$B$10:$B$17,0))="","Cell will autofill based on response",INDEX('ESG'!$P$10:$P$17,MATCH($F237,'ESG'!$B$10:$B$17,0))),"N/A")</f>
        <v/>
      </c>
      <c r="Q237" s="52">
        <f>IFERROR(IF(INDEX('CIOG'!$P$10:$P$14,MATCH($F237,'CIOG'!$B$10:$B$14,0))="","Cell will autofill based on response",INDEX('CIOG'!$P$10:$P$14,MATCH($F237,'CIOG'!$B$10:$B$14,0))),"N/A")</f>
        <v/>
      </c>
      <c r="R237" s="52">
        <f>IFERROR(IF(INDEX('MRE'!$P$10:$P$18,MATCH($F237,'MRE'!$B$10:$B$18,0))="","Cell will autofill based on response",INDEX('MRE'!$P$10:$P$18,MATCH($F237,'MRE'!$B$10:$B$18,0))),"N/A")</f>
        <v/>
      </c>
      <c r="S237" s="52">
        <f>IFERROR(IF(INDEX('AC&amp;M'!$P$10:$P$14,MATCH($F237,'AC&amp;M'!$B$10:$B$14,0))="","Cell will autofill based on response",INDEX('AC&amp;M'!$P$10:$P$14,MATCH($F237,'AC&amp;M'!$B$10:$B$14,0))),"N/A")</f>
        <v/>
      </c>
      <c r="T237" s="52">
        <f>IFERROR(IF(INDEX('GCE'!$P$10:$P$12,MATCH($F237,'GCE'!$B$10:$B$12,0))="","Cell will autofill based on response",INDEX('GCE'!$P$10:$P$12,MATCH($F237,'GCE'!$B$10:$B$12,0))),"N/A")</f>
        <v/>
      </c>
      <c r="U237" s="52">
        <f>IFERROR(IF(INDEX('Education'!$P$10:$P$13,MATCH($F237,'Education'!$B$10:$B$13,0))="","Cell will autofill based on response",INDEX('Education'!$P$10:$P$13,MATCH($F237,'Education'!$B$10:$B$13,0))),"N/A")</f>
        <v/>
      </c>
      <c r="V237" s="52">
        <f>IFERROR(IF(INDEX('SaSS'!$P$10:$P$12,MATCH($F237,'SaSS'!$B$10:$B$12,0))="","Cell will autofill based on response",INDEX('SaSS'!$P$10:$P$12,MATCH($F237,'SaSS'!$B$10:$B$12,0))),"N/A")</f>
        <v/>
      </c>
      <c r="W237" s="52">
        <f>IFERROR(IF(INDEX('Indigenous'!$P$10:$P$11,MATCH($F237,'Indigenous'!$B$10:$B$11,0))="","Cell will autofill based on response",INDEX('Indigenous'!$P$10:$P$11,MATCH($F237,'Indigenous'!$B$10:$B$11,0))),"N/A")</f>
        <v/>
      </c>
      <c r="X237" s="52">
        <f>IFERROR(IF(INDEX('L&amp;R'!$P$10:$P$11,MATCH($F237,'L&amp;R'!$B$10:$B$11,0))="","Cell will autofill based on response",INDEX('L&amp;R'!$P$10:$P$11,MATCH($F237,'L&amp;R'!$B$10:$B$11,0))),"N/A")</f>
        <v/>
      </c>
    </row>
    <row r="238">
      <c r="A238">
        <f>F238&amp;"|"&amp;G238</f>
        <v/>
      </c>
      <c r="B238" s="13" t="inlineStr"/>
      <c r="C238" s="8" t="inlineStr"/>
      <c r="D238" s="8" t="inlineStr"/>
      <c r="E238" s="8" t="inlineStr"/>
      <c r="F238" s="8" t="inlineStr">
        <is>
          <t>EN1(d)</t>
        </is>
      </c>
      <c r="G238" s="8" t="inlineStr">
        <is>
          <t>Data owner confirms</t>
        </is>
      </c>
      <c r="H238" s="52">
        <f>IFERROR(IF(INDEX('Faculties'!$Q$10:$Q$19,MATCH($F238,'Faculties'!$B$10:$B$19,0))="","Cell will autofill based on response",INDEX('Faculties'!$Q$10:$Q$19,MATCH($F238,'Faculties'!$B$10:$B$19,0))),"N/A")</f>
        <v/>
      </c>
      <c r="I238" s="52">
        <f>IFERROR(IF(INDEX('Faculties'!$Q$26:$Q$35,MATCH($F238,'Faculties'!$B$26:$B$35,0))="","Cell will autofill based on response",INDEX('Faculties'!$Q$26:$Q$35,MATCH($F238,'Faculties'!$B$26:$B$35,0))),"N/A")</f>
        <v/>
      </c>
      <c r="J238" s="52">
        <f>IFERROR(IF(INDEX('Faculties'!$Q$42:$Q$51,MATCH($F238,'Faculties'!$B$42:$B$51,0))="","Cell will autofill based on response",INDEX('Faculties'!$Q$42:$Q$51,MATCH($F238,'Faculties'!$B$42:$B$51,0))),"N/A")</f>
        <v/>
      </c>
      <c r="K238" s="52">
        <f>IFERROR(IF(INDEX('Faculties'!$Q$58:$Q$67,MATCH($F238,'Faculties'!$B$58:$B$67,0))="","Cell will autofill based on response",INDEX('Faculties'!$Q$58:$Q$67,MATCH($F238,'Faculties'!$B$58:$B$67,0))),"N/A")</f>
        <v/>
      </c>
      <c r="L238" s="52">
        <f>IFERROR(IF(INDEX('CI&amp;S'!$Q$10:$Q$15,MATCH($F238,'CI&amp;S'!$B$10:$B$15,0))="","Cell will autofill based on response",INDEX('CI&amp;S'!$Q$10:$Q$15,MATCH($F238,'CI&amp;S'!$B$10:$B$15,0))),"N/A")</f>
        <v/>
      </c>
      <c r="M238" s="52">
        <f>IFERROR(IF(INDEX('CI&amp;S'!$Q$22:$Q$36,MATCH($F238,'CI&amp;S'!$B$22:$B$36,0))="","Cell will autofill based on response",INDEX('CI&amp;S'!$Q$22:$Q$36,MATCH($F238,'CI&amp;S'!$B$22:$B$36,0))),"N/A")</f>
        <v/>
      </c>
      <c r="N238" s="52">
        <f>IFERROR(IF(INDEX('CFOG'!$Q$10:$Q$16,MATCH($F238,'CFOG'!$B$10:$B$16,0))="","Cell will autofill based on response",INDEX('CFOG'!$Q$10:$Q$16,MATCH($F238,'CFOG'!$B$10:$B$16,0))),"N/A")</f>
        <v/>
      </c>
      <c r="O238" s="52">
        <f>IFERROR(IF(INDEX('CFOG'!$Q$23:$Q$24,MATCH($F238,'CFOG'!$B$23:$B$24,0))="","Cell will autofill based on response",INDEX('CFOG'!$Q$23:$Q$24,MATCH($F238,'CFOG'!$B$23:$B$24,0))),"N/A")</f>
        <v/>
      </c>
      <c r="P238" s="52">
        <f>IFERROR(IF(INDEX('ESG'!$Q$10:$Q$17,MATCH($F238,'ESG'!$B$10:$B$17,0))="","Cell will autofill based on response",INDEX('ESG'!$Q$10:$Q$17,MATCH($F238,'ESG'!$B$10:$B$17,0))),"N/A")</f>
        <v/>
      </c>
      <c r="Q238" s="52">
        <f>IFERROR(IF(INDEX('CIOG'!$Q$10:$Q$14,MATCH($F238,'CIOG'!$B$10:$B$14,0))="","Cell will autofill based on response",INDEX('CIOG'!$Q$10:$Q$14,MATCH($F238,'CIOG'!$B$10:$B$14,0))),"N/A")</f>
        <v/>
      </c>
      <c r="R238" s="52">
        <f>IFERROR(IF(INDEX('MRE'!$Q$10:$Q$18,MATCH($F238,'MRE'!$B$10:$B$18,0))="","Cell will autofill based on response",INDEX('MRE'!$Q$10:$Q$18,MATCH($F238,'MRE'!$B$10:$B$18,0))),"N/A")</f>
        <v/>
      </c>
      <c r="S238" s="52">
        <f>IFERROR(IF(INDEX('AC&amp;M'!$Q$10:$Q$14,MATCH($F238,'AC&amp;M'!$B$10:$B$14,0))="","Cell will autofill based on response",INDEX('AC&amp;M'!$Q$10:$Q$14,MATCH($F238,'AC&amp;M'!$B$10:$B$14,0))),"N/A")</f>
        <v/>
      </c>
      <c r="T238" s="52">
        <f>IFERROR(IF(INDEX('GCE'!$Q$10:$Q$12,MATCH($F238,'GCE'!$B$10:$B$12,0))="","Cell will autofill based on response",INDEX('GCE'!$Q$10:$Q$12,MATCH($F238,'GCE'!$B$10:$B$12,0))),"N/A")</f>
        <v/>
      </c>
      <c r="U238" s="52">
        <f>IFERROR(IF(INDEX('Education'!$Q$10:$Q$13,MATCH($F238,'Education'!$B$10:$B$13,0))="","Cell will autofill based on response",INDEX('Education'!$Q$10:$Q$13,MATCH($F238,'Education'!$B$10:$B$13,0))),"N/A")</f>
        <v/>
      </c>
      <c r="V238" s="52">
        <f>IFERROR(IF(INDEX('SaSS'!$Q$10:$Q$12,MATCH($F238,'SaSS'!$B$10:$B$12,0))="","Cell will autofill based on response",INDEX('SaSS'!$Q$10:$Q$12,MATCH($F238,'SaSS'!$B$10:$B$12,0))),"N/A")</f>
        <v/>
      </c>
      <c r="W238" s="52">
        <f>IFERROR(IF(INDEX('Indigenous'!$Q$10:$Q$11,MATCH($F238,'Indigenous'!$B$10:$B$11,0))="","Cell will autofill based on response",INDEX('Indigenous'!$Q$10:$Q$11,MATCH($F238,'Indigenous'!$B$10:$B$11,0))),"N/A")</f>
        <v/>
      </c>
      <c r="X238" s="52">
        <f>IFERROR(IF(INDEX('L&amp;R'!$Q$10:$Q$11,MATCH($F238,'L&amp;R'!$B$10:$B$11,0))="","Cell will autofill based on response",INDEX('L&amp;R'!$Q$10:$Q$11,MATCH($F238,'L&amp;R'!$B$10:$B$11,0))),"N/A")</f>
        <v/>
      </c>
    </row>
  </sheetData>
  <autoFilter ref="B10:AK238"/>
  <mergeCells count="1">
    <mergeCell ref="D4:N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310"/>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16" customWidth="1" min="16" max="16"/>
    <col width="16" customWidth="1" min="17" max="17"/>
    <col width="40" customWidth="1" min="18" max="18"/>
  </cols>
  <sheetData>
    <row r="1">
      <c r="A1" s="1" t="inlineStr">
        <is>
          <t>↑</t>
        </is>
      </c>
      <c r="B1" s="2" t="inlineStr">
        <is>
          <t>End-2026 target status assessment and reporting</t>
        </is>
      </c>
    </row>
    <row r="2">
      <c r="B2" s="3" t="inlineStr">
        <is>
          <t>T1. Manual target review</t>
        </is>
      </c>
    </row>
    <row r="4" ht="30" customHeight="1">
      <c r="C4" s="32" t="inlineStr">
        <is>
          <t>Description</t>
        </is>
      </c>
      <c r="D4" s="9" t="inlineStr">
        <is>
          <t>Review of individual unit responses for every indicator – only the units asked about each indicator are shown. Values come from A1 (do not type in grey cells); record your review in the 'Reviewer notes' column. Use T2 to focus on a single indicator.</t>
        </is>
      </c>
    </row>
    <row r="5"/>
    <row r="7">
      <c r="B7" s="6" t="inlineStr">
        <is>
          <t>Ref.</t>
        </is>
      </c>
      <c r="C7" s="6" t="inlineStr">
        <is>
          <t>Indicator</t>
        </is>
      </c>
      <c r="D7" s="6" t="inlineStr">
        <is>
          <t>Target progress</t>
        </is>
      </c>
      <c r="E7" s="6" t="inlineStr">
        <is>
          <t>Unit 1</t>
        </is>
      </c>
      <c r="F7" s="6" t="inlineStr">
        <is>
          <t>Unit 2</t>
        </is>
      </c>
      <c r="G7" s="6" t="inlineStr">
        <is>
          <t>Unit 3</t>
        </is>
      </c>
      <c r="H7" s="6" t="inlineStr">
        <is>
          <t>Unit 4</t>
        </is>
      </c>
      <c r="I7" s="6" t="inlineStr">
        <is>
          <t>Unit 5</t>
        </is>
      </c>
      <c r="J7" s="6" t="inlineStr">
        <is>
          <t>Unit 6</t>
        </is>
      </c>
      <c r="K7" s="6" t="inlineStr">
        <is>
          <t>Unit 7</t>
        </is>
      </c>
      <c r="L7" s="6" t="inlineStr">
        <is>
          <t>Unit 8</t>
        </is>
      </c>
      <c r="M7" s="6" t="inlineStr">
        <is>
          <t>Unit 9</t>
        </is>
      </c>
      <c r="N7" s="6" t="inlineStr">
        <is>
          <t>Unit 10</t>
        </is>
      </c>
      <c r="O7" s="6" t="inlineStr">
        <is>
          <t>Unit 11</t>
        </is>
      </c>
      <c r="P7" s="6" t="inlineStr">
        <is>
          <t>Target score (text)</t>
        </is>
      </c>
      <c r="Q7" s="6" t="inlineStr">
        <is>
          <t>Threshold status (SR25 rule)</t>
        </is>
      </c>
      <c r="R7" s="6" t="inlineStr">
        <is>
          <t>Reviewer notes</t>
        </is>
      </c>
    </row>
    <row r="8">
      <c r="B8" s="7" t="inlineStr">
        <is>
          <t>EE1(a)</t>
        </is>
      </c>
      <c r="C8" s="50" t="inlineStr">
        <is>
          <t>Evidence of innovative approaches to sustainability teaching and learning</t>
        </is>
      </c>
      <c r="D8" s="55" t="inlineStr">
        <is>
          <t>Unit</t>
        </is>
      </c>
      <c r="E8" s="55" t="inlineStr">
        <is>
          <t>ABP</t>
        </is>
      </c>
      <c r="F8" s="55" t="inlineStr">
        <is>
          <t>ARTS</t>
        </is>
      </c>
      <c r="G8" s="55" t="inlineStr">
        <is>
          <t>FBE</t>
        </is>
      </c>
      <c r="H8" s="55" t="inlineStr">
        <is>
          <t>SCI</t>
        </is>
      </c>
      <c r="I8" s="55" t="inlineStr">
        <is>
          <t>CI&amp;S – Sustainability Strategy</t>
        </is>
      </c>
      <c r="J8" s="55" t="inlineStr">
        <is>
          <t>Education – Chancellery Education</t>
        </is>
      </c>
      <c r="P8" s="56">
        <f>'A1. Data scoring'!AH11</f>
        <v/>
      </c>
      <c r="Q8" s="56">
        <f>'A1. Data scoring'!AK11</f>
        <v/>
      </c>
      <c r="R8" s="8" t="n"/>
    </row>
    <row r="9" ht="18" customHeight="1">
      <c r="B9" s="57" t="inlineStr">
        <is>
          <t>EE1(a)</t>
        </is>
      </c>
      <c r="D9" s="13" t="inlineStr">
        <is>
          <t>Confirm end-2026 target status</t>
        </is>
      </c>
      <c r="E9" s="58">
        <f>'A1. Data scoring'!H11</f>
        <v/>
      </c>
      <c r="F9" s="58">
        <f>'A1. Data scoring'!I11</f>
        <v/>
      </c>
      <c r="G9" s="58">
        <f>'A1. Data scoring'!J11</f>
        <v/>
      </c>
      <c r="H9" s="58">
        <f>'A1. Data scoring'!K11</f>
        <v/>
      </c>
      <c r="I9" s="58">
        <f>'A1. Data scoring'!M11</f>
        <v/>
      </c>
      <c r="J9" s="58">
        <f>'A1. Data scoring'!U11</f>
        <v/>
      </c>
      <c r="R9" s="59" t="n"/>
    </row>
    <row r="10" ht="60" customHeight="1">
      <c r="B10" s="57" t="inlineStr">
        <is>
          <t>EE1(a)</t>
        </is>
      </c>
      <c r="D10" s="13" t="inlineStr">
        <is>
          <t>OPTION 1:  Target-level reporting</t>
        </is>
      </c>
      <c r="E10" s="58">
        <f>'A1. Data scoring'!H12</f>
        <v/>
      </c>
      <c r="F10" s="58">
        <f>'A1. Data scoring'!I12</f>
        <v/>
      </c>
      <c r="G10" s="58">
        <f>'A1. Data scoring'!J12</f>
        <v/>
      </c>
      <c r="H10" s="58">
        <f>'A1. Data scoring'!K12</f>
        <v/>
      </c>
      <c r="I10" s="58">
        <f>'A1. Data scoring'!M12</f>
        <v/>
      </c>
      <c r="J10" s="58">
        <f>'A1. Data scoring'!U12</f>
        <v/>
      </c>
      <c r="R10" s="59" t="n"/>
    </row>
    <row r="11" ht="60" customHeight="1">
      <c r="B11" s="57" t="inlineStr">
        <is>
          <t>EE1(a)</t>
        </is>
      </c>
      <c r="D11" s="13" t="inlineStr">
        <is>
          <t>OPTION 2:  Indicator level reporting</t>
        </is>
      </c>
      <c r="E11" s="58">
        <f>'A1. Data scoring'!H13</f>
        <v/>
      </c>
      <c r="F11" s="58">
        <f>'A1. Data scoring'!I13</f>
        <v/>
      </c>
      <c r="G11" s="58">
        <f>'A1. Data scoring'!J13</f>
        <v/>
      </c>
      <c r="H11" s="58">
        <f>'A1. Data scoring'!K13</f>
        <v/>
      </c>
      <c r="I11" s="58">
        <f>'A1. Data scoring'!M13</f>
        <v/>
      </c>
      <c r="J11" s="58">
        <f>'A1. Data scoring'!U13</f>
        <v/>
      </c>
      <c r="R11" s="59" t="n"/>
    </row>
    <row r="12" ht="18" customHeight="1">
      <c r="B12" s="57" t="inlineStr">
        <is>
          <t>EE1(a)</t>
        </is>
      </c>
      <c r="D12" s="13" t="inlineStr">
        <is>
          <t>Supporting information/comments</t>
        </is>
      </c>
      <c r="E12" s="58">
        <f>'A1. Data scoring'!H14</f>
        <v/>
      </c>
      <c r="F12" s="58">
        <f>'A1. Data scoring'!I14</f>
        <v/>
      </c>
      <c r="G12" s="58">
        <f>'A1. Data scoring'!J14</f>
        <v/>
      </c>
      <c r="H12" s="58">
        <f>'A1. Data scoring'!K14</f>
        <v/>
      </c>
      <c r="I12" s="58">
        <f>'A1. Data scoring'!M14</f>
        <v/>
      </c>
      <c r="J12" s="58">
        <f>'A1. Data scoring'!U14</f>
        <v/>
      </c>
      <c r="R12" s="59" t="n"/>
    </row>
    <row r="13" ht="18" customHeight="1">
      <c r="B13" s="57" t="inlineStr">
        <is>
          <t>EE1(a)</t>
        </is>
      </c>
      <c r="D13" s="13" t="inlineStr">
        <is>
          <t>Data source and limitations</t>
        </is>
      </c>
      <c r="E13" s="58">
        <f>'A1. Data scoring'!H15</f>
        <v/>
      </c>
      <c r="F13" s="58">
        <f>'A1. Data scoring'!I15</f>
        <v/>
      </c>
      <c r="G13" s="58">
        <f>'A1. Data scoring'!J15</f>
        <v/>
      </c>
      <c r="H13" s="58">
        <f>'A1. Data scoring'!K15</f>
        <v/>
      </c>
      <c r="I13" s="58">
        <f>'A1. Data scoring'!M15</f>
        <v/>
      </c>
      <c r="J13" s="58">
        <f>'A1. Data scoring'!U15</f>
        <v/>
      </c>
      <c r="R13" s="59" t="n"/>
    </row>
    <row r="14" ht="18" customHeight="1">
      <c r="B14" s="57" t="inlineStr">
        <is>
          <t>EE1(a)</t>
        </is>
      </c>
      <c r="D14" s="13" t="inlineStr">
        <is>
          <t>Data owner confirms</t>
        </is>
      </c>
      <c r="E14" s="58">
        <f>'A1. Data scoring'!H16</f>
        <v/>
      </c>
      <c r="F14" s="58">
        <f>'A1. Data scoring'!I16</f>
        <v/>
      </c>
      <c r="G14" s="58">
        <f>'A1. Data scoring'!J16</f>
        <v/>
      </c>
      <c r="H14" s="58">
        <f>'A1. Data scoring'!K16</f>
        <v/>
      </c>
      <c r="I14" s="58">
        <f>'A1. Data scoring'!M16</f>
        <v/>
      </c>
      <c r="J14" s="58">
        <f>'A1. Data scoring'!U16</f>
        <v/>
      </c>
      <c r="R14" s="60" t="n"/>
    </row>
    <row r="16">
      <c r="B16" s="7" t="inlineStr">
        <is>
          <t>EE1(b)</t>
        </is>
      </c>
      <c r="C16" s="50" t="inlineStr">
        <is>
          <t>Pilots of possible approaches for understanding and developing students’ sustainability self-efficacy</t>
        </is>
      </c>
      <c r="D16" s="55" t="inlineStr">
        <is>
          <t>Unit</t>
        </is>
      </c>
      <c r="E16" s="55" t="inlineStr">
        <is>
          <t>ABP</t>
        </is>
      </c>
      <c r="F16" s="55" t="inlineStr">
        <is>
          <t>ARTS</t>
        </is>
      </c>
      <c r="G16" s="55" t="inlineStr">
        <is>
          <t>FBE</t>
        </is>
      </c>
      <c r="H16" s="55" t="inlineStr">
        <is>
          <t>SCI</t>
        </is>
      </c>
      <c r="I16" s="55" t="inlineStr">
        <is>
          <t>CI&amp;S – Sustainability Strategy</t>
        </is>
      </c>
      <c r="J16" s="55" t="inlineStr">
        <is>
          <t>Education – Chancellery Education</t>
        </is>
      </c>
      <c r="P16" s="56">
        <f>'A1. Data scoring'!AH17</f>
        <v/>
      </c>
      <c r="Q16" s="56">
        <f>'A1. Data scoring'!AK17</f>
        <v/>
      </c>
      <c r="R16" s="8" t="n"/>
    </row>
    <row r="17" ht="18" customHeight="1">
      <c r="B17" s="57" t="inlineStr">
        <is>
          <t>EE1(b)</t>
        </is>
      </c>
      <c r="D17" s="13" t="inlineStr">
        <is>
          <t>Confirm end-2026 target status</t>
        </is>
      </c>
      <c r="E17" s="58">
        <f>'A1. Data scoring'!H17</f>
        <v/>
      </c>
      <c r="F17" s="58">
        <f>'A1. Data scoring'!I17</f>
        <v/>
      </c>
      <c r="G17" s="58">
        <f>'A1. Data scoring'!J17</f>
        <v/>
      </c>
      <c r="H17" s="58">
        <f>'A1. Data scoring'!K17</f>
        <v/>
      </c>
      <c r="I17" s="58">
        <f>'A1. Data scoring'!M17</f>
        <v/>
      </c>
      <c r="J17" s="58">
        <f>'A1. Data scoring'!U17</f>
        <v/>
      </c>
      <c r="R17" s="59" t="n"/>
    </row>
    <row r="18" ht="60" customHeight="1">
      <c r="B18" s="57" t="inlineStr">
        <is>
          <t>EE1(b)</t>
        </is>
      </c>
      <c r="D18" s="13" t="inlineStr">
        <is>
          <t>OPTION 1:  Target-level reporting</t>
        </is>
      </c>
      <c r="E18" s="58">
        <f>'A1. Data scoring'!H18</f>
        <v/>
      </c>
      <c r="F18" s="58">
        <f>'A1. Data scoring'!I18</f>
        <v/>
      </c>
      <c r="G18" s="58">
        <f>'A1. Data scoring'!J18</f>
        <v/>
      </c>
      <c r="H18" s="58">
        <f>'A1. Data scoring'!K18</f>
        <v/>
      </c>
      <c r="I18" s="58">
        <f>'A1. Data scoring'!M18</f>
        <v/>
      </c>
      <c r="J18" s="58">
        <f>'A1. Data scoring'!U18</f>
        <v/>
      </c>
      <c r="R18" s="59" t="n"/>
    </row>
    <row r="19" ht="60" customHeight="1">
      <c r="B19" s="57" t="inlineStr">
        <is>
          <t>EE1(b)</t>
        </is>
      </c>
      <c r="D19" s="13" t="inlineStr">
        <is>
          <t>OPTION 2:  Indicator level reporting</t>
        </is>
      </c>
      <c r="E19" s="58">
        <f>'A1. Data scoring'!H19</f>
        <v/>
      </c>
      <c r="F19" s="58">
        <f>'A1. Data scoring'!I19</f>
        <v/>
      </c>
      <c r="G19" s="58">
        <f>'A1. Data scoring'!J19</f>
        <v/>
      </c>
      <c r="H19" s="58">
        <f>'A1. Data scoring'!K19</f>
        <v/>
      </c>
      <c r="I19" s="58">
        <f>'A1. Data scoring'!M19</f>
        <v/>
      </c>
      <c r="J19" s="58">
        <f>'A1. Data scoring'!U19</f>
        <v/>
      </c>
      <c r="R19" s="59" t="n"/>
    </row>
    <row r="20" ht="18" customHeight="1">
      <c r="B20" s="57" t="inlineStr">
        <is>
          <t>EE1(b)</t>
        </is>
      </c>
      <c r="D20" s="13" t="inlineStr">
        <is>
          <t>Supporting information/comments</t>
        </is>
      </c>
      <c r="E20" s="58">
        <f>'A1. Data scoring'!H20</f>
        <v/>
      </c>
      <c r="F20" s="58">
        <f>'A1. Data scoring'!I20</f>
        <v/>
      </c>
      <c r="G20" s="58">
        <f>'A1. Data scoring'!J20</f>
        <v/>
      </c>
      <c r="H20" s="58">
        <f>'A1. Data scoring'!K20</f>
        <v/>
      </c>
      <c r="I20" s="58">
        <f>'A1. Data scoring'!M20</f>
        <v/>
      </c>
      <c r="J20" s="58">
        <f>'A1. Data scoring'!U20</f>
        <v/>
      </c>
      <c r="R20" s="59" t="n"/>
    </row>
    <row r="21" ht="18" customHeight="1">
      <c r="B21" s="57" t="inlineStr">
        <is>
          <t>EE1(b)</t>
        </is>
      </c>
      <c r="D21" s="13" t="inlineStr">
        <is>
          <t>Data source and limitations</t>
        </is>
      </c>
      <c r="E21" s="58">
        <f>'A1. Data scoring'!H21</f>
        <v/>
      </c>
      <c r="F21" s="58">
        <f>'A1. Data scoring'!I21</f>
        <v/>
      </c>
      <c r="G21" s="58">
        <f>'A1. Data scoring'!J21</f>
        <v/>
      </c>
      <c r="H21" s="58">
        <f>'A1. Data scoring'!K21</f>
        <v/>
      </c>
      <c r="I21" s="58">
        <f>'A1. Data scoring'!M21</f>
        <v/>
      </c>
      <c r="J21" s="58">
        <f>'A1. Data scoring'!U21</f>
        <v/>
      </c>
      <c r="R21" s="59" t="n"/>
    </row>
    <row r="22" ht="18" customHeight="1">
      <c r="B22" s="57" t="inlineStr">
        <is>
          <t>EE1(b)</t>
        </is>
      </c>
      <c r="D22" s="13" t="inlineStr">
        <is>
          <t>Data owner confirms</t>
        </is>
      </c>
      <c r="E22" s="58">
        <f>'A1. Data scoring'!H22</f>
        <v/>
      </c>
      <c r="F22" s="58">
        <f>'A1. Data scoring'!I22</f>
        <v/>
      </c>
      <c r="G22" s="58">
        <f>'A1. Data scoring'!J22</f>
        <v/>
      </c>
      <c r="H22" s="58">
        <f>'A1. Data scoring'!K22</f>
        <v/>
      </c>
      <c r="I22" s="58">
        <f>'A1. Data scoring'!M22</f>
        <v/>
      </c>
      <c r="J22" s="58">
        <f>'A1. Data scoring'!U22</f>
        <v/>
      </c>
      <c r="R22" s="60" t="n"/>
    </row>
    <row r="24">
      <c r="B24" s="7" t="inlineStr">
        <is>
          <t>EE1(c)</t>
        </is>
      </c>
      <c r="C24" s="50" t="inlineStr">
        <is>
          <t>Evidence of sustainability focused experiential and co curricular learning (eg Wattle Fellowship; Melbourne Plus)</t>
        </is>
      </c>
      <c r="D24" s="55" t="inlineStr">
        <is>
          <t>Unit</t>
        </is>
      </c>
      <c r="E24" s="55" t="inlineStr">
        <is>
          <t>CI&amp;S – Sustainability Strategy</t>
        </is>
      </c>
      <c r="F24" s="55" t="inlineStr">
        <is>
          <t>SaSS – Student and Scholarly Services</t>
        </is>
      </c>
      <c r="P24" s="56">
        <f>'A1. Data scoring'!AH23</f>
        <v/>
      </c>
      <c r="Q24" s="56">
        <f>'A1. Data scoring'!AK23</f>
        <v/>
      </c>
      <c r="R24" s="8" t="inlineStr">
        <is>
          <t>Faculties answer this indicator in their EE1(a) response (merged question) – review both.</t>
        </is>
      </c>
    </row>
    <row r="25" ht="18" customHeight="1">
      <c r="B25" s="57" t="inlineStr">
        <is>
          <t>EE1(c)</t>
        </is>
      </c>
      <c r="D25" s="13" t="inlineStr">
        <is>
          <t>Confirm end-2026 target status</t>
        </is>
      </c>
      <c r="E25" s="58">
        <f>'A1. Data scoring'!M23</f>
        <v/>
      </c>
      <c r="F25" s="58">
        <f>'A1. Data scoring'!V23</f>
        <v/>
      </c>
      <c r="R25" s="59" t="n"/>
    </row>
    <row r="26" ht="60" customHeight="1">
      <c r="B26" s="57" t="inlineStr">
        <is>
          <t>EE1(c)</t>
        </is>
      </c>
      <c r="D26" s="13" t="inlineStr">
        <is>
          <t>OPTION 1:  Target-level reporting</t>
        </is>
      </c>
      <c r="E26" s="58">
        <f>'A1. Data scoring'!M24</f>
        <v/>
      </c>
      <c r="F26" s="58">
        <f>'A1. Data scoring'!V24</f>
        <v/>
      </c>
      <c r="R26" s="59" t="n"/>
    </row>
    <row r="27" ht="60" customHeight="1">
      <c r="B27" s="57" t="inlineStr">
        <is>
          <t>EE1(c)</t>
        </is>
      </c>
      <c r="D27" s="13" t="inlineStr">
        <is>
          <t>OPTION 2:  Indicator level reporting</t>
        </is>
      </c>
      <c r="E27" s="58">
        <f>'A1. Data scoring'!M25</f>
        <v/>
      </c>
      <c r="F27" s="58">
        <f>'A1. Data scoring'!V25</f>
        <v/>
      </c>
      <c r="R27" s="59" t="n"/>
    </row>
    <row r="28" ht="18" customHeight="1">
      <c r="B28" s="57" t="inlineStr">
        <is>
          <t>EE1(c)</t>
        </is>
      </c>
      <c r="D28" s="13" t="inlineStr">
        <is>
          <t>Supporting information/comments</t>
        </is>
      </c>
      <c r="E28" s="58">
        <f>'A1. Data scoring'!M26</f>
        <v/>
      </c>
      <c r="F28" s="58">
        <f>'A1. Data scoring'!V26</f>
        <v/>
      </c>
      <c r="R28" s="59" t="n"/>
    </row>
    <row r="29" ht="18" customHeight="1">
      <c r="B29" s="57" t="inlineStr">
        <is>
          <t>EE1(c)</t>
        </is>
      </c>
      <c r="D29" s="13" t="inlineStr">
        <is>
          <t>Data source and limitations</t>
        </is>
      </c>
      <c r="E29" s="58">
        <f>'A1. Data scoring'!M27</f>
        <v/>
      </c>
      <c r="F29" s="58">
        <f>'A1. Data scoring'!V27</f>
        <v/>
      </c>
      <c r="R29" s="59" t="n"/>
    </row>
    <row r="30" ht="18" customHeight="1">
      <c r="B30" s="57" t="inlineStr">
        <is>
          <t>EE1(c)</t>
        </is>
      </c>
      <c r="D30" s="13" t="inlineStr">
        <is>
          <t>Data owner confirms</t>
        </is>
      </c>
      <c r="E30" s="58">
        <f>'A1. Data scoring'!M28</f>
        <v/>
      </c>
      <c r="F30" s="58">
        <f>'A1. Data scoring'!V28</f>
        <v/>
      </c>
      <c r="R30" s="60" t="n"/>
    </row>
    <row r="32">
      <c r="B32" s="7" t="inlineStr">
        <is>
          <t>EE1(d)</t>
        </is>
      </c>
      <c r="C32" s="50" t="inlineStr">
        <is>
          <t>Alumni profiles demonstrating how graduates contribute to sustainability through their careers or communities.</t>
        </is>
      </c>
      <c r="D32" s="55" t="inlineStr">
        <is>
          <t>Unit</t>
        </is>
      </c>
      <c r="E32" s="55" t="inlineStr">
        <is>
          <t>SaSS – Student and Scholarly Services</t>
        </is>
      </c>
      <c r="P32" s="56">
        <f>'A1. Data scoring'!AH29</f>
        <v/>
      </c>
      <c r="Q32" s="56">
        <f>'A1. Data scoring'!AK29</f>
        <v/>
      </c>
      <c r="R32" s="8" t="n"/>
    </row>
    <row r="33" ht="18" customHeight="1">
      <c r="B33" s="57" t="inlineStr">
        <is>
          <t>EE1(d)</t>
        </is>
      </c>
      <c r="D33" s="13" t="inlineStr">
        <is>
          <t>Confirm end-2026 target status</t>
        </is>
      </c>
      <c r="E33" s="58">
        <f>'A1. Data scoring'!V29</f>
        <v/>
      </c>
      <c r="R33" s="59" t="n"/>
    </row>
    <row r="34" ht="60" customHeight="1">
      <c r="B34" s="57" t="inlineStr">
        <is>
          <t>EE1(d)</t>
        </is>
      </c>
      <c r="D34" s="13" t="inlineStr">
        <is>
          <t>OPTION 1:  Target-level reporting</t>
        </is>
      </c>
      <c r="E34" s="58">
        <f>'A1. Data scoring'!V30</f>
        <v/>
      </c>
      <c r="R34" s="59" t="n"/>
    </row>
    <row r="35" ht="60" customHeight="1">
      <c r="B35" s="57" t="inlineStr">
        <is>
          <t>EE1(d)</t>
        </is>
      </c>
      <c r="D35" s="13" t="inlineStr">
        <is>
          <t>OPTION 2:  Indicator level reporting</t>
        </is>
      </c>
      <c r="E35" s="58">
        <f>'A1. Data scoring'!V31</f>
        <v/>
      </c>
      <c r="R35" s="59" t="n"/>
    </row>
    <row r="36" ht="18" customHeight="1">
      <c r="B36" s="57" t="inlineStr">
        <is>
          <t>EE1(d)</t>
        </is>
      </c>
      <c r="D36" s="13" t="inlineStr">
        <is>
          <t>Supporting information/comments</t>
        </is>
      </c>
      <c r="E36" s="58">
        <f>'A1. Data scoring'!V32</f>
        <v/>
      </c>
      <c r="R36" s="59" t="n"/>
    </row>
    <row r="37" ht="18" customHeight="1">
      <c r="B37" s="57" t="inlineStr">
        <is>
          <t>EE1(d)</t>
        </is>
      </c>
      <c r="D37" s="13" t="inlineStr">
        <is>
          <t>Data source and limitations</t>
        </is>
      </c>
      <c r="E37" s="58">
        <f>'A1. Data scoring'!V33</f>
        <v/>
      </c>
      <c r="R37" s="59" t="n"/>
    </row>
    <row r="38" ht="18" customHeight="1">
      <c r="B38" s="57" t="inlineStr">
        <is>
          <t>EE1(d)</t>
        </is>
      </c>
      <c r="D38" s="13" t="inlineStr">
        <is>
          <t>Data owner confirms</t>
        </is>
      </c>
      <c r="E38" s="58">
        <f>'A1. Data scoring'!V34</f>
        <v/>
      </c>
      <c r="R38" s="60" t="n"/>
    </row>
    <row r="40">
      <c r="B40" s="7" t="inlineStr">
        <is>
          <t>TR1(a)</t>
        </is>
      </c>
      <c r="C40" s="50" t="inlineStr">
        <is>
          <t>Expert-reviewed evidence of researchers contributing to operational sustainability priorities through partnerships, advisory input, living labs, applied projects or decision-support</t>
        </is>
      </c>
      <c r="D40" s="55" t="inlineStr">
        <is>
          <t>Unit</t>
        </is>
      </c>
      <c r="E40" s="55" t="inlineStr">
        <is>
          <t>ABP</t>
        </is>
      </c>
      <c r="F40" s="55" t="inlineStr">
        <is>
          <t>ARTS</t>
        </is>
      </c>
      <c r="G40" s="55" t="inlineStr">
        <is>
          <t>FBE</t>
        </is>
      </c>
      <c r="H40" s="55" t="inlineStr">
        <is>
          <t>SCI</t>
        </is>
      </c>
      <c r="I40" s="55" t="inlineStr">
        <is>
          <t>CI&amp;S – Sustainability Strategy</t>
        </is>
      </c>
      <c r="P40" s="56">
        <f>'A1. Data scoring'!AH35</f>
        <v/>
      </c>
      <c r="Q40" s="56">
        <f>'A1. Data scoring'!AK35</f>
        <v/>
      </c>
      <c r="R40" s="8" t="n"/>
    </row>
    <row r="41" ht="18" customHeight="1">
      <c r="B41" s="57" t="inlineStr">
        <is>
          <t>TR1(a)</t>
        </is>
      </c>
      <c r="D41" s="13" t="inlineStr">
        <is>
          <t>Confirm end-2026 target status</t>
        </is>
      </c>
      <c r="E41" s="58">
        <f>'A1. Data scoring'!H35</f>
        <v/>
      </c>
      <c r="F41" s="58">
        <f>'A1. Data scoring'!I35</f>
        <v/>
      </c>
      <c r="G41" s="58">
        <f>'A1. Data scoring'!J35</f>
        <v/>
      </c>
      <c r="H41" s="58">
        <f>'A1. Data scoring'!K35</f>
        <v/>
      </c>
      <c r="I41" s="58">
        <f>'A1. Data scoring'!M35</f>
        <v/>
      </c>
      <c r="R41" s="59" t="n"/>
    </row>
    <row r="42" ht="60" customHeight="1">
      <c r="B42" s="57" t="inlineStr">
        <is>
          <t>TR1(a)</t>
        </is>
      </c>
      <c r="D42" s="13" t="inlineStr">
        <is>
          <t>OPTION 1:  Target-level reporting</t>
        </is>
      </c>
      <c r="E42" s="58">
        <f>'A1. Data scoring'!H36</f>
        <v/>
      </c>
      <c r="F42" s="58">
        <f>'A1. Data scoring'!I36</f>
        <v/>
      </c>
      <c r="G42" s="58">
        <f>'A1. Data scoring'!J36</f>
        <v/>
      </c>
      <c r="H42" s="58">
        <f>'A1. Data scoring'!K36</f>
        <v/>
      </c>
      <c r="I42" s="58">
        <f>'A1. Data scoring'!M36</f>
        <v/>
      </c>
      <c r="R42" s="59" t="n"/>
    </row>
    <row r="43" ht="60" customHeight="1">
      <c r="B43" s="57" t="inlineStr">
        <is>
          <t>TR1(a)</t>
        </is>
      </c>
      <c r="D43" s="13" t="inlineStr">
        <is>
          <t>OPTION 2:  Indicator level reporting</t>
        </is>
      </c>
      <c r="E43" s="58">
        <f>'A1. Data scoring'!H37</f>
        <v/>
      </c>
      <c r="F43" s="58">
        <f>'A1. Data scoring'!I37</f>
        <v/>
      </c>
      <c r="G43" s="58">
        <f>'A1. Data scoring'!J37</f>
        <v/>
      </c>
      <c r="H43" s="58">
        <f>'A1. Data scoring'!K37</f>
        <v/>
      </c>
      <c r="I43" s="58">
        <f>'A1. Data scoring'!M37</f>
        <v/>
      </c>
      <c r="R43" s="59" t="n"/>
    </row>
    <row r="44" ht="18" customHeight="1">
      <c r="B44" s="57" t="inlineStr">
        <is>
          <t>TR1(a)</t>
        </is>
      </c>
      <c r="D44" s="13" t="inlineStr">
        <is>
          <t>Supporting information/comments</t>
        </is>
      </c>
      <c r="E44" s="58">
        <f>'A1. Data scoring'!H38</f>
        <v/>
      </c>
      <c r="F44" s="58">
        <f>'A1. Data scoring'!I38</f>
        <v/>
      </c>
      <c r="G44" s="58">
        <f>'A1. Data scoring'!J38</f>
        <v/>
      </c>
      <c r="H44" s="58">
        <f>'A1. Data scoring'!K38</f>
        <v/>
      </c>
      <c r="I44" s="58">
        <f>'A1. Data scoring'!M38</f>
        <v/>
      </c>
      <c r="R44" s="59" t="n"/>
    </row>
    <row r="45" ht="18" customHeight="1">
      <c r="B45" s="57" t="inlineStr">
        <is>
          <t>TR1(a)</t>
        </is>
      </c>
      <c r="D45" s="13" t="inlineStr">
        <is>
          <t>Data source and limitations</t>
        </is>
      </c>
      <c r="E45" s="58">
        <f>'A1. Data scoring'!H39</f>
        <v/>
      </c>
      <c r="F45" s="58">
        <f>'A1. Data scoring'!I39</f>
        <v/>
      </c>
      <c r="G45" s="58">
        <f>'A1. Data scoring'!J39</f>
        <v/>
      </c>
      <c r="H45" s="58">
        <f>'A1. Data scoring'!K39</f>
        <v/>
      </c>
      <c r="I45" s="58">
        <f>'A1. Data scoring'!M39</f>
        <v/>
      </c>
      <c r="R45" s="59" t="n"/>
    </row>
    <row r="46" ht="18" customHeight="1">
      <c r="B46" s="57" t="inlineStr">
        <is>
          <t>TR1(a)</t>
        </is>
      </c>
      <c r="D46" s="13" t="inlineStr">
        <is>
          <t>Data owner confirms</t>
        </is>
      </c>
      <c r="E46" s="58">
        <f>'A1. Data scoring'!H40</f>
        <v/>
      </c>
      <c r="F46" s="58">
        <f>'A1. Data scoring'!I40</f>
        <v/>
      </c>
      <c r="G46" s="58">
        <f>'A1. Data scoring'!J40</f>
        <v/>
      </c>
      <c r="H46" s="58">
        <f>'A1. Data scoring'!K40</f>
        <v/>
      </c>
      <c r="I46" s="58">
        <f>'A1. Data scoring'!M40</f>
        <v/>
      </c>
      <c r="R46" s="60" t="n"/>
    </row>
    <row r="48">
      <c r="B48" s="7" t="inlineStr">
        <is>
          <t>TR1(b)</t>
        </is>
      </c>
      <c r="C48" s="50" t="inlineStr">
        <is>
          <t>Evidence of institutional pathways that enable ongoing collaboration between academic and professional staff</t>
        </is>
      </c>
      <c r="D48" s="55" t="inlineStr">
        <is>
          <t>Unit</t>
        </is>
      </c>
      <c r="E48" s="55" t="inlineStr">
        <is>
          <t>MRE – Research</t>
        </is>
      </c>
      <c r="P48" s="56">
        <f>'A1. Data scoring'!AH41</f>
        <v/>
      </c>
      <c r="Q48" s="56">
        <f>'A1. Data scoring'!AK41</f>
        <v/>
      </c>
      <c r="R48" s="8" t="n"/>
    </row>
    <row r="49" ht="18" customHeight="1">
      <c r="B49" s="57" t="inlineStr">
        <is>
          <t>TR1(b)</t>
        </is>
      </c>
      <c r="D49" s="13" t="inlineStr">
        <is>
          <t>Confirm end-2026 target status</t>
        </is>
      </c>
      <c r="E49" s="58">
        <f>'A1. Data scoring'!R41</f>
        <v/>
      </c>
      <c r="R49" s="59" t="n"/>
    </row>
    <row r="50" ht="60" customHeight="1">
      <c r="B50" s="57" t="inlineStr">
        <is>
          <t>TR1(b)</t>
        </is>
      </c>
      <c r="D50" s="13" t="inlineStr">
        <is>
          <t>OPTION 1:  Target-level reporting</t>
        </is>
      </c>
      <c r="E50" s="58">
        <f>'A1. Data scoring'!R42</f>
        <v/>
      </c>
      <c r="R50" s="59" t="n"/>
    </row>
    <row r="51" ht="60" customHeight="1">
      <c r="B51" s="57" t="inlineStr">
        <is>
          <t>TR1(b)</t>
        </is>
      </c>
      <c r="D51" s="13" t="inlineStr">
        <is>
          <t>OPTION 2:  Indicator level reporting</t>
        </is>
      </c>
      <c r="E51" s="58">
        <f>'A1. Data scoring'!R43</f>
        <v/>
      </c>
      <c r="R51" s="59" t="n"/>
    </row>
    <row r="52" ht="18" customHeight="1">
      <c r="B52" s="57" t="inlineStr">
        <is>
          <t>TR1(b)</t>
        </is>
      </c>
      <c r="D52" s="13" t="inlineStr">
        <is>
          <t>Supporting information/comments</t>
        </is>
      </c>
      <c r="E52" s="58">
        <f>'A1. Data scoring'!R44</f>
        <v/>
      </c>
      <c r="R52" s="59" t="n"/>
    </row>
    <row r="53" ht="18" customHeight="1">
      <c r="B53" s="57" t="inlineStr">
        <is>
          <t>TR1(b)</t>
        </is>
      </c>
      <c r="D53" s="13" t="inlineStr">
        <is>
          <t>Data source and limitations</t>
        </is>
      </c>
      <c r="E53" s="58">
        <f>'A1. Data scoring'!R45</f>
        <v/>
      </c>
      <c r="R53" s="59" t="n"/>
    </row>
    <row r="54" ht="18" customHeight="1">
      <c r="B54" s="57" t="inlineStr">
        <is>
          <t>TR1(b)</t>
        </is>
      </c>
      <c r="D54" s="13" t="inlineStr">
        <is>
          <t>Data owner confirms</t>
        </is>
      </c>
      <c r="E54" s="58">
        <f>'A1. Data scoring'!R46</f>
        <v/>
      </c>
      <c r="R54" s="60" t="n"/>
    </row>
    <row r="56">
      <c r="B56" s="7" t="inlineStr">
        <is>
          <t>TR1(c)</t>
        </is>
      </c>
      <c r="C56" s="50" t="inlineStr">
        <is>
          <t>Expert assessment of the quality, relevance and continuity of these collaborations</t>
        </is>
      </c>
      <c r="D56" s="55" t="inlineStr">
        <is>
          <t>Unit</t>
        </is>
      </c>
      <c r="E56" s="55" t="inlineStr">
        <is>
          <t>MRE – Research</t>
        </is>
      </c>
      <c r="P56" s="56">
        <f>'A1. Data scoring'!AH47</f>
        <v/>
      </c>
      <c r="Q56" s="56">
        <f>'A1. Data scoring'!AK47</f>
        <v/>
      </c>
      <c r="R56" s="8" t="n"/>
    </row>
    <row r="57" ht="18" customHeight="1">
      <c r="B57" s="57" t="inlineStr">
        <is>
          <t>TR1(c)</t>
        </is>
      </c>
      <c r="D57" s="13" t="inlineStr">
        <is>
          <t>Confirm end-2026 target status</t>
        </is>
      </c>
      <c r="E57" s="58">
        <f>'A1. Data scoring'!R47</f>
        <v/>
      </c>
      <c r="R57" s="59" t="n"/>
    </row>
    <row r="58" ht="60" customHeight="1">
      <c r="B58" s="57" t="inlineStr">
        <is>
          <t>TR1(c)</t>
        </is>
      </c>
      <c r="D58" s="13" t="inlineStr">
        <is>
          <t>OPTION 1:  Target-level reporting</t>
        </is>
      </c>
      <c r="E58" s="58">
        <f>'A1. Data scoring'!R48</f>
        <v/>
      </c>
      <c r="R58" s="59" t="n"/>
    </row>
    <row r="59" ht="60" customHeight="1">
      <c r="B59" s="57" t="inlineStr">
        <is>
          <t>TR1(c)</t>
        </is>
      </c>
      <c r="D59" s="13" t="inlineStr">
        <is>
          <t>OPTION 2:  Indicator level reporting</t>
        </is>
      </c>
      <c r="E59" s="58">
        <f>'A1. Data scoring'!R49</f>
        <v/>
      </c>
      <c r="R59" s="59" t="n"/>
    </row>
    <row r="60" ht="18" customHeight="1">
      <c r="B60" s="57" t="inlineStr">
        <is>
          <t>TR1(c)</t>
        </is>
      </c>
      <c r="D60" s="13" t="inlineStr">
        <is>
          <t>Supporting information/comments</t>
        </is>
      </c>
      <c r="E60" s="58">
        <f>'A1. Data scoring'!R50</f>
        <v/>
      </c>
      <c r="R60" s="59" t="n"/>
    </row>
    <row r="61" ht="18" customHeight="1">
      <c r="B61" s="57" t="inlineStr">
        <is>
          <t>TR1(c)</t>
        </is>
      </c>
      <c r="D61" s="13" t="inlineStr">
        <is>
          <t>Data source and limitations</t>
        </is>
      </c>
      <c r="E61" s="58">
        <f>'A1. Data scoring'!R51</f>
        <v/>
      </c>
      <c r="R61" s="59" t="n"/>
    </row>
    <row r="62" ht="18" customHeight="1">
      <c r="B62" s="57" t="inlineStr">
        <is>
          <t>TR1(c)</t>
        </is>
      </c>
      <c r="D62" s="13" t="inlineStr">
        <is>
          <t>Data owner confirms</t>
        </is>
      </c>
      <c r="E62" s="58">
        <f>'A1. Data scoring'!R52</f>
        <v/>
      </c>
      <c r="R62" s="60" t="n"/>
    </row>
    <row r="64">
      <c r="B64" s="7" t="inlineStr">
        <is>
          <t>TR1(d)</t>
        </is>
      </c>
      <c r="C64" s="50" t="inlineStr">
        <is>
          <t>Periodic feedback from participants on the effectiveness and mutual benefit of collaboration mechanisms.</t>
        </is>
      </c>
      <c r="D64" s="55" t="inlineStr">
        <is>
          <t>Unit</t>
        </is>
      </c>
      <c r="E64" s="55" t="inlineStr">
        <is>
          <t>MRE – Research</t>
        </is>
      </c>
      <c r="P64" s="56">
        <f>'A1. Data scoring'!AH53</f>
        <v/>
      </c>
      <c r="Q64" s="56">
        <f>'A1. Data scoring'!AK53</f>
        <v/>
      </c>
      <c r="R64" s="8" t="n"/>
    </row>
    <row r="65" ht="18" customHeight="1">
      <c r="B65" s="57" t="inlineStr">
        <is>
          <t>TR1(d)</t>
        </is>
      </c>
      <c r="D65" s="13" t="inlineStr">
        <is>
          <t>Confirm end-2026 target status</t>
        </is>
      </c>
      <c r="E65" s="58">
        <f>'A1. Data scoring'!R53</f>
        <v/>
      </c>
      <c r="R65" s="59" t="n"/>
    </row>
    <row r="66" ht="60" customHeight="1">
      <c r="B66" s="57" t="inlineStr">
        <is>
          <t>TR1(d)</t>
        </is>
      </c>
      <c r="D66" s="13" t="inlineStr">
        <is>
          <t>OPTION 1:  Target-level reporting</t>
        </is>
      </c>
      <c r="E66" s="58">
        <f>'A1. Data scoring'!R54</f>
        <v/>
      </c>
      <c r="R66" s="59" t="n"/>
    </row>
    <row r="67" ht="60" customHeight="1">
      <c r="B67" s="57" t="inlineStr">
        <is>
          <t>TR1(d)</t>
        </is>
      </c>
      <c r="D67" s="13" t="inlineStr">
        <is>
          <t>OPTION 2:  Indicator level reporting</t>
        </is>
      </c>
      <c r="E67" s="58">
        <f>'A1. Data scoring'!R55</f>
        <v/>
      </c>
      <c r="R67" s="59" t="n"/>
    </row>
    <row r="68" ht="18" customHeight="1">
      <c r="B68" s="57" t="inlineStr">
        <is>
          <t>TR1(d)</t>
        </is>
      </c>
      <c r="D68" s="13" t="inlineStr">
        <is>
          <t>Supporting information/comments</t>
        </is>
      </c>
      <c r="E68" s="58">
        <f>'A1. Data scoring'!R56</f>
        <v/>
      </c>
      <c r="R68" s="59" t="n"/>
    </row>
    <row r="69" ht="18" customHeight="1">
      <c r="B69" s="57" t="inlineStr">
        <is>
          <t>TR1(d)</t>
        </is>
      </c>
      <c r="D69" s="13" t="inlineStr">
        <is>
          <t>Data source and limitations</t>
        </is>
      </c>
      <c r="E69" s="58">
        <f>'A1. Data scoring'!R57</f>
        <v/>
      </c>
      <c r="R69" s="59" t="n"/>
    </row>
    <row r="70" ht="18" customHeight="1">
      <c r="B70" s="57" t="inlineStr">
        <is>
          <t>TR1(d)</t>
        </is>
      </c>
      <c r="D70" s="13" t="inlineStr">
        <is>
          <t>Data owner confirms</t>
        </is>
      </c>
      <c r="E70" s="58">
        <f>'A1. Data scoring'!R58</f>
        <v/>
      </c>
      <c r="R70" s="60" t="n"/>
    </row>
    <row r="72">
      <c r="B72" s="7" t="inlineStr">
        <is>
          <t>TR2(a)</t>
        </is>
      </c>
      <c r="C72" s="50" t="inlineStr">
        <is>
          <t>Evidence of sustainability-related research impact across diverse pathways, could include policy, industry, community, practice, cultural and institutional outcomes</t>
        </is>
      </c>
      <c r="D72" s="55" t="inlineStr">
        <is>
          <t>Unit</t>
        </is>
      </c>
      <c r="E72" s="55" t="inlineStr">
        <is>
          <t>ABP</t>
        </is>
      </c>
      <c r="F72" s="55" t="inlineStr">
        <is>
          <t>ARTS</t>
        </is>
      </c>
      <c r="G72" s="55" t="inlineStr">
        <is>
          <t>FBE</t>
        </is>
      </c>
      <c r="H72" s="55" t="inlineStr">
        <is>
          <t>SCI</t>
        </is>
      </c>
      <c r="I72" s="55" t="inlineStr">
        <is>
          <t>AC&amp;M – Advancement, Communication and Marketing</t>
        </is>
      </c>
      <c r="P72" s="56">
        <f>'A1. Data scoring'!AH59</f>
        <v/>
      </c>
      <c r="Q72" s="56">
        <f>'A1. Data scoring'!AK59</f>
        <v/>
      </c>
      <c r="R72" s="8" t="n"/>
    </row>
    <row r="73" ht="18" customHeight="1">
      <c r="B73" s="57" t="inlineStr">
        <is>
          <t>TR2(a)</t>
        </is>
      </c>
      <c r="D73" s="13" t="inlineStr">
        <is>
          <t>Confirm end-2026 target status</t>
        </is>
      </c>
      <c r="E73" s="58">
        <f>'A1. Data scoring'!H59</f>
        <v/>
      </c>
      <c r="F73" s="58">
        <f>'A1. Data scoring'!I59</f>
        <v/>
      </c>
      <c r="G73" s="58">
        <f>'A1. Data scoring'!J59</f>
        <v/>
      </c>
      <c r="H73" s="58">
        <f>'A1. Data scoring'!K59</f>
        <v/>
      </c>
      <c r="I73" s="58">
        <f>'A1. Data scoring'!S59</f>
        <v/>
      </c>
      <c r="R73" s="59" t="n"/>
    </row>
    <row r="74" ht="60" customHeight="1">
      <c r="B74" s="57" t="inlineStr">
        <is>
          <t>TR2(a)</t>
        </is>
      </c>
      <c r="D74" s="13" t="inlineStr">
        <is>
          <t>OPTION 1:  Target-level reporting</t>
        </is>
      </c>
      <c r="E74" s="58">
        <f>'A1. Data scoring'!H60</f>
        <v/>
      </c>
      <c r="F74" s="58">
        <f>'A1. Data scoring'!I60</f>
        <v/>
      </c>
      <c r="G74" s="58">
        <f>'A1. Data scoring'!J60</f>
        <v/>
      </c>
      <c r="H74" s="58">
        <f>'A1. Data scoring'!K60</f>
        <v/>
      </c>
      <c r="I74" s="58">
        <f>'A1. Data scoring'!S60</f>
        <v/>
      </c>
      <c r="R74" s="59" t="n"/>
    </row>
    <row r="75" ht="60" customHeight="1">
      <c r="B75" s="57" t="inlineStr">
        <is>
          <t>TR2(a)</t>
        </is>
      </c>
      <c r="D75" s="13" t="inlineStr">
        <is>
          <t>OPTION 2:  Indicator level reporting</t>
        </is>
      </c>
      <c r="E75" s="58">
        <f>'A1. Data scoring'!H61</f>
        <v/>
      </c>
      <c r="F75" s="58">
        <f>'A1. Data scoring'!I61</f>
        <v/>
      </c>
      <c r="G75" s="58">
        <f>'A1. Data scoring'!J61</f>
        <v/>
      </c>
      <c r="H75" s="58">
        <f>'A1. Data scoring'!K61</f>
        <v/>
      </c>
      <c r="I75" s="58">
        <f>'A1. Data scoring'!S61</f>
        <v/>
      </c>
      <c r="R75" s="59" t="n"/>
    </row>
    <row r="76" ht="18" customHeight="1">
      <c r="B76" s="57" t="inlineStr">
        <is>
          <t>TR2(a)</t>
        </is>
      </c>
      <c r="D76" s="13" t="inlineStr">
        <is>
          <t>Supporting information/comments</t>
        </is>
      </c>
      <c r="E76" s="58">
        <f>'A1. Data scoring'!H62</f>
        <v/>
      </c>
      <c r="F76" s="58">
        <f>'A1. Data scoring'!I62</f>
        <v/>
      </c>
      <c r="G76" s="58">
        <f>'A1. Data scoring'!J62</f>
        <v/>
      </c>
      <c r="H76" s="58">
        <f>'A1. Data scoring'!K62</f>
        <v/>
      </c>
      <c r="I76" s="58">
        <f>'A1. Data scoring'!S62</f>
        <v/>
      </c>
      <c r="R76" s="59" t="n"/>
    </row>
    <row r="77" ht="18" customHeight="1">
      <c r="B77" s="57" t="inlineStr">
        <is>
          <t>TR2(a)</t>
        </is>
      </c>
      <c r="D77" s="13" t="inlineStr">
        <is>
          <t>Data source and limitations</t>
        </is>
      </c>
      <c r="E77" s="58">
        <f>'A1. Data scoring'!H63</f>
        <v/>
      </c>
      <c r="F77" s="58">
        <f>'A1. Data scoring'!I63</f>
        <v/>
      </c>
      <c r="G77" s="58">
        <f>'A1. Data scoring'!J63</f>
        <v/>
      </c>
      <c r="H77" s="58">
        <f>'A1. Data scoring'!K63</f>
        <v/>
      </c>
      <c r="I77" s="58">
        <f>'A1. Data scoring'!S63</f>
        <v/>
      </c>
      <c r="R77" s="59" t="n"/>
    </row>
    <row r="78" ht="18" customHeight="1">
      <c r="B78" s="57" t="inlineStr">
        <is>
          <t>TR2(a)</t>
        </is>
      </c>
      <c r="D78" s="13" t="inlineStr">
        <is>
          <t>Data owner confirms</t>
        </is>
      </c>
      <c r="E78" s="58">
        <f>'A1. Data scoring'!H64</f>
        <v/>
      </c>
      <c r="F78" s="58">
        <f>'A1. Data scoring'!I64</f>
        <v/>
      </c>
      <c r="G78" s="58">
        <f>'A1. Data scoring'!J64</f>
        <v/>
      </c>
      <c r="H78" s="58">
        <f>'A1. Data scoring'!K64</f>
        <v/>
      </c>
      <c r="I78" s="58">
        <f>'A1. Data scoring'!S64</f>
        <v/>
      </c>
      <c r="R78" s="60" t="n"/>
    </row>
    <row r="80">
      <c r="B80" s="7" t="inlineStr">
        <is>
          <t>TR2(c)</t>
        </is>
      </c>
      <c r="C80" s="50" t="inlineStr">
        <is>
          <t>Expert-reviewed summary of sustainability-related research outputs, outcomes and influence using available institutional evidence sources</t>
        </is>
      </c>
      <c r="D80" s="55" t="inlineStr">
        <is>
          <t>Unit</t>
        </is>
      </c>
      <c r="E80" s="55" t="inlineStr">
        <is>
          <t>MRE – Research</t>
        </is>
      </c>
      <c r="P80" s="56">
        <f>'A1. Data scoring'!AH65</f>
        <v/>
      </c>
      <c r="Q80" s="56">
        <f>'A1. Data scoring'!AK65</f>
        <v/>
      </c>
      <c r="R80" s="8" t="n"/>
    </row>
    <row r="81" ht="18" customHeight="1">
      <c r="B81" s="57" t="inlineStr">
        <is>
          <t>TR2(c)</t>
        </is>
      </c>
      <c r="D81" s="13" t="inlineStr">
        <is>
          <t>Confirm end-2026 target status</t>
        </is>
      </c>
      <c r="E81" s="58">
        <f>'A1. Data scoring'!R65</f>
        <v/>
      </c>
      <c r="R81" s="59" t="n"/>
    </row>
    <row r="82" ht="60" customHeight="1">
      <c r="B82" s="57" t="inlineStr">
        <is>
          <t>TR2(c)</t>
        </is>
      </c>
      <c r="D82" s="13" t="inlineStr">
        <is>
          <t>OPTION 1:  Target-level reporting</t>
        </is>
      </c>
      <c r="E82" s="58">
        <f>'A1. Data scoring'!R66</f>
        <v/>
      </c>
      <c r="R82" s="59" t="n"/>
    </row>
    <row r="83" ht="60" customHeight="1">
      <c r="B83" s="57" t="inlineStr">
        <is>
          <t>TR2(c)</t>
        </is>
      </c>
      <c r="D83" s="13" t="inlineStr">
        <is>
          <t>OPTION 2:  Indicator level reporting</t>
        </is>
      </c>
      <c r="E83" s="58">
        <f>'A1. Data scoring'!R67</f>
        <v/>
      </c>
      <c r="R83" s="59" t="n"/>
    </row>
    <row r="84" ht="18" customHeight="1">
      <c r="B84" s="57" t="inlineStr">
        <is>
          <t>TR2(c)</t>
        </is>
      </c>
      <c r="D84" s="13" t="inlineStr">
        <is>
          <t>Supporting information/comments</t>
        </is>
      </c>
      <c r="E84" s="58">
        <f>'A1. Data scoring'!R68</f>
        <v/>
      </c>
      <c r="R84" s="59" t="n"/>
    </row>
    <row r="85" ht="18" customHeight="1">
      <c r="B85" s="57" t="inlineStr">
        <is>
          <t>TR2(c)</t>
        </is>
      </c>
      <c r="D85" s="13" t="inlineStr">
        <is>
          <t>Data source and limitations</t>
        </is>
      </c>
      <c r="E85" s="58">
        <f>'A1. Data scoring'!R69</f>
        <v/>
      </c>
      <c r="R85" s="59" t="n"/>
    </row>
    <row r="86" ht="18" customHeight="1">
      <c r="B86" s="57" t="inlineStr">
        <is>
          <t>TR2(c)</t>
        </is>
      </c>
      <c r="D86" s="13" t="inlineStr">
        <is>
          <t>Data owner confirms</t>
        </is>
      </c>
      <c r="E86" s="58">
        <f>'A1. Data scoring'!R70</f>
        <v/>
      </c>
      <c r="R86" s="60" t="n"/>
    </row>
    <row r="88">
      <c r="B88" s="7" t="inlineStr">
        <is>
          <t>TR2(d)</t>
        </is>
      </c>
      <c r="C88" s="50" t="inlineStr">
        <is>
          <t>Case-based evidence demonstrating how research has contributed to meaningful sustainability outcomes.</t>
        </is>
      </c>
      <c r="D88" s="55" t="inlineStr">
        <is>
          <t>Unit</t>
        </is>
      </c>
      <c r="E88" s="55" t="inlineStr">
        <is>
          <t>ABP</t>
        </is>
      </c>
      <c r="F88" s="55" t="inlineStr">
        <is>
          <t>ARTS</t>
        </is>
      </c>
      <c r="G88" s="55" t="inlineStr">
        <is>
          <t>FBE</t>
        </is>
      </c>
      <c r="H88" s="55" t="inlineStr">
        <is>
          <t>SCI</t>
        </is>
      </c>
      <c r="I88" s="55" t="inlineStr">
        <is>
          <t>CI&amp;S – Sustainability Strategy</t>
        </is>
      </c>
      <c r="P88" s="56">
        <f>'A1. Data scoring'!AH71</f>
        <v/>
      </c>
      <c r="Q88" s="56">
        <f>'A1. Data scoring'!AK71</f>
        <v/>
      </c>
      <c r="R88" s="8" t="n"/>
    </row>
    <row r="89" ht="18" customHeight="1">
      <c r="B89" s="57" t="inlineStr">
        <is>
          <t>TR2(d)</t>
        </is>
      </c>
      <c r="D89" s="13" t="inlineStr">
        <is>
          <t>Confirm end-2026 target status</t>
        </is>
      </c>
      <c r="E89" s="58">
        <f>'A1. Data scoring'!H71</f>
        <v/>
      </c>
      <c r="F89" s="58">
        <f>'A1. Data scoring'!I71</f>
        <v/>
      </c>
      <c r="G89" s="58">
        <f>'A1. Data scoring'!J71</f>
        <v/>
      </c>
      <c r="H89" s="58">
        <f>'A1. Data scoring'!K71</f>
        <v/>
      </c>
      <c r="I89" s="58">
        <f>'A1. Data scoring'!M71</f>
        <v/>
      </c>
      <c r="R89" s="59" t="n"/>
    </row>
    <row r="90" ht="60" customHeight="1">
      <c r="B90" s="57" t="inlineStr">
        <is>
          <t>TR2(d)</t>
        </is>
      </c>
      <c r="D90" s="13" t="inlineStr">
        <is>
          <t>OPTION 1:  Target-level reporting</t>
        </is>
      </c>
      <c r="E90" s="58">
        <f>'A1. Data scoring'!H72</f>
        <v/>
      </c>
      <c r="F90" s="58">
        <f>'A1. Data scoring'!I72</f>
        <v/>
      </c>
      <c r="G90" s="58">
        <f>'A1. Data scoring'!J72</f>
        <v/>
      </c>
      <c r="H90" s="58">
        <f>'A1. Data scoring'!K72</f>
        <v/>
      </c>
      <c r="I90" s="58">
        <f>'A1. Data scoring'!M72</f>
        <v/>
      </c>
      <c r="R90" s="59" t="n"/>
    </row>
    <row r="91" ht="60" customHeight="1">
      <c r="B91" s="57" t="inlineStr">
        <is>
          <t>TR2(d)</t>
        </is>
      </c>
      <c r="D91" s="13" t="inlineStr">
        <is>
          <t>OPTION 2:  Indicator level reporting</t>
        </is>
      </c>
      <c r="E91" s="58">
        <f>'A1. Data scoring'!H73</f>
        <v/>
      </c>
      <c r="F91" s="58">
        <f>'A1. Data scoring'!I73</f>
        <v/>
      </c>
      <c r="G91" s="58">
        <f>'A1. Data scoring'!J73</f>
        <v/>
      </c>
      <c r="H91" s="58">
        <f>'A1. Data scoring'!K73</f>
        <v/>
      </c>
      <c r="I91" s="58">
        <f>'A1. Data scoring'!M73</f>
        <v/>
      </c>
      <c r="R91" s="59" t="n"/>
    </row>
    <row r="92" ht="18" customHeight="1">
      <c r="B92" s="57" t="inlineStr">
        <is>
          <t>TR2(d)</t>
        </is>
      </c>
      <c r="D92" s="13" t="inlineStr">
        <is>
          <t>Supporting information/comments</t>
        </is>
      </c>
      <c r="E92" s="58">
        <f>'A1. Data scoring'!H74</f>
        <v/>
      </c>
      <c r="F92" s="58">
        <f>'A1. Data scoring'!I74</f>
        <v/>
      </c>
      <c r="G92" s="58">
        <f>'A1. Data scoring'!J74</f>
        <v/>
      </c>
      <c r="H92" s="58">
        <f>'A1. Data scoring'!K74</f>
        <v/>
      </c>
      <c r="I92" s="58">
        <f>'A1. Data scoring'!M74</f>
        <v/>
      </c>
      <c r="R92" s="59" t="n"/>
    </row>
    <row r="93" ht="18" customHeight="1">
      <c r="B93" s="57" t="inlineStr">
        <is>
          <t>TR2(d)</t>
        </is>
      </c>
      <c r="D93" s="13" t="inlineStr">
        <is>
          <t>Data source and limitations</t>
        </is>
      </c>
      <c r="E93" s="58">
        <f>'A1. Data scoring'!H75</f>
        <v/>
      </c>
      <c r="F93" s="58">
        <f>'A1. Data scoring'!I75</f>
        <v/>
      </c>
      <c r="G93" s="58">
        <f>'A1. Data scoring'!J75</f>
        <v/>
      </c>
      <c r="H93" s="58">
        <f>'A1. Data scoring'!K75</f>
        <v/>
      </c>
      <c r="I93" s="58">
        <f>'A1. Data scoring'!M75</f>
        <v/>
      </c>
      <c r="R93" s="59" t="n"/>
    </row>
    <row r="94" ht="18" customHeight="1">
      <c r="B94" s="57" t="inlineStr">
        <is>
          <t>TR2(d)</t>
        </is>
      </c>
      <c r="D94" s="13" t="inlineStr">
        <is>
          <t>Data owner confirms</t>
        </is>
      </c>
      <c r="E94" s="58">
        <f>'A1. Data scoring'!H76</f>
        <v/>
      </c>
      <c r="F94" s="58">
        <f>'A1. Data scoring'!I76</f>
        <v/>
      </c>
      <c r="G94" s="58">
        <f>'A1. Data scoring'!J76</f>
        <v/>
      </c>
      <c r="H94" s="58">
        <f>'A1. Data scoring'!K76</f>
        <v/>
      </c>
      <c r="I94" s="58">
        <f>'A1. Data scoring'!M76</f>
        <v/>
      </c>
      <c r="R94" s="60" t="n"/>
    </row>
    <row r="96">
      <c r="B96" s="7" t="inlineStr">
        <is>
          <t>TR3(a)</t>
        </is>
      </c>
      <c r="C96" s="50" t="inlineStr">
        <is>
          <t>Evidence that sustainability considerations are integrated into relevant research systems, planning processes, guidance, training, induction or support services</t>
        </is>
      </c>
      <c r="D96" s="55" t="inlineStr">
        <is>
          <t>Unit</t>
        </is>
      </c>
      <c r="E96" s="55" t="inlineStr">
        <is>
          <t>MRE – Research</t>
        </is>
      </c>
      <c r="P96" s="56">
        <f>'A1. Data scoring'!AH77</f>
        <v/>
      </c>
      <c r="Q96" s="56">
        <f>'A1. Data scoring'!AK77</f>
        <v/>
      </c>
      <c r="R96" s="8" t="n"/>
    </row>
    <row r="97" ht="18" customHeight="1">
      <c r="B97" s="57" t="inlineStr">
        <is>
          <t>TR3(a)</t>
        </is>
      </c>
      <c r="D97" s="13" t="inlineStr">
        <is>
          <t>Confirm end-2026 target status</t>
        </is>
      </c>
      <c r="E97" s="58">
        <f>'A1. Data scoring'!R77</f>
        <v/>
      </c>
      <c r="R97" s="59" t="n"/>
    </row>
    <row r="98" ht="60" customHeight="1">
      <c r="B98" s="57" t="inlineStr">
        <is>
          <t>TR3(a)</t>
        </is>
      </c>
      <c r="D98" s="13" t="inlineStr">
        <is>
          <t>OPTION 1:  Target-level reporting</t>
        </is>
      </c>
      <c r="E98" s="58">
        <f>'A1. Data scoring'!R78</f>
        <v/>
      </c>
      <c r="R98" s="59" t="n"/>
    </row>
    <row r="99" ht="60" customHeight="1">
      <c r="B99" s="57" t="inlineStr">
        <is>
          <t>TR3(a)</t>
        </is>
      </c>
      <c r="D99" s="13" t="inlineStr">
        <is>
          <t>OPTION 2:  Indicator level reporting</t>
        </is>
      </c>
      <c r="E99" s="58">
        <f>'A1. Data scoring'!R79</f>
        <v/>
      </c>
      <c r="R99" s="59" t="n"/>
    </row>
    <row r="100" ht="18" customHeight="1">
      <c r="B100" s="57" t="inlineStr">
        <is>
          <t>TR3(a)</t>
        </is>
      </c>
      <c r="D100" s="13" t="inlineStr">
        <is>
          <t>Supporting information/comments</t>
        </is>
      </c>
      <c r="E100" s="58">
        <f>'A1. Data scoring'!R80</f>
        <v/>
      </c>
      <c r="R100" s="59" t="n"/>
    </row>
    <row r="101" ht="18" customHeight="1">
      <c r="B101" s="57" t="inlineStr">
        <is>
          <t>TR3(a)</t>
        </is>
      </c>
      <c r="D101" s="13" t="inlineStr">
        <is>
          <t>Data source and limitations</t>
        </is>
      </c>
      <c r="E101" s="58">
        <f>'A1. Data scoring'!R81</f>
        <v/>
      </c>
      <c r="R101" s="59" t="n"/>
    </row>
    <row r="102" ht="18" customHeight="1">
      <c r="B102" s="57" t="inlineStr">
        <is>
          <t>TR3(a)</t>
        </is>
      </c>
      <c r="D102" s="13" t="inlineStr">
        <is>
          <t>Data owner confirms</t>
        </is>
      </c>
      <c r="E102" s="58">
        <f>'A1. Data scoring'!R82</f>
        <v/>
      </c>
      <c r="R102" s="60" t="n"/>
    </row>
    <row r="104">
      <c r="B104" s="7" t="inlineStr">
        <is>
          <t>TR3(b)</t>
        </is>
      </c>
      <c r="C104" s="50" t="inlineStr">
        <is>
          <t>Demonstrated examples of more sustainable research practices in laboratories, fieldwork, procurement, travel or infrastructure use</t>
        </is>
      </c>
      <c r="D104" s="55" t="inlineStr">
        <is>
          <t>Unit</t>
        </is>
      </c>
      <c r="E104" s="55" t="inlineStr">
        <is>
          <t>ABP</t>
        </is>
      </c>
      <c r="F104" s="55" t="inlineStr">
        <is>
          <t>ARTS</t>
        </is>
      </c>
      <c r="G104" s="55" t="inlineStr">
        <is>
          <t>FBE</t>
        </is>
      </c>
      <c r="H104" s="55" t="inlineStr">
        <is>
          <t>SCI</t>
        </is>
      </c>
      <c r="I104" s="55" t="inlineStr">
        <is>
          <t>CI&amp;S – Sustainability Strategy</t>
        </is>
      </c>
      <c r="J104" s="55" t="inlineStr">
        <is>
          <t>CFOG – Procurement</t>
        </is>
      </c>
      <c r="P104" s="56">
        <f>'A1. Data scoring'!AH83</f>
        <v/>
      </c>
      <c r="Q104" s="56">
        <f>'A1. Data scoring'!AK83</f>
        <v/>
      </c>
      <c r="R104" s="8" t="n"/>
    </row>
    <row r="105" ht="18" customHeight="1">
      <c r="B105" s="57" t="inlineStr">
        <is>
          <t>TR3(b)</t>
        </is>
      </c>
      <c r="D105" s="13" t="inlineStr">
        <is>
          <t>Confirm end-2026 target status</t>
        </is>
      </c>
      <c r="E105" s="58">
        <f>'A1. Data scoring'!H83</f>
        <v/>
      </c>
      <c r="F105" s="58">
        <f>'A1. Data scoring'!I83</f>
        <v/>
      </c>
      <c r="G105" s="58">
        <f>'A1. Data scoring'!J83</f>
        <v/>
      </c>
      <c r="H105" s="58">
        <f>'A1. Data scoring'!K83</f>
        <v/>
      </c>
      <c r="I105" s="58">
        <f>'A1. Data scoring'!M83</f>
        <v/>
      </c>
      <c r="J105" s="58">
        <f>'A1. Data scoring'!N83</f>
        <v/>
      </c>
      <c r="R105" s="59" t="n"/>
    </row>
    <row r="106" ht="60" customHeight="1">
      <c r="B106" s="57" t="inlineStr">
        <is>
          <t>TR3(b)</t>
        </is>
      </c>
      <c r="D106" s="13" t="inlineStr">
        <is>
          <t>OPTION 1:  Target-level reporting</t>
        </is>
      </c>
      <c r="E106" s="58">
        <f>'A1. Data scoring'!H84</f>
        <v/>
      </c>
      <c r="F106" s="58">
        <f>'A1. Data scoring'!I84</f>
        <v/>
      </c>
      <c r="G106" s="58">
        <f>'A1. Data scoring'!J84</f>
        <v/>
      </c>
      <c r="H106" s="58">
        <f>'A1. Data scoring'!K84</f>
        <v/>
      </c>
      <c r="I106" s="58">
        <f>'A1. Data scoring'!M84</f>
        <v/>
      </c>
      <c r="J106" s="58">
        <f>'A1. Data scoring'!N84</f>
        <v/>
      </c>
      <c r="R106" s="59" t="n"/>
    </row>
    <row r="107" ht="60" customHeight="1">
      <c r="B107" s="57" t="inlineStr">
        <is>
          <t>TR3(b)</t>
        </is>
      </c>
      <c r="D107" s="13" t="inlineStr">
        <is>
          <t>OPTION 2:  Indicator level reporting</t>
        </is>
      </c>
      <c r="E107" s="58">
        <f>'A1. Data scoring'!H85</f>
        <v/>
      </c>
      <c r="F107" s="58">
        <f>'A1. Data scoring'!I85</f>
        <v/>
      </c>
      <c r="G107" s="58">
        <f>'A1. Data scoring'!J85</f>
        <v/>
      </c>
      <c r="H107" s="58">
        <f>'A1. Data scoring'!K85</f>
        <v/>
      </c>
      <c r="I107" s="58">
        <f>'A1. Data scoring'!M85</f>
        <v/>
      </c>
      <c r="J107" s="58">
        <f>'A1. Data scoring'!N85</f>
        <v/>
      </c>
      <c r="R107" s="59" t="n"/>
    </row>
    <row r="108" ht="18" customHeight="1">
      <c r="B108" s="57" t="inlineStr">
        <is>
          <t>TR3(b)</t>
        </is>
      </c>
      <c r="D108" s="13" t="inlineStr">
        <is>
          <t>Supporting information/comments</t>
        </is>
      </c>
      <c r="E108" s="58">
        <f>'A1. Data scoring'!H86</f>
        <v/>
      </c>
      <c r="F108" s="58">
        <f>'A1. Data scoring'!I86</f>
        <v/>
      </c>
      <c r="G108" s="58">
        <f>'A1. Data scoring'!J86</f>
        <v/>
      </c>
      <c r="H108" s="58">
        <f>'A1. Data scoring'!K86</f>
        <v/>
      </c>
      <c r="I108" s="58">
        <f>'A1. Data scoring'!M86</f>
        <v/>
      </c>
      <c r="J108" s="58">
        <f>'A1. Data scoring'!N86</f>
        <v/>
      </c>
      <c r="R108" s="59" t="n"/>
    </row>
    <row r="109" ht="18" customHeight="1">
      <c r="B109" s="57" t="inlineStr">
        <is>
          <t>TR3(b)</t>
        </is>
      </c>
      <c r="D109" s="13" t="inlineStr">
        <is>
          <t>Data source and limitations</t>
        </is>
      </c>
      <c r="E109" s="58">
        <f>'A1. Data scoring'!H87</f>
        <v/>
      </c>
      <c r="F109" s="58">
        <f>'A1. Data scoring'!I87</f>
        <v/>
      </c>
      <c r="G109" s="58">
        <f>'A1. Data scoring'!J87</f>
        <v/>
      </c>
      <c r="H109" s="58">
        <f>'A1. Data scoring'!K87</f>
        <v/>
      </c>
      <c r="I109" s="58">
        <f>'A1. Data scoring'!M87</f>
        <v/>
      </c>
      <c r="J109" s="58">
        <f>'A1. Data scoring'!N87</f>
        <v/>
      </c>
      <c r="R109" s="59" t="n"/>
    </row>
    <row r="110" ht="18" customHeight="1">
      <c r="B110" s="57" t="inlineStr">
        <is>
          <t>TR3(b)</t>
        </is>
      </c>
      <c r="D110" s="13" t="inlineStr">
        <is>
          <t>Data owner confirms</t>
        </is>
      </c>
      <c r="E110" s="58">
        <f>'A1. Data scoring'!H88</f>
        <v/>
      </c>
      <c r="F110" s="58">
        <f>'A1. Data scoring'!I88</f>
        <v/>
      </c>
      <c r="G110" s="58">
        <f>'A1. Data scoring'!J88</f>
        <v/>
      </c>
      <c r="H110" s="58">
        <f>'A1. Data scoring'!K88</f>
        <v/>
      </c>
      <c r="I110" s="58">
        <f>'A1. Data scoring'!M88</f>
        <v/>
      </c>
      <c r="J110" s="58">
        <f>'A1. Data scoring'!N88</f>
        <v/>
      </c>
      <c r="R110" s="60" t="n"/>
    </row>
    <row r="112">
      <c r="B112" s="7" t="inlineStr">
        <is>
          <t>TR3(c)</t>
        </is>
      </c>
      <c r="C112" s="50" t="inlineStr">
        <is>
          <t>Evidence of progress in sustainability-related research culture, capability and awareness, informed by periodic staff and graduate researcher surveys</t>
        </is>
      </c>
      <c r="D112" s="55" t="inlineStr">
        <is>
          <t>Unit</t>
        </is>
      </c>
      <c r="E112" s="55" t="inlineStr">
        <is>
          <t>MRE – Research</t>
        </is>
      </c>
      <c r="P112" s="56">
        <f>'A1. Data scoring'!AH89</f>
        <v/>
      </c>
      <c r="Q112" s="56">
        <f>'A1. Data scoring'!AK89</f>
        <v/>
      </c>
      <c r="R112" s="8" t="n"/>
    </row>
    <row r="113" ht="18" customHeight="1">
      <c r="B113" s="57" t="inlineStr">
        <is>
          <t>TR3(c)</t>
        </is>
      </c>
      <c r="D113" s="13" t="inlineStr">
        <is>
          <t>Confirm end-2026 target status</t>
        </is>
      </c>
      <c r="E113" s="58">
        <f>'A1. Data scoring'!R89</f>
        <v/>
      </c>
      <c r="R113" s="59" t="n"/>
    </row>
    <row r="114" ht="60" customHeight="1">
      <c r="B114" s="57" t="inlineStr">
        <is>
          <t>TR3(c)</t>
        </is>
      </c>
      <c r="D114" s="13" t="inlineStr">
        <is>
          <t>OPTION 1:  Target-level reporting</t>
        </is>
      </c>
      <c r="E114" s="58">
        <f>'A1. Data scoring'!R90</f>
        <v/>
      </c>
      <c r="R114" s="59" t="n"/>
    </row>
    <row r="115" ht="60" customHeight="1">
      <c r="B115" s="57" t="inlineStr">
        <is>
          <t>TR3(c)</t>
        </is>
      </c>
      <c r="D115" s="13" t="inlineStr">
        <is>
          <t>OPTION 2:  Indicator level reporting</t>
        </is>
      </c>
      <c r="E115" s="58">
        <f>'A1. Data scoring'!R91</f>
        <v/>
      </c>
      <c r="R115" s="59" t="n"/>
    </row>
    <row r="116" ht="18" customHeight="1">
      <c r="B116" s="57" t="inlineStr">
        <is>
          <t>TR3(c)</t>
        </is>
      </c>
      <c r="D116" s="13" t="inlineStr">
        <is>
          <t>Supporting information/comments</t>
        </is>
      </c>
      <c r="E116" s="58">
        <f>'A1. Data scoring'!R92</f>
        <v/>
      </c>
      <c r="R116" s="59" t="n"/>
    </row>
    <row r="117" ht="18" customHeight="1">
      <c r="B117" s="57" t="inlineStr">
        <is>
          <t>TR3(c)</t>
        </is>
      </c>
      <c r="D117" s="13" t="inlineStr">
        <is>
          <t>Data source and limitations</t>
        </is>
      </c>
      <c r="E117" s="58">
        <f>'A1. Data scoring'!R93</f>
        <v/>
      </c>
      <c r="R117" s="59" t="n"/>
    </row>
    <row r="118" ht="18" customHeight="1">
      <c r="B118" s="57" t="inlineStr">
        <is>
          <t>TR3(c)</t>
        </is>
      </c>
      <c r="D118" s="13" t="inlineStr">
        <is>
          <t>Data owner confirms</t>
        </is>
      </c>
      <c r="E118" s="58">
        <f>'A1. Data scoring'!R94</f>
        <v/>
      </c>
      <c r="R118" s="60" t="n"/>
    </row>
    <row r="120">
      <c r="B120" s="7" t="inlineStr">
        <is>
          <t>TR3(d)</t>
        </is>
      </c>
      <c r="C120" s="50" t="inlineStr">
        <is>
          <t>Expert assessment of progress in embedding sustainable research practices across the institution.</t>
        </is>
      </c>
      <c r="D120" s="55" t="inlineStr">
        <is>
          <t>Unit</t>
        </is>
      </c>
      <c r="E120" s="55" t="inlineStr">
        <is>
          <t>MRE – Research</t>
        </is>
      </c>
      <c r="P120" s="56">
        <f>'A1. Data scoring'!AH95</f>
        <v/>
      </c>
      <c r="Q120" s="56">
        <f>'A1. Data scoring'!AK95</f>
        <v/>
      </c>
      <c r="R120" s="8" t="n"/>
    </row>
    <row r="121" ht="18" customHeight="1">
      <c r="B121" s="57" t="inlineStr">
        <is>
          <t>TR3(d)</t>
        </is>
      </c>
      <c r="D121" s="13" t="inlineStr">
        <is>
          <t>Confirm end-2026 target status</t>
        </is>
      </c>
      <c r="E121" s="58">
        <f>'A1. Data scoring'!R95</f>
        <v/>
      </c>
      <c r="R121" s="59" t="n"/>
    </row>
    <row r="122" ht="60" customHeight="1">
      <c r="B122" s="57" t="inlineStr">
        <is>
          <t>TR3(d)</t>
        </is>
      </c>
      <c r="D122" s="13" t="inlineStr">
        <is>
          <t>OPTION 1:  Target-level reporting</t>
        </is>
      </c>
      <c r="E122" s="58">
        <f>'A1. Data scoring'!R96</f>
        <v/>
      </c>
      <c r="R122" s="59" t="n"/>
    </row>
    <row r="123" ht="60" customHeight="1">
      <c r="B123" s="57" t="inlineStr">
        <is>
          <t>TR3(d)</t>
        </is>
      </c>
      <c r="D123" s="13" t="inlineStr">
        <is>
          <t>OPTION 2:  Indicator level reporting</t>
        </is>
      </c>
      <c r="E123" s="58">
        <f>'A1. Data scoring'!R97</f>
        <v/>
      </c>
      <c r="R123" s="59" t="n"/>
    </row>
    <row r="124" ht="18" customHeight="1">
      <c r="B124" s="57" t="inlineStr">
        <is>
          <t>TR3(d)</t>
        </is>
      </c>
      <c r="D124" s="13" t="inlineStr">
        <is>
          <t>Supporting information/comments</t>
        </is>
      </c>
      <c r="E124" s="58">
        <f>'A1. Data scoring'!R98</f>
        <v/>
      </c>
      <c r="R124" s="59" t="n"/>
    </row>
    <row r="125" ht="18" customHeight="1">
      <c r="B125" s="57" t="inlineStr">
        <is>
          <t>TR3(d)</t>
        </is>
      </c>
      <c r="D125" s="13" t="inlineStr">
        <is>
          <t>Data source and limitations</t>
        </is>
      </c>
      <c r="E125" s="58">
        <f>'A1. Data scoring'!R99</f>
        <v/>
      </c>
      <c r="R125" s="59" t="n"/>
    </row>
    <row r="126" ht="18" customHeight="1">
      <c r="B126" s="57" t="inlineStr">
        <is>
          <t>TR3(d)</t>
        </is>
      </c>
      <c r="D126" s="13" t="inlineStr">
        <is>
          <t>Data owner confirms</t>
        </is>
      </c>
      <c r="E126" s="58">
        <f>'A1. Data scoring'!R100</f>
        <v/>
      </c>
      <c r="R126" s="60" t="n"/>
    </row>
    <row r="128">
      <c r="B128" s="7" t="inlineStr">
        <is>
          <t>CL1(c)</t>
        </is>
      </c>
      <c r="C128" s="50" t="inlineStr">
        <is>
          <t>Review of Climate Leadership targets by 2030.[2]</t>
        </is>
      </c>
      <c r="D128" s="55" t="inlineStr">
        <is>
          <t>Unit</t>
        </is>
      </c>
      <c r="E128" s="55" t="inlineStr">
        <is>
          <t>CI&amp;S – Sustainability Strategy</t>
        </is>
      </c>
      <c r="P128" s="56">
        <f>'A1. Data scoring'!AH101</f>
        <v/>
      </c>
      <c r="Q128" s="56">
        <f>'A1. Data scoring'!AK101</f>
        <v/>
      </c>
      <c r="R128" s="8" t="n"/>
    </row>
    <row r="129" ht="18" customHeight="1">
      <c r="B129" s="57" t="inlineStr">
        <is>
          <t>CL1(c)</t>
        </is>
      </c>
      <c r="D129" s="13" t="inlineStr">
        <is>
          <t>Confirm end-2026 target status</t>
        </is>
      </c>
      <c r="E129" s="58">
        <f>'A1. Data scoring'!M101</f>
        <v/>
      </c>
      <c r="R129" s="59" t="n"/>
    </row>
    <row r="130" ht="60" customHeight="1">
      <c r="B130" s="57" t="inlineStr">
        <is>
          <t>CL1(c)</t>
        </is>
      </c>
      <c r="D130" s="13" t="inlineStr">
        <is>
          <t>OPTION 1:  Target-level reporting</t>
        </is>
      </c>
      <c r="E130" s="58">
        <f>'A1. Data scoring'!M102</f>
        <v/>
      </c>
      <c r="R130" s="59" t="n"/>
    </row>
    <row r="131" ht="60" customHeight="1">
      <c r="B131" s="57" t="inlineStr">
        <is>
          <t>CL1(c)</t>
        </is>
      </c>
      <c r="D131" s="13" t="inlineStr">
        <is>
          <t>OPTION 2:  Indicator level reporting</t>
        </is>
      </c>
      <c r="E131" s="58">
        <f>'A1. Data scoring'!M103</f>
        <v/>
      </c>
      <c r="R131" s="59" t="n"/>
    </row>
    <row r="132" ht="18" customHeight="1">
      <c r="B132" s="57" t="inlineStr">
        <is>
          <t>CL1(c)</t>
        </is>
      </c>
      <c r="D132" s="13" t="inlineStr">
        <is>
          <t>Supporting information/comments</t>
        </is>
      </c>
      <c r="E132" s="58">
        <f>'A1. Data scoring'!M104</f>
        <v/>
      </c>
      <c r="R132" s="59" t="n"/>
    </row>
    <row r="133" ht="18" customHeight="1">
      <c r="B133" s="57" t="inlineStr">
        <is>
          <t>CL1(c)</t>
        </is>
      </c>
      <c r="D133" s="13" t="inlineStr">
        <is>
          <t>Data source and limitations</t>
        </is>
      </c>
      <c r="E133" s="58">
        <f>'A1. Data scoring'!M105</f>
        <v/>
      </c>
      <c r="R133" s="59" t="n"/>
    </row>
    <row r="134" ht="18" customHeight="1">
      <c r="B134" s="57" t="inlineStr">
        <is>
          <t>CL1(c)</t>
        </is>
      </c>
      <c r="D134" s="13" t="inlineStr">
        <is>
          <t>Data owner confirms</t>
        </is>
      </c>
      <c r="E134" s="58">
        <f>'A1. Data scoring'!M106</f>
        <v/>
      </c>
      <c r="R134" s="60" t="n"/>
    </row>
    <row r="136">
      <c r="B136" s="7" t="inlineStr">
        <is>
          <t>CL2(a)</t>
        </is>
      </c>
      <c r="C136" s="50" t="inlineStr">
        <is>
          <t>By 2028, develop and document institutional mapping of research and education activities that are designed to contribute to global decarbonisation</t>
        </is>
      </c>
      <c r="D136" s="55" t="inlineStr">
        <is>
          <t>Unit</t>
        </is>
      </c>
      <c r="E136" s="55" t="inlineStr">
        <is>
          <t>AC&amp;M – Advancement, Communication and Marketing</t>
        </is>
      </c>
      <c r="P136" s="56">
        <f>'A1. Data scoring'!AH107</f>
        <v/>
      </c>
      <c r="Q136" s="56">
        <f>'A1. Data scoring'!AK107</f>
        <v/>
      </c>
      <c r="R136" s="8" t="n"/>
    </row>
    <row r="137" ht="18" customHeight="1">
      <c r="B137" s="57" t="inlineStr">
        <is>
          <t>CL2(a)</t>
        </is>
      </c>
      <c r="D137" s="13" t="inlineStr">
        <is>
          <t>Confirm end-2026 target status</t>
        </is>
      </c>
      <c r="E137" s="58">
        <f>'A1. Data scoring'!S107</f>
        <v/>
      </c>
      <c r="R137" s="59" t="n"/>
    </row>
    <row r="138" ht="60" customHeight="1">
      <c r="B138" s="57" t="inlineStr">
        <is>
          <t>CL2(a)</t>
        </is>
      </c>
      <c r="D138" s="13" t="inlineStr">
        <is>
          <t>OPTION 1:  Target-level reporting</t>
        </is>
      </c>
      <c r="E138" s="58">
        <f>'A1. Data scoring'!S108</f>
        <v/>
      </c>
      <c r="R138" s="59" t="n"/>
    </row>
    <row r="139" ht="60" customHeight="1">
      <c r="B139" s="57" t="inlineStr">
        <is>
          <t>CL2(a)</t>
        </is>
      </c>
      <c r="D139" s="13" t="inlineStr">
        <is>
          <t>OPTION 2:  Indicator level reporting</t>
        </is>
      </c>
      <c r="E139" s="58">
        <f>'A1. Data scoring'!S109</f>
        <v/>
      </c>
      <c r="R139" s="59" t="n"/>
    </row>
    <row r="140" ht="18" customHeight="1">
      <c r="B140" s="57" t="inlineStr">
        <is>
          <t>CL2(a)</t>
        </is>
      </c>
      <c r="D140" s="13" t="inlineStr">
        <is>
          <t>Supporting information/comments</t>
        </is>
      </c>
      <c r="E140" s="58">
        <f>'A1. Data scoring'!S110</f>
        <v/>
      </c>
      <c r="R140" s="59" t="n"/>
    </row>
    <row r="141" ht="18" customHeight="1">
      <c r="B141" s="57" t="inlineStr">
        <is>
          <t>CL2(a)</t>
        </is>
      </c>
      <c r="D141" s="13" t="inlineStr">
        <is>
          <t>Data source and limitations</t>
        </is>
      </c>
      <c r="E141" s="58">
        <f>'A1. Data scoring'!S111</f>
        <v/>
      </c>
      <c r="R141" s="59" t="n"/>
    </row>
    <row r="142" ht="18" customHeight="1">
      <c r="B142" s="57" t="inlineStr">
        <is>
          <t>CL2(a)</t>
        </is>
      </c>
      <c r="D142" s="13" t="inlineStr">
        <is>
          <t>Data owner confirms</t>
        </is>
      </c>
      <c r="E142" s="58">
        <f>'A1. Data scoring'!S112</f>
        <v/>
      </c>
      <c r="R142" s="60" t="n"/>
    </row>
    <row r="144">
      <c r="B144" s="7" t="inlineStr">
        <is>
          <t>CL2(c)</t>
        </is>
      </c>
      <c r="C144" s="50" t="inlineStr">
        <is>
          <t>Ongoing communications that evidence the University’s climate action, research and learning to inform policy, sector and community decarbonisation efforts.</t>
        </is>
      </c>
      <c r="D144" s="55" t="inlineStr">
        <is>
          <t>Unit</t>
        </is>
      </c>
      <c r="E144" s="55" t="inlineStr">
        <is>
          <t>AC&amp;M – Advancement, Communication and Marketing</t>
        </is>
      </c>
      <c r="P144" s="56">
        <f>'A1. Data scoring'!AH113</f>
        <v/>
      </c>
      <c r="Q144" s="56">
        <f>'A1. Data scoring'!AK113</f>
        <v/>
      </c>
      <c r="R144" s="8" t="n"/>
    </row>
    <row r="145" ht="18" customHeight="1">
      <c r="B145" s="57" t="inlineStr">
        <is>
          <t>CL2(c)</t>
        </is>
      </c>
      <c r="D145" s="13" t="inlineStr">
        <is>
          <t>Confirm end-2026 target status</t>
        </is>
      </c>
      <c r="E145" s="58">
        <f>'A1. Data scoring'!S113</f>
        <v/>
      </c>
      <c r="R145" s="59" t="n"/>
    </row>
    <row r="146" ht="60" customHeight="1">
      <c r="B146" s="57" t="inlineStr">
        <is>
          <t>CL2(c)</t>
        </is>
      </c>
      <c r="D146" s="13" t="inlineStr">
        <is>
          <t>OPTION 1:  Target-level reporting</t>
        </is>
      </c>
      <c r="E146" s="58">
        <f>'A1. Data scoring'!S114</f>
        <v/>
      </c>
      <c r="R146" s="59" t="n"/>
    </row>
    <row r="147" ht="60" customHeight="1">
      <c r="B147" s="57" t="inlineStr">
        <is>
          <t>CL2(c)</t>
        </is>
      </c>
      <c r="D147" s="13" t="inlineStr">
        <is>
          <t>OPTION 2:  Indicator level reporting</t>
        </is>
      </c>
      <c r="E147" s="58">
        <f>'A1. Data scoring'!S115</f>
        <v/>
      </c>
      <c r="R147" s="59" t="n"/>
    </row>
    <row r="148" ht="18" customHeight="1">
      <c r="B148" s="57" t="inlineStr">
        <is>
          <t>CL2(c)</t>
        </is>
      </c>
      <c r="D148" s="13" t="inlineStr">
        <is>
          <t>Supporting information/comments</t>
        </is>
      </c>
      <c r="E148" s="58">
        <f>'A1. Data scoring'!S116</f>
        <v/>
      </c>
      <c r="R148" s="59" t="n"/>
    </row>
    <row r="149" ht="18" customHeight="1">
      <c r="B149" s="57" t="inlineStr">
        <is>
          <t>CL2(c)</t>
        </is>
      </c>
      <c r="D149" s="13" t="inlineStr">
        <is>
          <t>Data source and limitations</t>
        </is>
      </c>
      <c r="E149" s="58">
        <f>'A1. Data scoring'!S117</f>
        <v/>
      </c>
      <c r="R149" s="59" t="n"/>
    </row>
    <row r="150" ht="18" customHeight="1">
      <c r="B150" s="57" t="inlineStr">
        <is>
          <t>CL2(c)</t>
        </is>
      </c>
      <c r="D150" s="13" t="inlineStr">
        <is>
          <t>Data owner confirms</t>
        </is>
      </c>
      <c r="E150" s="58">
        <f>'A1. Data scoring'!S118</f>
        <v/>
      </c>
      <c r="R150" s="60" t="n"/>
    </row>
    <row r="152">
      <c r="B152" s="7" t="inlineStr">
        <is>
          <t>CL3(a)</t>
        </is>
      </c>
      <c r="C152"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52" s="55" t="inlineStr">
        <is>
          <t>Unit</t>
        </is>
      </c>
      <c r="E152" s="55" t="inlineStr">
        <is>
          <t>CI&amp;S – Estate Planning &amp; Development</t>
        </is>
      </c>
      <c r="F152" s="55" t="inlineStr">
        <is>
          <t>Legal &amp; Risk – Risk &amp; resilience</t>
        </is>
      </c>
      <c r="P152" s="56">
        <f>'A1. Data scoring'!AH119</f>
        <v/>
      </c>
      <c r="Q152" s="56">
        <f>'A1. Data scoring'!AK119</f>
        <v/>
      </c>
      <c r="R152" s="8" t="n"/>
    </row>
    <row r="153" ht="18" customHeight="1">
      <c r="B153" s="57" t="inlineStr">
        <is>
          <t>CL3(a)</t>
        </is>
      </c>
      <c r="D153" s="13" t="inlineStr">
        <is>
          <t>Confirm end-2026 target status</t>
        </is>
      </c>
      <c r="E153" s="58">
        <f>'A1. Data scoring'!L119</f>
        <v/>
      </c>
      <c r="F153" s="58">
        <f>'A1. Data scoring'!X119</f>
        <v/>
      </c>
      <c r="R153" s="59" t="n"/>
    </row>
    <row r="154" ht="60" customHeight="1">
      <c r="B154" s="57" t="inlineStr">
        <is>
          <t>CL3(a)</t>
        </is>
      </c>
      <c r="D154" s="13" t="inlineStr">
        <is>
          <t>OPTION 1:  Target-level reporting</t>
        </is>
      </c>
      <c r="E154" s="58">
        <f>'A1. Data scoring'!L120</f>
        <v/>
      </c>
      <c r="F154" s="58">
        <f>'A1. Data scoring'!X120</f>
        <v/>
      </c>
      <c r="R154" s="59" t="n"/>
    </row>
    <row r="155" ht="60" customHeight="1">
      <c r="B155" s="57" t="inlineStr">
        <is>
          <t>CL3(a)</t>
        </is>
      </c>
      <c r="D155" s="13" t="inlineStr">
        <is>
          <t>OPTION 2:  Indicator level reporting</t>
        </is>
      </c>
      <c r="E155" s="58">
        <f>'A1. Data scoring'!L121</f>
        <v/>
      </c>
      <c r="F155" s="58">
        <f>'A1. Data scoring'!X121</f>
        <v/>
      </c>
      <c r="R155" s="59" t="n"/>
    </row>
    <row r="156" ht="18" customHeight="1">
      <c r="B156" s="57" t="inlineStr">
        <is>
          <t>CL3(a)</t>
        </is>
      </c>
      <c r="D156" s="13" t="inlineStr">
        <is>
          <t>Supporting information/comments</t>
        </is>
      </c>
      <c r="E156" s="58">
        <f>'A1. Data scoring'!L122</f>
        <v/>
      </c>
      <c r="F156" s="58">
        <f>'A1. Data scoring'!X122</f>
        <v/>
      </c>
      <c r="R156" s="59" t="n"/>
    </row>
    <row r="157" ht="18" customHeight="1">
      <c r="B157" s="57" t="inlineStr">
        <is>
          <t>CL3(a)</t>
        </is>
      </c>
      <c r="D157" s="13" t="inlineStr">
        <is>
          <t>Data source and limitations</t>
        </is>
      </c>
      <c r="E157" s="58">
        <f>'A1. Data scoring'!L123</f>
        <v/>
      </c>
      <c r="F157" s="58">
        <f>'A1. Data scoring'!X123</f>
        <v/>
      </c>
      <c r="R157" s="59" t="n"/>
    </row>
    <row r="158" ht="18" customHeight="1">
      <c r="B158" s="57" t="inlineStr">
        <is>
          <t>CL3(a)</t>
        </is>
      </c>
      <c r="D158" s="13" t="inlineStr">
        <is>
          <t>Data owner confirms</t>
        </is>
      </c>
      <c r="E158" s="58">
        <f>'A1. Data scoring'!L124</f>
        <v/>
      </c>
      <c r="F158" s="58">
        <f>'A1. Data scoring'!X124</f>
        <v/>
      </c>
      <c r="R158" s="60" t="n"/>
    </row>
    <row r="160">
      <c r="B160" s="7" t="inlineStr">
        <is>
          <t>NB1(b)</t>
        </is>
      </c>
      <c r="C160" s="50" t="inlineStr">
        <is>
          <t>Size, health and diversity of remnant vegetation at the Dookie and Creswick campuses</t>
        </is>
      </c>
      <c r="D160" s="55" t="inlineStr">
        <is>
          <t>Unit</t>
        </is>
      </c>
      <c r="E160" s="55" t="inlineStr">
        <is>
          <t>ESG – Campus Operations &amp; Sustainability Delivery</t>
        </is>
      </c>
      <c r="P160" s="56">
        <f>'A1. Data scoring'!AH125</f>
        <v/>
      </c>
      <c r="Q160" s="56">
        <f>'A1. Data scoring'!AK125</f>
        <v/>
      </c>
      <c r="R160" s="8" t="n"/>
    </row>
    <row r="161" ht="18" customHeight="1">
      <c r="B161" s="57" t="inlineStr">
        <is>
          <t>NB1(b)</t>
        </is>
      </c>
      <c r="D161" s="13" t="inlineStr">
        <is>
          <t>Confirm end-2026 target status</t>
        </is>
      </c>
      <c r="E161" s="58">
        <f>'A1. Data scoring'!P125</f>
        <v/>
      </c>
      <c r="R161" s="59" t="n"/>
    </row>
    <row r="162" ht="60" customHeight="1">
      <c r="B162" s="57" t="inlineStr">
        <is>
          <t>NB1(b)</t>
        </is>
      </c>
      <c r="D162" s="13" t="inlineStr">
        <is>
          <t>OPTION 1:  Target-level reporting</t>
        </is>
      </c>
      <c r="E162" s="58">
        <f>'A1. Data scoring'!P126</f>
        <v/>
      </c>
      <c r="R162" s="59" t="n"/>
    </row>
    <row r="163" ht="60" customHeight="1">
      <c r="B163" s="57" t="inlineStr">
        <is>
          <t>NB1(b)</t>
        </is>
      </c>
      <c r="D163" s="13" t="inlineStr">
        <is>
          <t>OPTION 2:  Indicator level reporting</t>
        </is>
      </c>
      <c r="E163" s="58">
        <f>'A1. Data scoring'!P127</f>
        <v/>
      </c>
      <c r="R163" s="59" t="n"/>
    </row>
    <row r="164" ht="18" customHeight="1">
      <c r="B164" s="57" t="inlineStr">
        <is>
          <t>NB1(b)</t>
        </is>
      </c>
      <c r="D164" s="13" t="inlineStr">
        <is>
          <t>Supporting information/comments</t>
        </is>
      </c>
      <c r="E164" s="58">
        <f>'A1. Data scoring'!P128</f>
        <v/>
      </c>
      <c r="R164" s="59" t="n"/>
    </row>
    <row r="165" ht="18" customHeight="1">
      <c r="B165" s="57" t="inlineStr">
        <is>
          <t>NB1(b)</t>
        </is>
      </c>
      <c r="D165" s="13" t="inlineStr">
        <is>
          <t>Data source and limitations</t>
        </is>
      </c>
      <c r="E165" s="58">
        <f>'A1. Data scoring'!P129</f>
        <v/>
      </c>
      <c r="R165" s="59" t="n"/>
    </row>
    <row r="166" ht="18" customHeight="1">
      <c r="B166" s="57" t="inlineStr">
        <is>
          <t>NB1(b)</t>
        </is>
      </c>
      <c r="D166" s="13" t="inlineStr">
        <is>
          <t>Data owner confirms</t>
        </is>
      </c>
      <c r="E166" s="58">
        <f>'A1. Data scoring'!P130</f>
        <v/>
      </c>
      <c r="R166" s="60" t="n"/>
    </row>
    <row r="168">
      <c r="B168" s="7" t="inlineStr">
        <is>
          <t>NB1(c)</t>
        </is>
      </c>
      <c r="C168" s="50" t="inlineStr">
        <is>
          <t>Defined quality measurement framework</t>
        </is>
      </c>
      <c r="D168" s="55" t="inlineStr">
        <is>
          <t>Unit</t>
        </is>
      </c>
      <c r="E168" s="55" t="inlineStr">
        <is>
          <t>ESG – Campus Operations &amp; Sustainability Delivery</t>
        </is>
      </c>
      <c r="P168" s="56">
        <f>'A1. Data scoring'!AH131</f>
        <v/>
      </c>
      <c r="Q168" s="56">
        <f>'A1. Data scoring'!AK131</f>
        <v/>
      </c>
      <c r="R168" s="8" t="n"/>
    </row>
    <row r="169" ht="18" customHeight="1">
      <c r="B169" s="57" t="inlineStr">
        <is>
          <t>NB1(c)</t>
        </is>
      </c>
      <c r="D169" s="13" t="inlineStr">
        <is>
          <t>Confirm end-2026 target status</t>
        </is>
      </c>
      <c r="E169" s="58">
        <f>'A1. Data scoring'!P131</f>
        <v/>
      </c>
      <c r="R169" s="59" t="n"/>
    </row>
    <row r="170" ht="60" customHeight="1">
      <c r="B170" s="57" t="inlineStr">
        <is>
          <t>NB1(c)</t>
        </is>
      </c>
      <c r="D170" s="13" t="inlineStr">
        <is>
          <t>OPTION 1:  Target-level reporting</t>
        </is>
      </c>
      <c r="E170" s="58">
        <f>'A1. Data scoring'!P132</f>
        <v/>
      </c>
      <c r="R170" s="59" t="n"/>
    </row>
    <row r="171" ht="60" customHeight="1">
      <c r="B171" s="57" t="inlineStr">
        <is>
          <t>NB1(c)</t>
        </is>
      </c>
      <c r="D171" s="13" t="inlineStr">
        <is>
          <t>OPTION 2:  Indicator level reporting</t>
        </is>
      </c>
      <c r="E171" s="58">
        <f>'A1. Data scoring'!P133</f>
        <v/>
      </c>
      <c r="R171" s="59" t="n"/>
    </row>
    <row r="172" ht="18" customHeight="1">
      <c r="B172" s="57" t="inlineStr">
        <is>
          <t>NB1(c)</t>
        </is>
      </c>
      <c r="D172" s="13" t="inlineStr">
        <is>
          <t>Supporting information/comments</t>
        </is>
      </c>
      <c r="E172" s="58">
        <f>'A1. Data scoring'!P134</f>
        <v/>
      </c>
      <c r="R172" s="59" t="n"/>
    </row>
    <row r="173" ht="18" customHeight="1">
      <c r="B173" s="57" t="inlineStr">
        <is>
          <t>NB1(c)</t>
        </is>
      </c>
      <c r="D173" s="13" t="inlineStr">
        <is>
          <t>Data source and limitations</t>
        </is>
      </c>
      <c r="E173" s="58">
        <f>'A1. Data scoring'!P135</f>
        <v/>
      </c>
      <c r="R173" s="59" t="n"/>
    </row>
    <row r="174" ht="18" customHeight="1">
      <c r="B174" s="57" t="inlineStr">
        <is>
          <t>NB1(c)</t>
        </is>
      </c>
      <c r="D174" s="13" t="inlineStr">
        <is>
          <t>Data owner confirms</t>
        </is>
      </c>
      <c r="E174" s="58">
        <f>'A1. Data scoring'!P136</f>
        <v/>
      </c>
      <c r="R174" s="60" t="n"/>
    </row>
    <row r="176">
      <c r="B176" s="7" t="inlineStr">
        <is>
          <t>NB1(d)</t>
        </is>
      </c>
      <c r="C176" s="50" t="inlineStr">
        <is>
          <t>Defined and quantified campus connectivity</t>
        </is>
      </c>
      <c r="D176" s="55" t="inlineStr">
        <is>
          <t>Unit</t>
        </is>
      </c>
      <c r="E176" s="55" t="inlineStr">
        <is>
          <t>ESG – Campus Operations &amp; Sustainability Delivery</t>
        </is>
      </c>
      <c r="P176" s="56">
        <f>'A1. Data scoring'!AH137</f>
        <v/>
      </c>
      <c r="Q176" s="56">
        <f>'A1. Data scoring'!AK137</f>
        <v/>
      </c>
      <c r="R176" s="8" t="n"/>
    </row>
    <row r="177" ht="18" customHeight="1">
      <c r="B177" s="57" t="inlineStr">
        <is>
          <t>NB1(d)</t>
        </is>
      </c>
      <c r="D177" s="13" t="inlineStr">
        <is>
          <t>Confirm end-2026 target status</t>
        </is>
      </c>
      <c r="E177" s="58">
        <f>'A1. Data scoring'!P137</f>
        <v/>
      </c>
      <c r="R177" s="59" t="n"/>
    </row>
    <row r="178" ht="60" customHeight="1">
      <c r="B178" s="57" t="inlineStr">
        <is>
          <t>NB1(d)</t>
        </is>
      </c>
      <c r="D178" s="13" t="inlineStr">
        <is>
          <t>OPTION 1:  Target-level reporting</t>
        </is>
      </c>
      <c r="E178" s="58">
        <f>'A1. Data scoring'!P138</f>
        <v/>
      </c>
      <c r="R178" s="59" t="n"/>
    </row>
    <row r="179" ht="60" customHeight="1">
      <c r="B179" s="57" t="inlineStr">
        <is>
          <t>NB1(d)</t>
        </is>
      </c>
      <c r="D179" s="13" t="inlineStr">
        <is>
          <t>OPTION 2:  Indicator level reporting</t>
        </is>
      </c>
      <c r="E179" s="58">
        <f>'A1. Data scoring'!P139</f>
        <v/>
      </c>
      <c r="R179" s="59" t="n"/>
    </row>
    <row r="180" ht="18" customHeight="1">
      <c r="B180" s="57" t="inlineStr">
        <is>
          <t>NB1(d)</t>
        </is>
      </c>
      <c r="D180" s="13" t="inlineStr">
        <is>
          <t>Supporting information/comments</t>
        </is>
      </c>
      <c r="E180" s="58">
        <f>'A1. Data scoring'!P140</f>
        <v/>
      </c>
      <c r="R180" s="59" t="n"/>
    </row>
    <row r="181" ht="18" customHeight="1">
      <c r="B181" s="57" t="inlineStr">
        <is>
          <t>NB1(d)</t>
        </is>
      </c>
      <c r="D181" s="13" t="inlineStr">
        <is>
          <t>Data source and limitations</t>
        </is>
      </c>
      <c r="E181" s="58">
        <f>'A1. Data scoring'!P141</f>
        <v/>
      </c>
      <c r="R181" s="59" t="n"/>
    </row>
    <row r="182" ht="18" customHeight="1">
      <c r="B182" s="57" t="inlineStr">
        <is>
          <t>NB1(d)</t>
        </is>
      </c>
      <c r="D182" s="13" t="inlineStr">
        <is>
          <t>Data owner confirms</t>
        </is>
      </c>
      <c r="E182" s="58">
        <f>'A1. Data scoring'!P142</f>
        <v/>
      </c>
      <c r="R182" s="60" t="n"/>
    </row>
    <row r="184">
      <c r="B184" s="7" t="inlineStr">
        <is>
          <t>NB2(a)</t>
        </is>
      </c>
      <c r="C184" s="50" t="inlineStr">
        <is>
          <t>Documented baseline nature footprint analysis</t>
        </is>
      </c>
      <c r="D184" s="55" t="inlineStr">
        <is>
          <t>Unit</t>
        </is>
      </c>
      <c r="E184" s="55" t="inlineStr">
        <is>
          <t>MRE – Research</t>
        </is>
      </c>
      <c r="P184" s="56">
        <f>'A1. Data scoring'!AH143</f>
        <v/>
      </c>
      <c r="Q184" s="56">
        <f>'A1. Data scoring'!AK143</f>
        <v/>
      </c>
      <c r="R184" s="8" t="n"/>
    </row>
    <row r="185" ht="18" customHeight="1">
      <c r="B185" s="57" t="inlineStr">
        <is>
          <t>NB2(a)</t>
        </is>
      </c>
      <c r="D185" s="13" t="inlineStr">
        <is>
          <t>Confirm end-2026 target status</t>
        </is>
      </c>
      <c r="E185" s="58">
        <f>'A1. Data scoring'!R143</f>
        <v/>
      </c>
      <c r="R185" s="59" t="n"/>
    </row>
    <row r="186" ht="60" customHeight="1">
      <c r="B186" s="57" t="inlineStr">
        <is>
          <t>NB2(a)</t>
        </is>
      </c>
      <c r="D186" s="13" t="inlineStr">
        <is>
          <t>OPTION 1:  Target-level reporting</t>
        </is>
      </c>
      <c r="E186" s="58">
        <f>'A1. Data scoring'!R144</f>
        <v/>
      </c>
      <c r="R186" s="59" t="n"/>
    </row>
    <row r="187" ht="60" customHeight="1">
      <c r="B187" s="57" t="inlineStr">
        <is>
          <t>NB2(a)</t>
        </is>
      </c>
      <c r="D187" s="13" t="inlineStr">
        <is>
          <t>OPTION 2:  Indicator level reporting</t>
        </is>
      </c>
      <c r="E187" s="58">
        <f>'A1. Data scoring'!R145</f>
        <v/>
      </c>
      <c r="R187" s="59" t="n"/>
    </row>
    <row r="188" ht="18" customHeight="1">
      <c r="B188" s="57" t="inlineStr">
        <is>
          <t>NB2(a)</t>
        </is>
      </c>
      <c r="D188" s="13" t="inlineStr">
        <is>
          <t>Supporting information/comments</t>
        </is>
      </c>
      <c r="E188" s="58">
        <f>'A1. Data scoring'!R146</f>
        <v/>
      </c>
      <c r="R188" s="59" t="n"/>
    </row>
    <row r="189" ht="18" customHeight="1">
      <c r="B189" s="57" t="inlineStr">
        <is>
          <t>NB2(a)</t>
        </is>
      </c>
      <c r="D189" s="13" t="inlineStr">
        <is>
          <t>Data source and limitations</t>
        </is>
      </c>
      <c r="E189" s="58">
        <f>'A1. Data scoring'!R147</f>
        <v/>
      </c>
      <c r="R189" s="59" t="n"/>
    </row>
    <row r="190" ht="18" customHeight="1">
      <c r="B190" s="57" t="inlineStr">
        <is>
          <t>NB2(a)</t>
        </is>
      </c>
      <c r="D190" s="13" t="inlineStr">
        <is>
          <t>Data owner confirms</t>
        </is>
      </c>
      <c r="E190" s="58">
        <f>'A1. Data scoring'!R148</f>
        <v/>
      </c>
      <c r="R190" s="60" t="n"/>
    </row>
    <row r="192">
      <c r="B192" s="7" t="inlineStr">
        <is>
          <t>NB2(b)</t>
        </is>
      </c>
      <c r="C192" s="50" t="inlineStr">
        <is>
          <t>Evidence of established framework to monitor and track supply-chain nature impacts over time</t>
        </is>
      </c>
      <c r="D192" s="55" t="inlineStr">
        <is>
          <t>Unit</t>
        </is>
      </c>
      <c r="E192" s="55" t="inlineStr">
        <is>
          <t>ESG – Campus Operations &amp; Sustainability Delivery</t>
        </is>
      </c>
      <c r="P192" s="56">
        <f>'A1. Data scoring'!AH149</f>
        <v/>
      </c>
      <c r="Q192" s="56">
        <f>'A1. Data scoring'!AK149</f>
        <v/>
      </c>
      <c r="R192" s="8" t="n"/>
    </row>
    <row r="193" ht="18" customHeight="1">
      <c r="B193" s="57" t="inlineStr">
        <is>
          <t>NB2(b)</t>
        </is>
      </c>
      <c r="D193" s="13" t="inlineStr">
        <is>
          <t>Confirm end-2026 target status</t>
        </is>
      </c>
      <c r="E193" s="58">
        <f>'A1. Data scoring'!P149</f>
        <v/>
      </c>
      <c r="R193" s="59" t="n"/>
    </row>
    <row r="194" ht="60" customHeight="1">
      <c r="B194" s="57" t="inlineStr">
        <is>
          <t>NB2(b)</t>
        </is>
      </c>
      <c r="D194" s="13" t="inlineStr">
        <is>
          <t>OPTION 1:  Target-level reporting</t>
        </is>
      </c>
      <c r="E194" s="58">
        <f>'A1. Data scoring'!P150</f>
        <v/>
      </c>
      <c r="R194" s="59" t="n"/>
    </row>
    <row r="195" ht="60" customHeight="1">
      <c r="B195" s="57" t="inlineStr">
        <is>
          <t>NB2(b)</t>
        </is>
      </c>
      <c r="D195" s="13" t="inlineStr">
        <is>
          <t>OPTION 2:  Indicator level reporting</t>
        </is>
      </c>
      <c r="E195" s="58">
        <f>'A1. Data scoring'!P151</f>
        <v/>
      </c>
      <c r="R195" s="59" t="n"/>
    </row>
    <row r="196" ht="18" customHeight="1">
      <c r="B196" s="57" t="inlineStr">
        <is>
          <t>NB2(b)</t>
        </is>
      </c>
      <c r="D196" s="13" t="inlineStr">
        <is>
          <t>Supporting information/comments</t>
        </is>
      </c>
      <c r="E196" s="58">
        <f>'A1. Data scoring'!P152</f>
        <v/>
      </c>
      <c r="R196" s="59" t="n"/>
    </row>
    <row r="197" ht="18" customHeight="1">
      <c r="B197" s="57" t="inlineStr">
        <is>
          <t>NB2(b)</t>
        </is>
      </c>
      <c r="D197" s="13" t="inlineStr">
        <is>
          <t>Data source and limitations</t>
        </is>
      </c>
      <c r="E197" s="58">
        <f>'A1. Data scoring'!P153</f>
        <v/>
      </c>
      <c r="R197" s="59" t="n"/>
    </row>
    <row r="198" ht="18" customHeight="1">
      <c r="B198" s="57" t="inlineStr">
        <is>
          <t>NB2(b)</t>
        </is>
      </c>
      <c r="D198" s="13" t="inlineStr">
        <is>
          <t>Data owner confirms</t>
        </is>
      </c>
      <c r="E198" s="58">
        <f>'A1. Data scoring'!P154</f>
        <v/>
      </c>
      <c r="R198" s="60" t="n"/>
    </row>
    <row r="200">
      <c r="B200" s="7" t="inlineStr">
        <is>
          <t>NB2(c)</t>
        </is>
      </c>
      <c r="C200" s="50" t="inlineStr">
        <is>
          <t>Evidence of prioritised high risk procurement categories or suppliers for nature impact management</t>
        </is>
      </c>
      <c r="D200" s="55" t="inlineStr">
        <is>
          <t>Unit</t>
        </is>
      </c>
      <c r="E200" s="55" t="inlineStr">
        <is>
          <t>CFOG – Procurement</t>
        </is>
      </c>
      <c r="F200" s="55" t="inlineStr">
        <is>
          <t>ESG – Campus Operations &amp; Sustainability Delivery</t>
        </is>
      </c>
      <c r="P200" s="56">
        <f>'A1. Data scoring'!AH155</f>
        <v/>
      </c>
      <c r="Q200" s="56">
        <f>'A1. Data scoring'!AK155</f>
        <v/>
      </c>
      <c r="R200" s="8" t="n"/>
    </row>
    <row r="201" ht="18" customHeight="1">
      <c r="B201" s="57" t="inlineStr">
        <is>
          <t>NB2(c)</t>
        </is>
      </c>
      <c r="D201" s="13" t="inlineStr">
        <is>
          <t>Confirm end-2026 target status</t>
        </is>
      </c>
      <c r="E201" s="58">
        <f>'A1. Data scoring'!N155</f>
        <v/>
      </c>
      <c r="F201" s="58">
        <f>'A1. Data scoring'!P155</f>
        <v/>
      </c>
      <c r="R201" s="59" t="n"/>
    </row>
    <row r="202" ht="60" customHeight="1">
      <c r="B202" s="57" t="inlineStr">
        <is>
          <t>NB2(c)</t>
        </is>
      </c>
      <c r="D202" s="13" t="inlineStr">
        <is>
          <t>OPTION 1:  Target-level reporting</t>
        </is>
      </c>
      <c r="E202" s="58">
        <f>'A1. Data scoring'!N156</f>
        <v/>
      </c>
      <c r="F202" s="58">
        <f>'A1. Data scoring'!P156</f>
        <v/>
      </c>
      <c r="R202" s="59" t="n"/>
    </row>
    <row r="203" ht="60" customHeight="1">
      <c r="B203" s="57" t="inlineStr">
        <is>
          <t>NB2(c)</t>
        </is>
      </c>
      <c r="D203" s="13" t="inlineStr">
        <is>
          <t>OPTION 2:  Indicator level reporting</t>
        </is>
      </c>
      <c r="E203" s="58">
        <f>'A1. Data scoring'!N157</f>
        <v/>
      </c>
      <c r="F203" s="58">
        <f>'A1. Data scoring'!P157</f>
        <v/>
      </c>
      <c r="R203" s="59" t="n"/>
    </row>
    <row r="204" ht="18" customHeight="1">
      <c r="B204" s="57" t="inlineStr">
        <is>
          <t>NB2(c)</t>
        </is>
      </c>
      <c r="D204" s="13" t="inlineStr">
        <is>
          <t>Supporting information/comments</t>
        </is>
      </c>
      <c r="E204" s="58">
        <f>'A1. Data scoring'!N158</f>
        <v/>
      </c>
      <c r="F204" s="58">
        <f>'A1. Data scoring'!P158</f>
        <v/>
      </c>
      <c r="R204" s="59" t="n"/>
    </row>
    <row r="205" ht="18" customHeight="1">
      <c r="B205" s="57" t="inlineStr">
        <is>
          <t>NB2(c)</t>
        </is>
      </c>
      <c r="D205" s="13" t="inlineStr">
        <is>
          <t>Data source and limitations</t>
        </is>
      </c>
      <c r="E205" s="58">
        <f>'A1. Data scoring'!N159</f>
        <v/>
      </c>
      <c r="F205" s="58">
        <f>'A1. Data scoring'!P159</f>
        <v/>
      </c>
      <c r="R205" s="59" t="n"/>
    </row>
    <row r="206" ht="18" customHeight="1">
      <c r="B206" s="57" t="inlineStr">
        <is>
          <t>NB2(c)</t>
        </is>
      </c>
      <c r="D206" s="13" t="inlineStr">
        <is>
          <t>Data owner confirms</t>
        </is>
      </c>
      <c r="E206" s="58">
        <f>'A1. Data scoring'!N160</f>
        <v/>
      </c>
      <c r="F206" s="58">
        <f>'A1. Data scoring'!P160</f>
        <v/>
      </c>
      <c r="R206" s="60" t="n"/>
    </row>
    <row r="208">
      <c r="B208" s="7" t="inlineStr">
        <is>
          <t>AI1(a)</t>
        </is>
      </c>
      <c r="C208" s="50" t="inlineStr">
        <is>
          <t>Established measurement of estimated operational impacts and opportunities (eg operational impacts could include energy, water, emissions and intensity measures)</t>
        </is>
      </c>
      <c r="D208" s="55" t="inlineStr">
        <is>
          <t>Unit</t>
        </is>
      </c>
      <c r="E208" s="55" t="inlineStr">
        <is>
          <t>CI&amp;S – Sustainability Strategy</t>
        </is>
      </c>
      <c r="F208" s="55" t="inlineStr">
        <is>
          <t>CIOG – Responsible AI &amp; digital</t>
        </is>
      </c>
      <c r="P208" s="56">
        <f>'A1. Data scoring'!AH161</f>
        <v/>
      </c>
      <c r="Q208" s="56">
        <f>'A1. Data scoring'!AK161</f>
        <v/>
      </c>
      <c r="R208" s="8" t="n"/>
    </row>
    <row r="209" ht="18" customHeight="1">
      <c r="B209" s="57" t="inlineStr">
        <is>
          <t>AI1(a)</t>
        </is>
      </c>
      <c r="D209" s="13" t="inlineStr">
        <is>
          <t>Confirm end-2026 target status</t>
        </is>
      </c>
      <c r="E209" s="58">
        <f>'A1. Data scoring'!M161</f>
        <v/>
      </c>
      <c r="F209" s="58">
        <f>'A1. Data scoring'!Q161</f>
        <v/>
      </c>
      <c r="R209" s="59" t="n"/>
    </row>
    <row r="210" ht="60" customHeight="1">
      <c r="B210" s="57" t="inlineStr">
        <is>
          <t>AI1(a)</t>
        </is>
      </c>
      <c r="D210" s="13" t="inlineStr">
        <is>
          <t>OPTION 1:  Target-level reporting</t>
        </is>
      </c>
      <c r="E210" s="58">
        <f>'A1. Data scoring'!M162</f>
        <v/>
      </c>
      <c r="F210" s="58">
        <f>'A1. Data scoring'!Q162</f>
        <v/>
      </c>
      <c r="R210" s="59" t="n"/>
    </row>
    <row r="211" ht="60" customHeight="1">
      <c r="B211" s="57" t="inlineStr">
        <is>
          <t>AI1(a)</t>
        </is>
      </c>
      <c r="D211" s="13" t="inlineStr">
        <is>
          <t>OPTION 2:  Indicator level reporting</t>
        </is>
      </c>
      <c r="E211" s="58">
        <f>'A1. Data scoring'!M163</f>
        <v/>
      </c>
      <c r="F211" s="58">
        <f>'A1. Data scoring'!Q163</f>
        <v/>
      </c>
      <c r="R211" s="59" t="n"/>
    </row>
    <row r="212" ht="18" customHeight="1">
      <c r="B212" s="57" t="inlineStr">
        <is>
          <t>AI1(a)</t>
        </is>
      </c>
      <c r="D212" s="13" t="inlineStr">
        <is>
          <t>Supporting information/comments</t>
        </is>
      </c>
      <c r="E212" s="58">
        <f>'A1. Data scoring'!M164</f>
        <v/>
      </c>
      <c r="F212" s="58">
        <f>'A1. Data scoring'!Q164</f>
        <v/>
      </c>
      <c r="R212" s="59" t="n"/>
    </row>
    <row r="213" ht="18" customHeight="1">
      <c r="B213" s="57" t="inlineStr">
        <is>
          <t>AI1(a)</t>
        </is>
      </c>
      <c r="D213" s="13" t="inlineStr">
        <is>
          <t>Data source and limitations</t>
        </is>
      </c>
      <c r="E213" s="58">
        <f>'A1. Data scoring'!M165</f>
        <v/>
      </c>
      <c r="F213" s="58">
        <f>'A1. Data scoring'!Q165</f>
        <v/>
      </c>
      <c r="R213" s="59" t="n"/>
    </row>
    <row r="214" ht="18" customHeight="1">
      <c r="B214" s="57" t="inlineStr">
        <is>
          <t>AI1(a)</t>
        </is>
      </c>
      <c r="D214" s="13" t="inlineStr">
        <is>
          <t>Data owner confirms</t>
        </is>
      </c>
      <c r="E214" s="58">
        <f>'A1. Data scoring'!M166</f>
        <v/>
      </c>
      <c r="F214" s="58">
        <f>'A1. Data scoring'!Q166</f>
        <v/>
      </c>
      <c r="R214" s="60" t="n"/>
    </row>
    <row r="216">
      <c r="B216" s="7" t="inlineStr">
        <is>
          <t>AI1(b)</t>
        </is>
      </c>
      <c r="C216" s="50" t="inlineStr">
        <is>
          <t>Case studies of sustainability and AI-related education, research and collaboration activities.</t>
        </is>
      </c>
      <c r="D216" s="55" t="inlineStr">
        <is>
          <t>Unit</t>
        </is>
      </c>
      <c r="E216" s="55" t="inlineStr">
        <is>
          <t>CI&amp;S – Sustainability Strategy</t>
        </is>
      </c>
      <c r="F216" s="55" t="inlineStr">
        <is>
          <t>CIOG – Responsible AI &amp; digital</t>
        </is>
      </c>
      <c r="P216" s="56">
        <f>'A1. Data scoring'!AH167</f>
        <v/>
      </c>
      <c r="Q216" s="56">
        <f>'A1. Data scoring'!AK167</f>
        <v/>
      </c>
      <c r="R216" s="8" t="n"/>
    </row>
    <row r="217" ht="18" customHeight="1">
      <c r="B217" s="57" t="inlineStr">
        <is>
          <t>AI1(b)</t>
        </is>
      </c>
      <c r="D217" s="13" t="inlineStr">
        <is>
          <t>Confirm end-2026 target status</t>
        </is>
      </c>
      <c r="E217" s="58">
        <f>'A1. Data scoring'!M167</f>
        <v/>
      </c>
      <c r="F217" s="58">
        <f>'A1. Data scoring'!Q167</f>
        <v/>
      </c>
      <c r="R217" s="59" t="n"/>
    </row>
    <row r="218" ht="60" customHeight="1">
      <c r="B218" s="57" t="inlineStr">
        <is>
          <t>AI1(b)</t>
        </is>
      </c>
      <c r="D218" s="13" t="inlineStr">
        <is>
          <t>OPTION 1:  Target-level reporting</t>
        </is>
      </c>
      <c r="E218" s="58">
        <f>'A1. Data scoring'!M168</f>
        <v/>
      </c>
      <c r="F218" s="58">
        <f>'A1. Data scoring'!Q168</f>
        <v/>
      </c>
      <c r="R218" s="59" t="n"/>
    </row>
    <row r="219" ht="60" customHeight="1">
      <c r="B219" s="57" t="inlineStr">
        <is>
          <t>AI1(b)</t>
        </is>
      </c>
      <c r="D219" s="13" t="inlineStr">
        <is>
          <t>OPTION 2:  Indicator level reporting</t>
        </is>
      </c>
      <c r="E219" s="58">
        <f>'A1. Data scoring'!M169</f>
        <v/>
      </c>
      <c r="F219" s="58">
        <f>'A1. Data scoring'!Q169</f>
        <v/>
      </c>
      <c r="R219" s="59" t="n"/>
    </row>
    <row r="220" ht="18" customHeight="1">
      <c r="B220" s="57" t="inlineStr">
        <is>
          <t>AI1(b)</t>
        </is>
      </c>
      <c r="D220" s="13" t="inlineStr">
        <is>
          <t>Supporting information/comments</t>
        </is>
      </c>
      <c r="E220" s="58">
        <f>'A1. Data scoring'!M170</f>
        <v/>
      </c>
      <c r="F220" s="58">
        <f>'A1. Data scoring'!Q170</f>
        <v/>
      </c>
      <c r="R220" s="59" t="n"/>
    </row>
    <row r="221" ht="18" customHeight="1">
      <c r="B221" s="57" t="inlineStr">
        <is>
          <t>AI1(b)</t>
        </is>
      </c>
      <c r="D221" s="13" t="inlineStr">
        <is>
          <t>Data source and limitations</t>
        </is>
      </c>
      <c r="E221" s="58">
        <f>'A1. Data scoring'!M171</f>
        <v/>
      </c>
      <c r="F221" s="58">
        <f>'A1. Data scoring'!Q171</f>
        <v/>
      </c>
      <c r="R221" s="59" t="n"/>
    </row>
    <row r="222" ht="18" customHeight="1">
      <c r="B222" s="57" t="inlineStr">
        <is>
          <t>AI1(b)</t>
        </is>
      </c>
      <c r="D222" s="13" t="inlineStr">
        <is>
          <t>Data owner confirms</t>
        </is>
      </c>
      <c r="E222" s="58">
        <f>'A1. Data scoring'!M172</f>
        <v/>
      </c>
      <c r="F222" s="58">
        <f>'A1. Data scoring'!Q172</f>
        <v/>
      </c>
      <c r="R222" s="60" t="n"/>
    </row>
    <row r="224">
      <c r="B224" s="7" t="inlineStr">
        <is>
          <t>EI1(a)</t>
        </is>
      </c>
      <c r="C224" s="50" t="inlineStr">
        <is>
          <t>Evidence of increased maturity of estate and infrastructure planning, development and operations to support the other priority areas in Sustainability 2030</t>
        </is>
      </c>
      <c r="D224" s="55" t="inlineStr">
        <is>
          <t>Unit</t>
        </is>
      </c>
      <c r="E224" s="55" t="inlineStr">
        <is>
          <t>CI&amp;S – Estate Planning &amp; Development</t>
        </is>
      </c>
      <c r="P224" s="56">
        <f>'A1. Data scoring'!AH173</f>
        <v/>
      </c>
      <c r="Q224" s="56">
        <f>'A1. Data scoring'!AK173</f>
        <v/>
      </c>
      <c r="R224" s="8" t="n"/>
    </row>
    <row r="225" ht="18" customHeight="1">
      <c r="B225" s="57" t="inlineStr">
        <is>
          <t>EI1(a)</t>
        </is>
      </c>
      <c r="D225" s="13" t="inlineStr">
        <is>
          <t>Confirm end-2026 target status</t>
        </is>
      </c>
      <c r="E225" s="58">
        <f>'A1. Data scoring'!L173</f>
        <v/>
      </c>
      <c r="R225" s="59" t="n"/>
    </row>
    <row r="226" ht="60" customHeight="1">
      <c r="B226" s="57" t="inlineStr">
        <is>
          <t>EI1(a)</t>
        </is>
      </c>
      <c r="D226" s="13" t="inlineStr">
        <is>
          <t>OPTION 1:  Target-level reporting</t>
        </is>
      </c>
      <c r="E226" s="58">
        <f>'A1. Data scoring'!L174</f>
        <v/>
      </c>
      <c r="R226" s="59" t="n"/>
    </row>
    <row r="227" ht="60" customHeight="1">
      <c r="B227" s="57" t="inlineStr">
        <is>
          <t>EI1(a)</t>
        </is>
      </c>
      <c r="D227" s="13" t="inlineStr">
        <is>
          <t>OPTION 2:  Indicator level reporting</t>
        </is>
      </c>
      <c r="E227" s="58">
        <f>'A1. Data scoring'!L175</f>
        <v/>
      </c>
      <c r="R227" s="59" t="n"/>
    </row>
    <row r="228" ht="18" customHeight="1">
      <c r="B228" s="57" t="inlineStr">
        <is>
          <t>EI1(a)</t>
        </is>
      </c>
      <c r="D228" s="13" t="inlineStr">
        <is>
          <t>Supporting information/comments</t>
        </is>
      </c>
      <c r="E228" s="58">
        <f>'A1. Data scoring'!L176</f>
        <v/>
      </c>
      <c r="R228" s="59" t="n"/>
    </row>
    <row r="229" ht="18" customHeight="1">
      <c r="B229" s="57" t="inlineStr">
        <is>
          <t>EI1(a)</t>
        </is>
      </c>
      <c r="D229" s="13" t="inlineStr">
        <is>
          <t>Data source and limitations</t>
        </is>
      </c>
      <c r="E229" s="58">
        <f>'A1. Data scoring'!L177</f>
        <v/>
      </c>
      <c r="R229" s="59" t="n"/>
    </row>
    <row r="230" ht="18" customHeight="1">
      <c r="B230" s="57" t="inlineStr">
        <is>
          <t>EI1(a)</t>
        </is>
      </c>
      <c r="D230" s="13" t="inlineStr">
        <is>
          <t>Data owner confirms</t>
        </is>
      </c>
      <c r="E230" s="58">
        <f>'A1. Data scoring'!L178</f>
        <v/>
      </c>
      <c r="R230" s="60" t="n"/>
    </row>
    <row r="232">
      <c r="B232" s="7" t="inlineStr">
        <is>
          <t>EI1(b)</t>
        </is>
      </c>
      <c r="C232" s="50" t="inlineStr">
        <is>
          <t>Estimated sustainability impacts of the University’s estate and infrastructure capital plan to inform progress towards emissions reduction targets and other priority areas (to the extent enabled by available information)</t>
        </is>
      </c>
      <c r="D232" s="55" t="inlineStr">
        <is>
          <t>Unit</t>
        </is>
      </c>
      <c r="E232" s="55" t="inlineStr">
        <is>
          <t>CI&amp;S – Estate Planning &amp; Development</t>
        </is>
      </c>
      <c r="P232" s="56">
        <f>'A1. Data scoring'!AH179</f>
        <v/>
      </c>
      <c r="Q232" s="56">
        <f>'A1. Data scoring'!AK179</f>
        <v/>
      </c>
      <c r="R232" s="8" t="n"/>
    </row>
    <row r="233" ht="18" customHeight="1">
      <c r="B233" s="57" t="inlineStr">
        <is>
          <t>EI1(b)</t>
        </is>
      </c>
      <c r="D233" s="13" t="inlineStr">
        <is>
          <t>Confirm end-2026 target status</t>
        </is>
      </c>
      <c r="E233" s="58">
        <f>'A1. Data scoring'!L179</f>
        <v/>
      </c>
      <c r="R233" s="59" t="n"/>
    </row>
    <row r="234" ht="60" customHeight="1">
      <c r="B234" s="57" t="inlineStr">
        <is>
          <t>EI1(b)</t>
        </is>
      </c>
      <c r="D234" s="13" t="inlineStr">
        <is>
          <t>OPTION 1:  Target-level reporting</t>
        </is>
      </c>
      <c r="E234" s="58">
        <f>'A1. Data scoring'!L180</f>
        <v/>
      </c>
      <c r="R234" s="59" t="n"/>
    </row>
    <row r="235" ht="60" customHeight="1">
      <c r="B235" s="57" t="inlineStr">
        <is>
          <t>EI1(b)</t>
        </is>
      </c>
      <c r="D235" s="13" t="inlineStr">
        <is>
          <t>OPTION 2:  Indicator level reporting</t>
        </is>
      </c>
      <c r="E235" s="58">
        <f>'A1. Data scoring'!L181</f>
        <v/>
      </c>
      <c r="R235" s="59" t="n"/>
    </row>
    <row r="236" ht="18" customHeight="1">
      <c r="B236" s="57" t="inlineStr">
        <is>
          <t>EI1(b)</t>
        </is>
      </c>
      <c r="D236" s="13" t="inlineStr">
        <is>
          <t>Supporting information/comments</t>
        </is>
      </c>
      <c r="E236" s="58">
        <f>'A1. Data scoring'!L182</f>
        <v/>
      </c>
      <c r="R236" s="59" t="n"/>
    </row>
    <row r="237" ht="18" customHeight="1">
      <c r="B237" s="57" t="inlineStr">
        <is>
          <t>EI1(b)</t>
        </is>
      </c>
      <c r="D237" s="13" t="inlineStr">
        <is>
          <t>Data source and limitations</t>
        </is>
      </c>
      <c r="E237" s="58">
        <f>'A1. Data scoring'!L183</f>
        <v/>
      </c>
      <c r="R237" s="59" t="n"/>
    </row>
    <row r="238" ht="18" customHeight="1">
      <c r="B238" s="57" t="inlineStr">
        <is>
          <t>EI1(b)</t>
        </is>
      </c>
      <c r="D238" s="13" t="inlineStr">
        <is>
          <t>Data owner confirms</t>
        </is>
      </c>
      <c r="E238" s="58">
        <f>'A1. Data scoring'!L184</f>
        <v/>
      </c>
      <c r="R238" s="60" t="n"/>
    </row>
    <row r="240">
      <c r="B240" s="7" t="inlineStr">
        <is>
          <t>EI1(c)</t>
        </is>
      </c>
      <c r="C240" s="50" t="inlineStr">
        <is>
          <t>Reporting on relevant activities and impacts for the University’s major estate and infrastructure projects and programs aligned with the other priority areas in Sustainability 2030</t>
        </is>
      </c>
      <c r="D240" s="55" t="inlineStr">
        <is>
          <t>Unit</t>
        </is>
      </c>
      <c r="E240" s="55" t="inlineStr">
        <is>
          <t>CI&amp;S – Estate Planning &amp; Development</t>
        </is>
      </c>
      <c r="P240" s="56">
        <f>'A1. Data scoring'!AH185</f>
        <v/>
      </c>
      <c r="Q240" s="56">
        <f>'A1. Data scoring'!AK185</f>
        <v/>
      </c>
      <c r="R240" s="8" t="n"/>
    </row>
    <row r="241" ht="18" customHeight="1">
      <c r="B241" s="57" t="inlineStr">
        <is>
          <t>EI1(c)</t>
        </is>
      </c>
      <c r="D241" s="13" t="inlineStr">
        <is>
          <t>Confirm end-2026 target status</t>
        </is>
      </c>
      <c r="E241" s="58">
        <f>'A1. Data scoring'!L185</f>
        <v/>
      </c>
      <c r="R241" s="59" t="n"/>
    </row>
    <row r="242" ht="60" customHeight="1">
      <c r="B242" s="57" t="inlineStr">
        <is>
          <t>EI1(c)</t>
        </is>
      </c>
      <c r="D242" s="13" t="inlineStr">
        <is>
          <t>OPTION 1:  Target-level reporting</t>
        </is>
      </c>
      <c r="E242" s="58">
        <f>'A1. Data scoring'!L186</f>
        <v/>
      </c>
      <c r="R242" s="59" t="n"/>
    </row>
    <row r="243" ht="60" customHeight="1">
      <c r="B243" s="57" t="inlineStr">
        <is>
          <t>EI1(c)</t>
        </is>
      </c>
      <c r="D243" s="13" t="inlineStr">
        <is>
          <t>OPTION 2:  Indicator level reporting</t>
        </is>
      </c>
      <c r="E243" s="58">
        <f>'A1. Data scoring'!L187</f>
        <v/>
      </c>
      <c r="R243" s="59" t="n"/>
    </row>
    <row r="244" ht="18" customHeight="1">
      <c r="B244" s="57" t="inlineStr">
        <is>
          <t>EI1(c)</t>
        </is>
      </c>
      <c r="D244" s="13" t="inlineStr">
        <is>
          <t>Supporting information/comments</t>
        </is>
      </c>
      <c r="E244" s="58">
        <f>'A1. Data scoring'!L188</f>
        <v/>
      </c>
      <c r="R244" s="59" t="n"/>
    </row>
    <row r="245" ht="18" customHeight="1">
      <c r="B245" s="57" t="inlineStr">
        <is>
          <t>EI1(c)</t>
        </is>
      </c>
      <c r="D245" s="13" t="inlineStr">
        <is>
          <t>Data source and limitations</t>
        </is>
      </c>
      <c r="E245" s="58">
        <f>'A1. Data scoring'!L189</f>
        <v/>
      </c>
      <c r="R245" s="59" t="n"/>
    </row>
    <row r="246" ht="18" customHeight="1">
      <c r="B246" s="57" t="inlineStr">
        <is>
          <t>EI1(c)</t>
        </is>
      </c>
      <c r="D246" s="13" t="inlineStr">
        <is>
          <t>Data owner confirms</t>
        </is>
      </c>
      <c r="E246" s="58">
        <f>'A1. Data scoring'!L190</f>
        <v/>
      </c>
      <c r="R246" s="60" t="n"/>
    </row>
    <row r="248">
      <c r="B248" s="7" t="inlineStr">
        <is>
          <t>EI1(d)</t>
        </is>
      </c>
      <c r="C248" s="50" t="inlineStr">
        <is>
          <t>Evidence of understanding and integration of Indigenous approaches to sustainability in estate planning and development programs and projects.</t>
        </is>
      </c>
      <c r="D248" s="55" t="inlineStr">
        <is>
          <t>Unit</t>
        </is>
      </c>
      <c r="E248" s="55" t="inlineStr">
        <is>
          <t>CI&amp;S – Estate Planning &amp; Development</t>
        </is>
      </c>
      <c r="P248" s="56">
        <f>'A1. Data scoring'!AH191</f>
        <v/>
      </c>
      <c r="Q248" s="56">
        <f>'A1. Data scoring'!AK191</f>
        <v/>
      </c>
      <c r="R248" s="8" t="n"/>
    </row>
    <row r="249" ht="18" customHeight="1">
      <c r="B249" s="57" t="inlineStr">
        <is>
          <t>EI1(d)</t>
        </is>
      </c>
      <c r="D249" s="13" t="inlineStr">
        <is>
          <t>Confirm end-2026 target status</t>
        </is>
      </c>
      <c r="E249" s="58">
        <f>'A1. Data scoring'!L191</f>
        <v/>
      </c>
      <c r="R249" s="59" t="n"/>
    </row>
    <row r="250" ht="60" customHeight="1">
      <c r="B250" s="57" t="inlineStr">
        <is>
          <t>EI1(d)</t>
        </is>
      </c>
      <c r="D250" s="13" t="inlineStr">
        <is>
          <t>OPTION 1:  Target-level reporting</t>
        </is>
      </c>
      <c r="E250" s="58">
        <f>'A1. Data scoring'!L192</f>
        <v/>
      </c>
      <c r="R250" s="59" t="n"/>
    </row>
    <row r="251" ht="60" customHeight="1">
      <c r="B251" s="57" t="inlineStr">
        <is>
          <t>EI1(d)</t>
        </is>
      </c>
      <c r="D251" s="13" t="inlineStr">
        <is>
          <t>OPTION 2:  Indicator level reporting</t>
        </is>
      </c>
      <c r="E251" s="58">
        <f>'A1. Data scoring'!L193</f>
        <v/>
      </c>
      <c r="R251" s="59" t="n"/>
    </row>
    <row r="252" ht="18" customHeight="1">
      <c r="B252" s="57" t="inlineStr">
        <is>
          <t>EI1(d)</t>
        </is>
      </c>
      <c r="D252" s="13" t="inlineStr">
        <is>
          <t>Supporting information/comments</t>
        </is>
      </c>
      <c r="E252" s="58">
        <f>'A1. Data scoring'!L194</f>
        <v/>
      </c>
      <c r="R252" s="59" t="n"/>
    </row>
    <row r="253" ht="18" customHeight="1">
      <c r="B253" s="57" t="inlineStr">
        <is>
          <t>EI1(d)</t>
        </is>
      </c>
      <c r="D253" s="13" t="inlineStr">
        <is>
          <t>Data source and limitations</t>
        </is>
      </c>
      <c r="E253" s="58">
        <f>'A1. Data scoring'!L195</f>
        <v/>
      </c>
      <c r="R253" s="59" t="n"/>
    </row>
    <row r="254" ht="18" customHeight="1">
      <c r="B254" s="57" t="inlineStr">
        <is>
          <t>EI1(d)</t>
        </is>
      </c>
      <c r="D254" s="13" t="inlineStr">
        <is>
          <t>Data owner confirms</t>
        </is>
      </c>
      <c r="E254" s="58">
        <f>'A1. Data scoring'!L196</f>
        <v/>
      </c>
      <c r="R254" s="60" t="n"/>
    </row>
    <row r="256">
      <c r="B256" s="7" t="inlineStr">
        <is>
          <t>RP1(a)</t>
        </is>
      </c>
      <c r="C256" s="50" t="inlineStr">
        <is>
          <t>Case studies of maturity improvement related to responsible procurement process and systems.</t>
        </is>
      </c>
      <c r="D256" s="55" t="inlineStr">
        <is>
          <t>Unit</t>
        </is>
      </c>
      <c r="E256" s="55" t="inlineStr">
        <is>
          <t>CFOG – Procurement</t>
        </is>
      </c>
      <c r="P256" s="56">
        <f>'A1. Data scoring'!AH197</f>
        <v/>
      </c>
      <c r="Q256" s="56">
        <f>'A1. Data scoring'!AK197</f>
        <v/>
      </c>
      <c r="R256" s="8" t="n"/>
    </row>
    <row r="257" ht="18" customHeight="1">
      <c r="B257" s="57" t="inlineStr">
        <is>
          <t>RP1(a)</t>
        </is>
      </c>
      <c r="D257" s="13" t="inlineStr">
        <is>
          <t>Confirm end-2026 target status</t>
        </is>
      </c>
      <c r="E257" s="58">
        <f>'A1. Data scoring'!N197</f>
        <v/>
      </c>
      <c r="R257" s="59" t="n"/>
    </row>
    <row r="258" ht="60" customHeight="1">
      <c r="B258" s="57" t="inlineStr">
        <is>
          <t>RP1(a)</t>
        </is>
      </c>
      <c r="D258" s="13" t="inlineStr">
        <is>
          <t>OPTION 1:  Target-level reporting</t>
        </is>
      </c>
      <c r="E258" s="58">
        <f>'A1. Data scoring'!N198</f>
        <v/>
      </c>
      <c r="R258" s="59" t="n"/>
    </row>
    <row r="259" ht="60" customHeight="1">
      <c r="B259" s="57" t="inlineStr">
        <is>
          <t>RP1(a)</t>
        </is>
      </c>
      <c r="D259" s="13" t="inlineStr">
        <is>
          <t>OPTION 2:  Indicator level reporting</t>
        </is>
      </c>
      <c r="E259" s="58">
        <f>'A1. Data scoring'!N199</f>
        <v/>
      </c>
      <c r="R259" s="59" t="n"/>
    </row>
    <row r="260" ht="18" customHeight="1">
      <c r="B260" s="57" t="inlineStr">
        <is>
          <t>RP1(a)</t>
        </is>
      </c>
      <c r="D260" s="13" t="inlineStr">
        <is>
          <t>Supporting information/comments</t>
        </is>
      </c>
      <c r="E260" s="58">
        <f>'A1. Data scoring'!N200</f>
        <v/>
      </c>
      <c r="R260" s="59" t="n"/>
    </row>
    <row r="261" ht="18" customHeight="1">
      <c r="B261" s="57" t="inlineStr">
        <is>
          <t>RP1(a)</t>
        </is>
      </c>
      <c r="D261" s="13" t="inlineStr">
        <is>
          <t>Data source and limitations</t>
        </is>
      </c>
      <c r="E261" s="58">
        <f>'A1. Data scoring'!N201</f>
        <v/>
      </c>
      <c r="R261" s="59" t="n"/>
    </row>
    <row r="262" ht="18" customHeight="1">
      <c r="B262" s="57" t="inlineStr">
        <is>
          <t>RP1(a)</t>
        </is>
      </c>
      <c r="D262" s="13" t="inlineStr">
        <is>
          <t>Data owner confirms</t>
        </is>
      </c>
      <c r="E262" s="58">
        <f>'A1. Data scoring'!N202</f>
        <v/>
      </c>
      <c r="R262" s="60" t="n"/>
    </row>
    <row r="264">
      <c r="B264" s="7" t="inlineStr">
        <is>
          <t>MS1(a)</t>
        </is>
      </c>
      <c r="C264" s="50" t="inlineStr">
        <is>
          <t>Annual progress reporting via the Modern Slavery Statement</t>
        </is>
      </c>
      <c r="D264" s="55" t="inlineStr">
        <is>
          <t>Unit</t>
        </is>
      </c>
      <c r="E264" s="55" t="inlineStr">
        <is>
          <t>CI&amp;S – Sustainability Strategy</t>
        </is>
      </c>
      <c r="F264" s="55" t="inlineStr">
        <is>
          <t>CFOG – Procurement</t>
        </is>
      </c>
      <c r="P264" s="56">
        <f>'A1. Data scoring'!AH203</f>
        <v/>
      </c>
      <c r="Q264" s="56">
        <f>'A1. Data scoring'!AK203</f>
        <v/>
      </c>
      <c r="R264" s="8" t="n"/>
    </row>
    <row r="265" ht="18" customHeight="1">
      <c r="B265" s="57" t="inlineStr">
        <is>
          <t>MS1(a)</t>
        </is>
      </c>
      <c r="D265" s="13" t="inlineStr">
        <is>
          <t>Confirm end-2026 target status</t>
        </is>
      </c>
      <c r="E265" s="58">
        <f>'A1. Data scoring'!M203</f>
        <v/>
      </c>
      <c r="F265" s="58">
        <f>'A1. Data scoring'!N203</f>
        <v/>
      </c>
      <c r="R265" s="59" t="n"/>
    </row>
    <row r="266" ht="60" customHeight="1">
      <c r="B266" s="57" t="inlineStr">
        <is>
          <t>MS1(a)</t>
        </is>
      </c>
      <c r="D266" s="13" t="inlineStr">
        <is>
          <t>OPTION 1:  Target-level reporting</t>
        </is>
      </c>
      <c r="E266" s="58">
        <f>'A1. Data scoring'!M204</f>
        <v/>
      </c>
      <c r="F266" s="58">
        <f>'A1. Data scoring'!N204</f>
        <v/>
      </c>
      <c r="R266" s="59" t="n"/>
    </row>
    <row r="267" ht="60" customHeight="1">
      <c r="B267" s="57" t="inlineStr">
        <is>
          <t>MS1(a)</t>
        </is>
      </c>
      <c r="D267" s="13" t="inlineStr">
        <is>
          <t>OPTION 2:  Indicator level reporting</t>
        </is>
      </c>
      <c r="E267" s="58">
        <f>'A1. Data scoring'!M205</f>
        <v/>
      </c>
      <c r="F267" s="58">
        <f>'A1. Data scoring'!N205</f>
        <v/>
      </c>
      <c r="R267" s="59" t="n"/>
    </row>
    <row r="268" ht="18" customHeight="1">
      <c r="B268" s="57" t="inlineStr">
        <is>
          <t>MS1(a)</t>
        </is>
      </c>
      <c r="D268" s="13" t="inlineStr">
        <is>
          <t>Supporting information/comments</t>
        </is>
      </c>
      <c r="E268" s="58">
        <f>'A1. Data scoring'!M206</f>
        <v/>
      </c>
      <c r="F268" s="58">
        <f>'A1. Data scoring'!N206</f>
        <v/>
      </c>
      <c r="R268" s="59" t="n"/>
    </row>
    <row r="269" ht="18" customHeight="1">
      <c r="B269" s="57" t="inlineStr">
        <is>
          <t>MS1(a)</t>
        </is>
      </c>
      <c r="D269" s="13" t="inlineStr">
        <is>
          <t>Data source and limitations</t>
        </is>
      </c>
      <c r="E269" s="58">
        <f>'A1. Data scoring'!M207</f>
        <v/>
      </c>
      <c r="F269" s="58">
        <f>'A1. Data scoring'!N207</f>
        <v/>
      </c>
      <c r="R269" s="59" t="n"/>
    </row>
    <row r="270" ht="18" customHeight="1">
      <c r="B270" s="57" t="inlineStr">
        <is>
          <t>MS1(a)</t>
        </is>
      </c>
      <c r="D270" s="13" t="inlineStr">
        <is>
          <t>Data owner confirms</t>
        </is>
      </c>
      <c r="E270" s="58">
        <f>'A1. Data scoring'!M208</f>
        <v/>
      </c>
      <c r="F270" s="58">
        <f>'A1. Data scoring'!N208</f>
        <v/>
      </c>
      <c r="R270" s="60" t="n"/>
    </row>
    <row r="272">
      <c r="B272" s="7" t="inlineStr">
        <is>
          <t>RI1(b)</t>
        </is>
      </c>
      <c r="C272" s="50" t="inlineStr">
        <is>
          <t>Continuous improvement of the reporting of the University’s sustainability-related investment profile metrics, could include investment in climate mitigation and transition solutions, and compliance with related obligations (eg UNPRI).</t>
        </is>
      </c>
      <c r="D272" s="55" t="inlineStr">
        <is>
          <t>Unit</t>
        </is>
      </c>
      <c r="E272" s="55" t="inlineStr">
        <is>
          <t>CI&amp;S – Sustainability Strategy</t>
        </is>
      </c>
      <c r="F272" s="55" t="inlineStr">
        <is>
          <t>CFOG – Treasury &amp; Investments</t>
        </is>
      </c>
      <c r="P272" s="56">
        <f>'A1. Data scoring'!AH209</f>
        <v/>
      </c>
      <c r="Q272" s="56">
        <f>'A1. Data scoring'!AK209</f>
        <v/>
      </c>
      <c r="R272" s="8" t="n"/>
    </row>
    <row r="273" ht="18" customHeight="1">
      <c r="B273" s="57" t="inlineStr">
        <is>
          <t>RI1(b)</t>
        </is>
      </c>
      <c r="D273" s="13" t="inlineStr">
        <is>
          <t>Confirm end-2026 target status</t>
        </is>
      </c>
      <c r="E273" s="58">
        <f>'A1. Data scoring'!M209</f>
        <v/>
      </c>
      <c r="F273" s="58">
        <f>'A1. Data scoring'!O209</f>
        <v/>
      </c>
      <c r="R273" s="59" t="n"/>
    </row>
    <row r="274" ht="60" customHeight="1">
      <c r="B274" s="57" t="inlineStr">
        <is>
          <t>RI1(b)</t>
        </is>
      </c>
      <c r="D274" s="13" t="inlineStr">
        <is>
          <t>OPTION 1:  Target-level reporting</t>
        </is>
      </c>
      <c r="E274" s="58">
        <f>'A1. Data scoring'!M210</f>
        <v/>
      </c>
      <c r="F274" s="58">
        <f>'A1. Data scoring'!O210</f>
        <v/>
      </c>
      <c r="R274" s="59" t="n"/>
    </row>
    <row r="275" ht="60" customHeight="1">
      <c r="B275" s="57" t="inlineStr">
        <is>
          <t>RI1(b)</t>
        </is>
      </c>
      <c r="D275" s="13" t="inlineStr">
        <is>
          <t>OPTION 2:  Indicator level reporting</t>
        </is>
      </c>
      <c r="E275" s="58">
        <f>'A1. Data scoring'!M211</f>
        <v/>
      </c>
      <c r="F275" s="58">
        <f>'A1. Data scoring'!O211</f>
        <v/>
      </c>
      <c r="R275" s="59" t="n"/>
    </row>
    <row r="276" ht="18" customHeight="1">
      <c r="B276" s="57" t="inlineStr">
        <is>
          <t>RI1(b)</t>
        </is>
      </c>
      <c r="D276" s="13" t="inlineStr">
        <is>
          <t>Supporting information/comments</t>
        </is>
      </c>
      <c r="E276" s="58">
        <f>'A1. Data scoring'!M212</f>
        <v/>
      </c>
      <c r="F276" s="58">
        <f>'A1. Data scoring'!O212</f>
        <v/>
      </c>
      <c r="R276" s="59" t="n"/>
    </row>
    <row r="277" ht="18" customHeight="1">
      <c r="B277" s="57" t="inlineStr">
        <is>
          <t>RI1(b)</t>
        </is>
      </c>
      <c r="D277" s="13" t="inlineStr">
        <is>
          <t>Data source and limitations</t>
        </is>
      </c>
      <c r="E277" s="58">
        <f>'A1. Data scoring'!M213</f>
        <v/>
      </c>
      <c r="F277" s="58">
        <f>'A1. Data scoring'!O213</f>
        <v/>
      </c>
      <c r="R277" s="59" t="n"/>
    </row>
    <row r="278" ht="18" customHeight="1">
      <c r="B278" s="57" t="inlineStr">
        <is>
          <t>RI1(b)</t>
        </is>
      </c>
      <c r="D278" s="13" t="inlineStr">
        <is>
          <t>Data owner confirms</t>
        </is>
      </c>
      <c r="E278" s="58">
        <f>'A1. Data scoring'!M214</f>
        <v/>
      </c>
      <c r="F278" s="58">
        <f>'A1. Data scoring'!O214</f>
        <v/>
      </c>
      <c r="R278" s="60" t="n"/>
    </row>
    <row r="280">
      <c r="B280" s="7" t="inlineStr">
        <is>
          <t>EN1(a)</t>
        </is>
      </c>
      <c r="C280" s="50" t="inlineStr">
        <is>
          <t>Evidence of sustainability outcomes informed by Indigenous knowledges</t>
        </is>
      </c>
      <c r="D280" s="55" t="inlineStr">
        <is>
          <t>Unit</t>
        </is>
      </c>
      <c r="E280" s="55" t="inlineStr">
        <is>
          <t>ABP</t>
        </is>
      </c>
      <c r="F280" s="55" t="inlineStr">
        <is>
          <t>ARTS</t>
        </is>
      </c>
      <c r="G280" s="55" t="inlineStr">
        <is>
          <t>FBE</t>
        </is>
      </c>
      <c r="H280" s="55" t="inlineStr">
        <is>
          <t>SCI</t>
        </is>
      </c>
      <c r="I280" s="55" t="inlineStr">
        <is>
          <t>GCE – Global, Culture and Engagement</t>
        </is>
      </c>
      <c r="J280" s="55" t="inlineStr">
        <is>
          <t>Indigenous – Chancellery Indigenous</t>
        </is>
      </c>
      <c r="P280" s="56">
        <f>'A1. Data scoring'!AH215</f>
        <v/>
      </c>
      <c r="Q280" s="56">
        <f>'A1. Data scoring'!AK215</f>
        <v/>
      </c>
      <c r="R280" s="8" t="n"/>
    </row>
    <row r="281" ht="18" customHeight="1">
      <c r="B281" s="57" t="inlineStr">
        <is>
          <t>EN1(a)</t>
        </is>
      </c>
      <c r="D281" s="13" t="inlineStr">
        <is>
          <t>Confirm end-2026 target status</t>
        </is>
      </c>
      <c r="E281" s="58">
        <f>'A1. Data scoring'!H215</f>
        <v/>
      </c>
      <c r="F281" s="58">
        <f>'A1. Data scoring'!I215</f>
        <v/>
      </c>
      <c r="G281" s="58">
        <f>'A1. Data scoring'!J215</f>
        <v/>
      </c>
      <c r="H281" s="58">
        <f>'A1. Data scoring'!K215</f>
        <v/>
      </c>
      <c r="I281" s="58">
        <f>'A1. Data scoring'!T215</f>
        <v/>
      </c>
      <c r="J281" s="58">
        <f>'A1. Data scoring'!W215</f>
        <v/>
      </c>
      <c r="R281" s="59" t="n"/>
    </row>
    <row r="282" ht="60" customHeight="1">
      <c r="B282" s="57" t="inlineStr">
        <is>
          <t>EN1(a)</t>
        </is>
      </c>
      <c r="D282" s="13" t="inlineStr">
        <is>
          <t>OPTION 1:  Target-level reporting</t>
        </is>
      </c>
      <c r="E282" s="58">
        <f>'A1. Data scoring'!H216</f>
        <v/>
      </c>
      <c r="F282" s="58">
        <f>'A1. Data scoring'!I216</f>
        <v/>
      </c>
      <c r="G282" s="58">
        <f>'A1. Data scoring'!J216</f>
        <v/>
      </c>
      <c r="H282" s="58">
        <f>'A1. Data scoring'!K216</f>
        <v/>
      </c>
      <c r="I282" s="58">
        <f>'A1. Data scoring'!T216</f>
        <v/>
      </c>
      <c r="J282" s="58">
        <f>'A1. Data scoring'!W216</f>
        <v/>
      </c>
      <c r="R282" s="59" t="n"/>
    </row>
    <row r="283" ht="60" customHeight="1">
      <c r="B283" s="57" t="inlineStr">
        <is>
          <t>EN1(a)</t>
        </is>
      </c>
      <c r="D283" s="13" t="inlineStr">
        <is>
          <t>OPTION 2:  Indicator level reporting</t>
        </is>
      </c>
      <c r="E283" s="58">
        <f>'A1. Data scoring'!H217</f>
        <v/>
      </c>
      <c r="F283" s="58">
        <f>'A1. Data scoring'!I217</f>
        <v/>
      </c>
      <c r="G283" s="58">
        <f>'A1. Data scoring'!J217</f>
        <v/>
      </c>
      <c r="H283" s="58">
        <f>'A1. Data scoring'!K217</f>
        <v/>
      </c>
      <c r="I283" s="58">
        <f>'A1. Data scoring'!T217</f>
        <v/>
      </c>
      <c r="J283" s="58">
        <f>'A1. Data scoring'!W217</f>
        <v/>
      </c>
      <c r="R283" s="59" t="n"/>
    </row>
    <row r="284" ht="18" customHeight="1">
      <c r="B284" s="57" t="inlineStr">
        <is>
          <t>EN1(a)</t>
        </is>
      </c>
      <c r="D284" s="13" t="inlineStr">
        <is>
          <t>Supporting information/comments</t>
        </is>
      </c>
      <c r="E284" s="58">
        <f>'A1. Data scoring'!H218</f>
        <v/>
      </c>
      <c r="F284" s="58">
        <f>'A1. Data scoring'!I218</f>
        <v/>
      </c>
      <c r="G284" s="58">
        <f>'A1. Data scoring'!J218</f>
        <v/>
      </c>
      <c r="H284" s="58">
        <f>'A1. Data scoring'!K218</f>
        <v/>
      </c>
      <c r="I284" s="58">
        <f>'A1. Data scoring'!T218</f>
        <v/>
      </c>
      <c r="J284" s="58">
        <f>'A1. Data scoring'!W218</f>
        <v/>
      </c>
      <c r="R284" s="59" t="n"/>
    </row>
    <row r="285" ht="18" customHeight="1">
      <c r="B285" s="57" t="inlineStr">
        <is>
          <t>EN1(a)</t>
        </is>
      </c>
      <c r="D285" s="13" t="inlineStr">
        <is>
          <t>Data source and limitations</t>
        </is>
      </c>
      <c r="E285" s="58">
        <f>'A1. Data scoring'!H219</f>
        <v/>
      </c>
      <c r="F285" s="58">
        <f>'A1. Data scoring'!I219</f>
        <v/>
      </c>
      <c r="G285" s="58">
        <f>'A1. Data scoring'!J219</f>
        <v/>
      </c>
      <c r="H285" s="58">
        <f>'A1. Data scoring'!K219</f>
        <v/>
      </c>
      <c r="I285" s="58">
        <f>'A1. Data scoring'!T219</f>
        <v/>
      </c>
      <c r="J285" s="58">
        <f>'A1. Data scoring'!W219</f>
        <v/>
      </c>
      <c r="R285" s="59" t="n"/>
    </row>
    <row r="286" ht="18" customHeight="1">
      <c r="B286" s="57" t="inlineStr">
        <is>
          <t>EN1(a)</t>
        </is>
      </c>
      <c r="D286" s="13" t="inlineStr">
        <is>
          <t>Data owner confirms</t>
        </is>
      </c>
      <c r="E286" s="58">
        <f>'A1. Data scoring'!H220</f>
        <v/>
      </c>
      <c r="F286" s="58">
        <f>'A1. Data scoring'!I220</f>
        <v/>
      </c>
      <c r="G286" s="58">
        <f>'A1. Data scoring'!J220</f>
        <v/>
      </c>
      <c r="H286" s="58">
        <f>'A1. Data scoring'!K220</f>
        <v/>
      </c>
      <c r="I286" s="58">
        <f>'A1. Data scoring'!T220</f>
        <v/>
      </c>
      <c r="J286" s="58">
        <f>'A1. Data scoring'!W220</f>
        <v/>
      </c>
      <c r="R286" s="60" t="n"/>
    </row>
    <row r="288">
      <c r="B288" s="7" t="inlineStr">
        <is>
          <t>EN1(b)</t>
        </is>
      </c>
      <c r="C288" s="50" t="inlineStr">
        <is>
          <t>Living laboratories enabling applied learning, research and operational sustainability outcomes</t>
        </is>
      </c>
      <c r="D288" s="55" t="inlineStr">
        <is>
          <t>Unit</t>
        </is>
      </c>
      <c r="E288" s="55" t="inlineStr">
        <is>
          <t>ABP</t>
        </is>
      </c>
      <c r="F288" s="55" t="inlineStr">
        <is>
          <t>ARTS</t>
        </is>
      </c>
      <c r="G288" s="55" t="inlineStr">
        <is>
          <t>FBE</t>
        </is>
      </c>
      <c r="H288" s="55" t="inlineStr">
        <is>
          <t>SCI</t>
        </is>
      </c>
      <c r="I288" s="55" t="inlineStr">
        <is>
          <t>CI&amp;S – Sustainability Strategy</t>
        </is>
      </c>
      <c r="P288" s="56">
        <f>'A1. Data scoring'!AH221</f>
        <v/>
      </c>
      <c r="Q288" s="56">
        <f>'A1. Data scoring'!AK221</f>
        <v/>
      </c>
      <c r="R288" s="8" t="n"/>
    </row>
    <row r="289" ht="18" customHeight="1">
      <c r="B289" s="57" t="inlineStr">
        <is>
          <t>EN1(b)</t>
        </is>
      </c>
      <c r="D289" s="13" t="inlineStr">
        <is>
          <t>Confirm end-2026 target status</t>
        </is>
      </c>
      <c r="E289" s="58">
        <f>'A1. Data scoring'!H221</f>
        <v/>
      </c>
      <c r="F289" s="58">
        <f>'A1. Data scoring'!I221</f>
        <v/>
      </c>
      <c r="G289" s="58">
        <f>'A1. Data scoring'!J221</f>
        <v/>
      </c>
      <c r="H289" s="58">
        <f>'A1. Data scoring'!K221</f>
        <v/>
      </c>
      <c r="I289" s="58">
        <f>'A1. Data scoring'!M221</f>
        <v/>
      </c>
      <c r="R289" s="59" t="n"/>
    </row>
    <row r="290" ht="60" customHeight="1">
      <c r="B290" s="57" t="inlineStr">
        <is>
          <t>EN1(b)</t>
        </is>
      </c>
      <c r="D290" s="13" t="inlineStr">
        <is>
          <t>OPTION 1:  Target-level reporting</t>
        </is>
      </c>
      <c r="E290" s="58">
        <f>'A1. Data scoring'!H222</f>
        <v/>
      </c>
      <c r="F290" s="58">
        <f>'A1. Data scoring'!I222</f>
        <v/>
      </c>
      <c r="G290" s="58">
        <f>'A1. Data scoring'!J222</f>
        <v/>
      </c>
      <c r="H290" s="58">
        <f>'A1. Data scoring'!K222</f>
        <v/>
      </c>
      <c r="I290" s="58">
        <f>'A1. Data scoring'!M222</f>
        <v/>
      </c>
      <c r="R290" s="59" t="n"/>
    </row>
    <row r="291" ht="60" customHeight="1">
      <c r="B291" s="57" t="inlineStr">
        <is>
          <t>EN1(b)</t>
        </is>
      </c>
      <c r="D291" s="13" t="inlineStr">
        <is>
          <t>OPTION 2:  Indicator level reporting</t>
        </is>
      </c>
      <c r="E291" s="58">
        <f>'A1. Data scoring'!H223</f>
        <v/>
      </c>
      <c r="F291" s="58">
        <f>'A1. Data scoring'!I223</f>
        <v/>
      </c>
      <c r="G291" s="58">
        <f>'A1. Data scoring'!J223</f>
        <v/>
      </c>
      <c r="H291" s="58">
        <f>'A1. Data scoring'!K223</f>
        <v/>
      </c>
      <c r="I291" s="58">
        <f>'A1. Data scoring'!M223</f>
        <v/>
      </c>
      <c r="R291" s="59" t="n"/>
    </row>
    <row r="292" ht="18" customHeight="1">
      <c r="B292" s="57" t="inlineStr">
        <is>
          <t>EN1(b)</t>
        </is>
      </c>
      <c r="D292" s="13" t="inlineStr">
        <is>
          <t>Supporting information/comments</t>
        </is>
      </c>
      <c r="E292" s="58">
        <f>'A1. Data scoring'!H224</f>
        <v/>
      </c>
      <c r="F292" s="58">
        <f>'A1. Data scoring'!I224</f>
        <v/>
      </c>
      <c r="G292" s="58">
        <f>'A1. Data scoring'!J224</f>
        <v/>
      </c>
      <c r="H292" s="58">
        <f>'A1. Data scoring'!K224</f>
        <v/>
      </c>
      <c r="I292" s="58">
        <f>'A1. Data scoring'!M224</f>
        <v/>
      </c>
      <c r="R292" s="59" t="n"/>
    </row>
    <row r="293" ht="18" customHeight="1">
      <c r="B293" s="57" t="inlineStr">
        <is>
          <t>EN1(b)</t>
        </is>
      </c>
      <c r="D293" s="13" t="inlineStr">
        <is>
          <t>Data source and limitations</t>
        </is>
      </c>
      <c r="E293" s="58">
        <f>'A1. Data scoring'!H225</f>
        <v/>
      </c>
      <c r="F293" s="58">
        <f>'A1. Data scoring'!I225</f>
        <v/>
      </c>
      <c r="G293" s="58">
        <f>'A1. Data scoring'!J225</f>
        <v/>
      </c>
      <c r="H293" s="58">
        <f>'A1. Data scoring'!K225</f>
        <v/>
      </c>
      <c r="I293" s="58">
        <f>'A1. Data scoring'!M225</f>
        <v/>
      </c>
      <c r="R293" s="59" t="n"/>
    </row>
    <row r="294" ht="18" customHeight="1">
      <c r="B294" s="57" t="inlineStr">
        <is>
          <t>EN1(b)</t>
        </is>
      </c>
      <c r="D294" s="13" t="inlineStr">
        <is>
          <t>Data owner confirms</t>
        </is>
      </c>
      <c r="E294" s="58">
        <f>'A1. Data scoring'!H226</f>
        <v/>
      </c>
      <c r="F294" s="58">
        <f>'A1. Data scoring'!I226</f>
        <v/>
      </c>
      <c r="G294" s="58">
        <f>'A1. Data scoring'!J226</f>
        <v/>
      </c>
      <c r="H294" s="58">
        <f>'A1. Data scoring'!K226</f>
        <v/>
      </c>
      <c r="I294" s="58">
        <f>'A1. Data scoring'!M226</f>
        <v/>
      </c>
      <c r="R294" s="60" t="n"/>
    </row>
    <row r="296">
      <c r="B296" s="7" t="inlineStr">
        <is>
          <t>EN1(c)</t>
        </is>
      </c>
      <c r="C296" s="50" t="inlineStr">
        <is>
          <t>Coordinated internal engagement and external partnerships contributing to delivery of sustainability outcomes across priority areas.</t>
        </is>
      </c>
      <c r="D296" s="55" t="inlineStr">
        <is>
          <t>Unit</t>
        </is>
      </c>
      <c r="E296" s="55" t="inlineStr">
        <is>
          <t>ABP</t>
        </is>
      </c>
      <c r="F296" s="55" t="inlineStr">
        <is>
          <t>ARTS</t>
        </is>
      </c>
      <c r="G296" s="55" t="inlineStr">
        <is>
          <t>FBE</t>
        </is>
      </c>
      <c r="H296" s="55" t="inlineStr">
        <is>
          <t>SCI</t>
        </is>
      </c>
      <c r="I296" s="55" t="inlineStr">
        <is>
          <t>CI&amp;S – Sustainability Strategy</t>
        </is>
      </c>
      <c r="J296" s="55" t="inlineStr">
        <is>
          <t>CFOG – Procurement</t>
        </is>
      </c>
      <c r="K296" s="55" t="inlineStr">
        <is>
          <t>ESG – Campus Operations &amp; Sustainability Delivery</t>
        </is>
      </c>
      <c r="L296" s="55" t="inlineStr">
        <is>
          <t>CIOG – Responsible AI &amp; digital</t>
        </is>
      </c>
      <c r="M296" s="55" t="inlineStr">
        <is>
          <t>AC&amp;M – Advancement, Communication and Marketing</t>
        </is>
      </c>
      <c r="N296" s="55" t="inlineStr">
        <is>
          <t>GCE – Global, Culture and Engagement</t>
        </is>
      </c>
      <c r="O296" s="55" t="inlineStr">
        <is>
          <t>Education – Chancellery Education</t>
        </is>
      </c>
      <c r="P296" s="56">
        <f>'A1. Data scoring'!AH227</f>
        <v/>
      </c>
      <c r="Q296" s="56">
        <f>'A1. Data scoring'!AK227</f>
        <v/>
      </c>
      <c r="R296" s="8" t="n"/>
    </row>
    <row r="297" ht="18" customHeight="1">
      <c r="B297" s="57" t="inlineStr">
        <is>
          <t>EN1(c)</t>
        </is>
      </c>
      <c r="D297" s="13" t="inlineStr">
        <is>
          <t>Confirm end-2026 target status</t>
        </is>
      </c>
      <c r="E297" s="58">
        <f>'A1. Data scoring'!H227</f>
        <v/>
      </c>
      <c r="F297" s="58">
        <f>'A1. Data scoring'!I227</f>
        <v/>
      </c>
      <c r="G297" s="58">
        <f>'A1. Data scoring'!J227</f>
        <v/>
      </c>
      <c r="H297" s="58">
        <f>'A1. Data scoring'!K227</f>
        <v/>
      </c>
      <c r="I297" s="58">
        <f>'A1. Data scoring'!M227</f>
        <v/>
      </c>
      <c r="J297" s="58">
        <f>'A1. Data scoring'!N227</f>
        <v/>
      </c>
      <c r="K297" s="58">
        <f>'A1. Data scoring'!P227</f>
        <v/>
      </c>
      <c r="L297" s="58">
        <f>'A1. Data scoring'!Q227</f>
        <v/>
      </c>
      <c r="M297" s="58">
        <f>'A1. Data scoring'!S227</f>
        <v/>
      </c>
      <c r="N297" s="58">
        <f>'A1. Data scoring'!T227</f>
        <v/>
      </c>
      <c r="O297" s="58">
        <f>'A1. Data scoring'!U227</f>
        <v/>
      </c>
      <c r="R297" s="59" t="n"/>
    </row>
    <row r="298" ht="60" customHeight="1">
      <c r="B298" s="57" t="inlineStr">
        <is>
          <t>EN1(c)</t>
        </is>
      </c>
      <c r="D298" s="13" t="inlineStr">
        <is>
          <t>OPTION 1:  Target-level reporting</t>
        </is>
      </c>
      <c r="E298" s="58">
        <f>'A1. Data scoring'!H228</f>
        <v/>
      </c>
      <c r="F298" s="58">
        <f>'A1. Data scoring'!I228</f>
        <v/>
      </c>
      <c r="G298" s="58">
        <f>'A1. Data scoring'!J228</f>
        <v/>
      </c>
      <c r="H298" s="58">
        <f>'A1. Data scoring'!K228</f>
        <v/>
      </c>
      <c r="I298" s="58">
        <f>'A1. Data scoring'!M228</f>
        <v/>
      </c>
      <c r="J298" s="58">
        <f>'A1. Data scoring'!N228</f>
        <v/>
      </c>
      <c r="K298" s="58">
        <f>'A1. Data scoring'!P228</f>
        <v/>
      </c>
      <c r="L298" s="58">
        <f>'A1. Data scoring'!Q228</f>
        <v/>
      </c>
      <c r="M298" s="58">
        <f>'A1. Data scoring'!S228</f>
        <v/>
      </c>
      <c r="N298" s="58">
        <f>'A1. Data scoring'!T228</f>
        <v/>
      </c>
      <c r="O298" s="58">
        <f>'A1. Data scoring'!U228</f>
        <v/>
      </c>
      <c r="R298" s="59" t="n"/>
    </row>
    <row r="299" ht="60" customHeight="1">
      <c r="B299" s="57" t="inlineStr">
        <is>
          <t>EN1(c)</t>
        </is>
      </c>
      <c r="D299" s="13" t="inlineStr">
        <is>
          <t>OPTION 2:  Indicator level reporting</t>
        </is>
      </c>
      <c r="E299" s="58">
        <f>'A1. Data scoring'!H229</f>
        <v/>
      </c>
      <c r="F299" s="58">
        <f>'A1. Data scoring'!I229</f>
        <v/>
      </c>
      <c r="G299" s="58">
        <f>'A1. Data scoring'!J229</f>
        <v/>
      </c>
      <c r="H299" s="58">
        <f>'A1. Data scoring'!K229</f>
        <v/>
      </c>
      <c r="I299" s="58">
        <f>'A1. Data scoring'!M229</f>
        <v/>
      </c>
      <c r="J299" s="58">
        <f>'A1. Data scoring'!N229</f>
        <v/>
      </c>
      <c r="K299" s="58">
        <f>'A1. Data scoring'!P229</f>
        <v/>
      </c>
      <c r="L299" s="58">
        <f>'A1. Data scoring'!Q229</f>
        <v/>
      </c>
      <c r="M299" s="58">
        <f>'A1. Data scoring'!S229</f>
        <v/>
      </c>
      <c r="N299" s="58">
        <f>'A1. Data scoring'!T229</f>
        <v/>
      </c>
      <c r="O299" s="58">
        <f>'A1. Data scoring'!U229</f>
        <v/>
      </c>
      <c r="R299" s="59" t="n"/>
    </row>
    <row r="300" ht="18" customHeight="1">
      <c r="B300" s="57" t="inlineStr">
        <is>
          <t>EN1(c)</t>
        </is>
      </c>
      <c r="D300" s="13" t="inlineStr">
        <is>
          <t>Supporting information/comments</t>
        </is>
      </c>
      <c r="E300" s="58">
        <f>'A1. Data scoring'!H230</f>
        <v/>
      </c>
      <c r="F300" s="58">
        <f>'A1. Data scoring'!I230</f>
        <v/>
      </c>
      <c r="G300" s="58">
        <f>'A1. Data scoring'!J230</f>
        <v/>
      </c>
      <c r="H300" s="58">
        <f>'A1. Data scoring'!K230</f>
        <v/>
      </c>
      <c r="I300" s="58">
        <f>'A1. Data scoring'!M230</f>
        <v/>
      </c>
      <c r="J300" s="58">
        <f>'A1. Data scoring'!N230</f>
        <v/>
      </c>
      <c r="K300" s="58">
        <f>'A1. Data scoring'!P230</f>
        <v/>
      </c>
      <c r="L300" s="58">
        <f>'A1. Data scoring'!Q230</f>
        <v/>
      </c>
      <c r="M300" s="58">
        <f>'A1. Data scoring'!S230</f>
        <v/>
      </c>
      <c r="N300" s="58">
        <f>'A1. Data scoring'!T230</f>
        <v/>
      </c>
      <c r="O300" s="58">
        <f>'A1. Data scoring'!U230</f>
        <v/>
      </c>
      <c r="R300" s="59" t="n"/>
    </row>
    <row r="301" ht="18" customHeight="1">
      <c r="B301" s="57" t="inlineStr">
        <is>
          <t>EN1(c)</t>
        </is>
      </c>
      <c r="D301" s="13" t="inlineStr">
        <is>
          <t>Data source and limitations</t>
        </is>
      </c>
      <c r="E301" s="58">
        <f>'A1. Data scoring'!H231</f>
        <v/>
      </c>
      <c r="F301" s="58">
        <f>'A1. Data scoring'!I231</f>
        <v/>
      </c>
      <c r="G301" s="58">
        <f>'A1. Data scoring'!J231</f>
        <v/>
      </c>
      <c r="H301" s="58">
        <f>'A1. Data scoring'!K231</f>
        <v/>
      </c>
      <c r="I301" s="58">
        <f>'A1. Data scoring'!M231</f>
        <v/>
      </c>
      <c r="J301" s="58">
        <f>'A1. Data scoring'!N231</f>
        <v/>
      </c>
      <c r="K301" s="58">
        <f>'A1. Data scoring'!P231</f>
        <v/>
      </c>
      <c r="L301" s="58">
        <f>'A1. Data scoring'!Q231</f>
        <v/>
      </c>
      <c r="M301" s="58">
        <f>'A1. Data scoring'!S231</f>
        <v/>
      </c>
      <c r="N301" s="58">
        <f>'A1. Data scoring'!T231</f>
        <v/>
      </c>
      <c r="O301" s="58">
        <f>'A1. Data scoring'!U231</f>
        <v/>
      </c>
      <c r="R301" s="59" t="n"/>
    </row>
    <row r="302" ht="18" customHeight="1">
      <c r="B302" s="57" t="inlineStr">
        <is>
          <t>EN1(c)</t>
        </is>
      </c>
      <c r="D302" s="13" t="inlineStr">
        <is>
          <t>Data owner confirms</t>
        </is>
      </c>
      <c r="E302" s="58">
        <f>'A1. Data scoring'!H232</f>
        <v/>
      </c>
      <c r="F302" s="58">
        <f>'A1. Data scoring'!I232</f>
        <v/>
      </c>
      <c r="G302" s="58">
        <f>'A1. Data scoring'!J232</f>
        <v/>
      </c>
      <c r="H302" s="58">
        <f>'A1. Data scoring'!K232</f>
        <v/>
      </c>
      <c r="I302" s="58">
        <f>'A1. Data scoring'!M232</f>
        <v/>
      </c>
      <c r="J302" s="58">
        <f>'A1. Data scoring'!N232</f>
        <v/>
      </c>
      <c r="K302" s="58">
        <f>'A1. Data scoring'!P232</f>
        <v/>
      </c>
      <c r="L302" s="58">
        <f>'A1. Data scoring'!Q232</f>
        <v/>
      </c>
      <c r="M302" s="58">
        <f>'A1. Data scoring'!S232</f>
        <v/>
      </c>
      <c r="N302" s="58">
        <f>'A1. Data scoring'!T232</f>
        <v/>
      </c>
      <c r="O302" s="58">
        <f>'A1. Data scoring'!U232</f>
        <v/>
      </c>
      <c r="R302" s="60" t="n"/>
    </row>
    <row r="304">
      <c r="B304" s="7" t="inlineStr">
        <is>
          <t>EN1(d)</t>
        </is>
      </c>
      <c r="C304" s="50" t="inlineStr">
        <is>
          <t>Sustainability objectives integrated into governance and decision‑making processes, supported by transparent reporting.</t>
        </is>
      </c>
      <c r="D304" s="55" t="inlineStr">
        <is>
          <t>Unit</t>
        </is>
      </c>
      <c r="E304" s="55" t="inlineStr">
        <is>
          <t>CI&amp;S – Sustainability Strategy</t>
        </is>
      </c>
      <c r="F304" s="55" t="inlineStr">
        <is>
          <t>CFOG – Procurement</t>
        </is>
      </c>
      <c r="G304" s="55" t="inlineStr">
        <is>
          <t>ESG – Campus Operations &amp; Sustainability Delivery</t>
        </is>
      </c>
      <c r="H304" s="55" t="inlineStr">
        <is>
          <t>CIOG – Responsible AI &amp; digital</t>
        </is>
      </c>
      <c r="P304" s="56">
        <f>'A1. Data scoring'!AH233</f>
        <v/>
      </c>
      <c r="Q304" s="56">
        <f>'A1. Data scoring'!AK233</f>
        <v/>
      </c>
      <c r="R304" s="8" t="n"/>
    </row>
    <row r="305" ht="18" customHeight="1">
      <c r="B305" s="57" t="inlineStr">
        <is>
          <t>EN1(d)</t>
        </is>
      </c>
      <c r="D305" s="13" t="inlineStr">
        <is>
          <t>Confirm end-2026 target status</t>
        </is>
      </c>
      <c r="E305" s="58">
        <f>'A1. Data scoring'!M233</f>
        <v/>
      </c>
      <c r="F305" s="58">
        <f>'A1. Data scoring'!N233</f>
        <v/>
      </c>
      <c r="G305" s="58">
        <f>'A1. Data scoring'!P233</f>
        <v/>
      </c>
      <c r="H305" s="58">
        <f>'A1. Data scoring'!Q233</f>
        <v/>
      </c>
      <c r="R305" s="59" t="n"/>
    </row>
    <row r="306" ht="60" customHeight="1">
      <c r="B306" s="57" t="inlineStr">
        <is>
          <t>EN1(d)</t>
        </is>
      </c>
      <c r="D306" s="13" t="inlineStr">
        <is>
          <t>OPTION 1:  Target-level reporting</t>
        </is>
      </c>
      <c r="E306" s="58">
        <f>'A1. Data scoring'!M234</f>
        <v/>
      </c>
      <c r="F306" s="58">
        <f>'A1. Data scoring'!N234</f>
        <v/>
      </c>
      <c r="G306" s="58">
        <f>'A1. Data scoring'!P234</f>
        <v/>
      </c>
      <c r="H306" s="58">
        <f>'A1. Data scoring'!Q234</f>
        <v/>
      </c>
      <c r="R306" s="59" t="n"/>
    </row>
    <row r="307" ht="60" customHeight="1">
      <c r="B307" s="57" t="inlineStr">
        <is>
          <t>EN1(d)</t>
        </is>
      </c>
      <c r="D307" s="13" t="inlineStr">
        <is>
          <t>OPTION 2:  Indicator level reporting</t>
        </is>
      </c>
      <c r="E307" s="58">
        <f>'A1. Data scoring'!M235</f>
        <v/>
      </c>
      <c r="F307" s="58">
        <f>'A1. Data scoring'!N235</f>
        <v/>
      </c>
      <c r="G307" s="58">
        <f>'A1. Data scoring'!P235</f>
        <v/>
      </c>
      <c r="H307" s="58">
        <f>'A1. Data scoring'!Q235</f>
        <v/>
      </c>
      <c r="R307" s="59" t="n"/>
    </row>
    <row r="308" ht="18" customHeight="1">
      <c r="B308" s="57" t="inlineStr">
        <is>
          <t>EN1(d)</t>
        </is>
      </c>
      <c r="D308" s="13" t="inlineStr">
        <is>
          <t>Supporting information/comments</t>
        </is>
      </c>
      <c r="E308" s="58">
        <f>'A1. Data scoring'!M236</f>
        <v/>
      </c>
      <c r="F308" s="58">
        <f>'A1. Data scoring'!N236</f>
        <v/>
      </c>
      <c r="G308" s="58">
        <f>'A1. Data scoring'!P236</f>
        <v/>
      </c>
      <c r="H308" s="58">
        <f>'A1. Data scoring'!Q236</f>
        <v/>
      </c>
      <c r="R308" s="59" t="n"/>
    </row>
    <row r="309" ht="18" customHeight="1">
      <c r="B309" s="57" t="inlineStr">
        <is>
          <t>EN1(d)</t>
        </is>
      </c>
      <c r="D309" s="13" t="inlineStr">
        <is>
          <t>Data source and limitations</t>
        </is>
      </c>
      <c r="E309" s="58">
        <f>'A1. Data scoring'!M237</f>
        <v/>
      </c>
      <c r="F309" s="58">
        <f>'A1. Data scoring'!N237</f>
        <v/>
      </c>
      <c r="G309" s="58">
        <f>'A1. Data scoring'!P237</f>
        <v/>
      </c>
      <c r="H309" s="58">
        <f>'A1. Data scoring'!Q237</f>
        <v/>
      </c>
      <c r="R309" s="59" t="n"/>
    </row>
    <row r="310" ht="18" customHeight="1">
      <c r="B310" s="57" t="inlineStr">
        <is>
          <t>EN1(d)</t>
        </is>
      </c>
      <c r="D310" s="13" t="inlineStr">
        <is>
          <t>Data owner confirms</t>
        </is>
      </c>
      <c r="E310" s="58">
        <f>'A1. Data scoring'!M238</f>
        <v/>
      </c>
      <c r="F310" s="58">
        <f>'A1. Data scoring'!N238</f>
        <v/>
      </c>
      <c r="G310" s="58">
        <f>'A1. Data scoring'!P238</f>
        <v/>
      </c>
      <c r="H310" s="58">
        <f>'A1. Data scoring'!Q238</f>
        <v/>
      </c>
      <c r="R310" s="60" t="n"/>
    </row>
  </sheetData>
  <autoFilter ref="B7:R312"/>
  <mergeCells count="77">
    <mergeCell ref="R104:R110"/>
    <mergeCell ref="C185:C190"/>
    <mergeCell ref="C225:C230"/>
    <mergeCell ref="C265:C270"/>
    <mergeCell ref="R264:R270"/>
    <mergeCell ref="C177:C182"/>
    <mergeCell ref="C41:C46"/>
    <mergeCell ref="C201:C206"/>
    <mergeCell ref="C105:C110"/>
    <mergeCell ref="C129:C134"/>
    <mergeCell ref="C17:C22"/>
    <mergeCell ref="R168:R174"/>
    <mergeCell ref="R248:R254"/>
    <mergeCell ref="R232:R238"/>
    <mergeCell ref="R32:R38"/>
    <mergeCell ref="R24:R30"/>
    <mergeCell ref="R80:R86"/>
    <mergeCell ref="C49:C54"/>
    <mergeCell ref="R160:R166"/>
    <mergeCell ref="R200:R206"/>
    <mergeCell ref="C97:C102"/>
    <mergeCell ref="R144:R150"/>
    <mergeCell ref="R272:R278"/>
    <mergeCell ref="C281:C286"/>
    <mergeCell ref="R184:R190"/>
    <mergeCell ref="C113:C118"/>
    <mergeCell ref="R224:R230"/>
    <mergeCell ref="C65:C70"/>
    <mergeCell ref="R112:R118"/>
    <mergeCell ref="D4:J5"/>
    <mergeCell ref="C193:C198"/>
    <mergeCell ref="C273:C278"/>
    <mergeCell ref="R176:R182"/>
    <mergeCell ref="C257:C262"/>
    <mergeCell ref="C297:C302"/>
    <mergeCell ref="C153:C158"/>
    <mergeCell ref="C241:C246"/>
    <mergeCell ref="C209:C214"/>
    <mergeCell ref="C249:C254"/>
    <mergeCell ref="R16:R22"/>
    <mergeCell ref="R304:R310"/>
    <mergeCell ref="C57:C62"/>
    <mergeCell ref="C33:C38"/>
    <mergeCell ref="C73:C78"/>
    <mergeCell ref="R72:R78"/>
    <mergeCell ref="R240:R246"/>
    <mergeCell ref="R56:R62"/>
    <mergeCell ref="C25:C30"/>
    <mergeCell ref="C9:C14"/>
    <mergeCell ref="R120:R126"/>
    <mergeCell ref="R96:R102"/>
    <mergeCell ref="R152:R158"/>
    <mergeCell ref="R48:R54"/>
    <mergeCell ref="R288:R294"/>
    <mergeCell ref="R88:R94"/>
    <mergeCell ref="C169:C174"/>
    <mergeCell ref="R216:R222"/>
    <mergeCell ref="C233:C238"/>
    <mergeCell ref="R280:R286"/>
    <mergeCell ref="C81:C86"/>
    <mergeCell ref="R208:R214"/>
    <mergeCell ref="C161:C166"/>
    <mergeCell ref="C217:C222"/>
    <mergeCell ref="C289:C294"/>
    <mergeCell ref="C145:C150"/>
    <mergeCell ref="C89:C94"/>
    <mergeCell ref="C137:C142"/>
    <mergeCell ref="C121:C126"/>
    <mergeCell ref="C305:C310"/>
    <mergeCell ref="R136:R142"/>
    <mergeCell ref="R8:R14"/>
    <mergeCell ref="R64:R70"/>
    <mergeCell ref="R128:R134"/>
    <mergeCell ref="R256:R262"/>
    <mergeCell ref="R296:R302"/>
    <mergeCell ref="R192:R198"/>
    <mergeCell ref="R40:R4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21"/>
  <sheetViews>
    <sheetView showGridLines="0" workbookViewId="0">
      <pane xSplit="2" ySplit="14" topLeftCell="C15" activePane="bottomRight" state="frozen"/>
      <selection pane="topRight"/>
      <selection pane="bottomLeft"/>
      <selection pane="bottomRight" activeCell="A1" sqref="A1"/>
    </sheetView>
  </sheetViews>
  <sheetFormatPr baseColWidth="8" defaultRowHeight="15"/>
  <cols>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t>
        </is>
      </c>
      <c r="B1" s="2" t="inlineStr">
        <is>
          <t>End-2026 target status assessment and reporting</t>
        </is>
      </c>
    </row>
    <row r="2">
      <c r="B2" s="3" t="inlineStr">
        <is>
          <t>T2. Single target review</t>
        </is>
      </c>
    </row>
    <row r="4">
      <c r="B4" s="32" t="inlineStr">
        <is>
          <t>Target selected</t>
        </is>
      </c>
      <c r="C4" s="61" t="inlineStr">
        <is>
          <t>EE1(a)</t>
        </is>
      </c>
      <c r="D4" s="62">
        <f>IF($C$4="EE1(c)","Faculties answer this indicator in their EE1(a) response (merged question) – review both.","← select an indicator ref from the dropdown")</f>
        <v/>
      </c>
    </row>
    <row r="5" ht="45" customHeight="1">
      <c r="B5" s="63" t="inlineStr">
        <is>
          <t>Priority area</t>
        </is>
      </c>
      <c r="C5" s="64">
        <f>IFERROR(INDEX('1. Requirements matrix'!$D$6:$D$43,MATCH($C$4,'1. Requirements matrix'!$B$6:$B$43,0)),"")</f>
        <v/>
      </c>
    </row>
    <row r="6" ht="45" customHeight="1">
      <c r="B6" s="63" t="inlineStr">
        <is>
          <t>Target</t>
        </is>
      </c>
      <c r="C6" s="64">
        <f>IFERROR(INDEX('1. Requirements matrix'!$E$6:$E$43,MATCH($C$4,'1. Requirements matrix'!$B$6:$B$43,0)),"")</f>
        <v/>
      </c>
    </row>
    <row r="7" ht="45" customHeight="1">
      <c r="B7" s="63" t="inlineStr">
        <is>
          <t>Indicator</t>
        </is>
      </c>
      <c r="C7" s="64">
        <f>IFERROR(INDEX('1. Requirements matrix'!$F$6:$F$43,MATCH($C$4,'1. Requirements matrix'!$B$6:$B$43,0)),"")</f>
        <v/>
      </c>
    </row>
    <row r="8" ht="45" customHeight="1">
      <c r="B8" s="63" t="inlineStr">
        <is>
          <t>Reporting requirement</t>
        </is>
      </c>
      <c r="C8" s="64">
        <f>IFERROR(INDEX('1. Requirements matrix'!$G$6:$G$43,MATCH($C$4,'1. Requirements matrix'!$B$6:$B$43,0)),"")</f>
        <v/>
      </c>
    </row>
    <row r="9" ht="45" customHeight="1">
      <c r="B9" s="63" t="inlineStr">
        <is>
          <t>Request issued to</t>
        </is>
      </c>
      <c r="C9" s="64">
        <f>IFERROR(INDEX('1. Requirements matrix'!$I$6:$I$43,MATCH($C$4,'1. Requirements matrix'!$B$6:$B$43,0)),"")</f>
        <v/>
      </c>
    </row>
    <row r="11">
      <c r="B11" s="65" t="inlineStr">
        <is>
          <t>Target score (text)</t>
        </is>
      </c>
      <c r="D11" s="65" t="inlineStr">
        <is>
          <t>Threshold status (SR25 rule)</t>
        </is>
      </c>
      <c r="F11" s="65" t="inlineStr">
        <is>
          <t>% met</t>
        </is>
      </c>
      <c r="H11" s="65" t="inlineStr">
        <is>
          <t>Total valid responses</t>
        </is>
      </c>
      <c r="J11" s="65" t="inlineStr">
        <is>
          <t>Requested, no response received</t>
        </is>
      </c>
    </row>
    <row r="12">
      <c r="B12" s="66">
        <f>IFERROR(INDEX('A1. Data scoring'!$AH$11:$AH$238,MATCH($C$4&amp;"|"&amp;"Confirm end-2026 target status",'A1. Data scoring'!$A$11:$A$238,0)),"")</f>
        <v/>
      </c>
      <c r="D12" s="66">
        <f>IFERROR(INDEX('A1. Data scoring'!$AK$11:$AK$238,MATCH($C$4&amp;"|"&amp;"Confirm end-2026 target status",'A1. Data scoring'!$A$11:$A$238,0)),"")</f>
        <v/>
      </c>
      <c r="F12" s="67">
        <f>IFERROR(INDEX('A1. Data scoring'!$AI$11:$AI$238,MATCH($C$4&amp;"|"&amp;"Confirm end-2026 target status",'A1. Data scoring'!$A$11:$A$238,0)),"")</f>
        <v/>
      </c>
      <c r="H12" s="66">
        <f>IFERROR(INDEX('A1. Data scoring'!$AF$11:$AF$238,MATCH($C$4&amp;"|"&amp;"Confirm end-2026 target status",'A1. Data scoring'!$A$11:$A$238,0)),"")</f>
        <v/>
      </c>
      <c r="J12" s="66">
        <f>IFERROR(INDEX('A1. Data scoring'!$Z$11:$Z$238,MATCH($C$4&amp;"|"&amp;"Confirm end-2026 target status",'A1. Data scoring'!$A$11:$A$238,0)),"")</f>
        <v/>
      </c>
    </row>
    <row r="14">
      <c r="B14" s="6" t="inlineStr">
        <is>
          <t>Target progress</t>
        </is>
      </c>
      <c r="C14" s="6" t="inlineStr">
        <is>
          <t>ABP</t>
        </is>
      </c>
      <c r="D14" s="6" t="inlineStr">
        <is>
          <t>ARTS</t>
        </is>
      </c>
      <c r="E14" s="6" t="inlineStr">
        <is>
          <t>FBE</t>
        </is>
      </c>
      <c r="F14" s="6" t="inlineStr">
        <is>
          <t>SCI</t>
        </is>
      </c>
      <c r="G14" s="6" t="inlineStr">
        <is>
          <t>CI&amp;S – Estate Planning &amp; Development</t>
        </is>
      </c>
      <c r="H14" s="6" t="inlineStr">
        <is>
          <t>CI&amp;S – Sustainability Strategy</t>
        </is>
      </c>
      <c r="I14" s="6" t="inlineStr">
        <is>
          <t>CFOG – Procurement</t>
        </is>
      </c>
      <c r="J14" s="6" t="inlineStr">
        <is>
          <t>CFOG – Treasury &amp; Investments</t>
        </is>
      </c>
      <c r="K14" s="6" t="inlineStr">
        <is>
          <t>ESG – Campus Operations &amp; Sustainability Delivery</t>
        </is>
      </c>
      <c r="L14" s="6" t="inlineStr">
        <is>
          <t>CIOG – Responsible AI &amp; digital</t>
        </is>
      </c>
      <c r="M14" s="6" t="inlineStr">
        <is>
          <t>MRE – Research</t>
        </is>
      </c>
      <c r="N14" s="6" t="inlineStr">
        <is>
          <t>AC&amp;M – Advancement, Communication and Marketing</t>
        </is>
      </c>
      <c r="O14" s="6" t="inlineStr">
        <is>
          <t>GCE – Global, Culture and Engagement</t>
        </is>
      </c>
      <c r="P14" s="6" t="inlineStr">
        <is>
          <t>Education – Chancellery Education</t>
        </is>
      </c>
      <c r="Q14" s="6" t="inlineStr">
        <is>
          <t>SaSS – Student and Scholarly Services</t>
        </is>
      </c>
      <c r="R14" s="6" t="inlineStr">
        <is>
          <t>Indigenous – Chancellery Indigenous</t>
        </is>
      </c>
      <c r="S14" s="6" t="inlineStr">
        <is>
          <t>Legal &amp; Risk – Risk &amp; resilience</t>
        </is>
      </c>
    </row>
    <row r="15">
      <c r="B15" s="55" t="inlineStr">
        <is>
          <t>Requested?</t>
        </is>
      </c>
      <c r="C15" s="68">
        <f>IFERROR(IF(INDEX('A1. Data scoring'!H$11:H$238,MATCH($C$4&amp;"|"&amp;"Confirm end-2026 target status",'A1. Data scoring'!$A$11:$A$238,0))="N/A","No","Yes"),"")</f>
        <v/>
      </c>
      <c r="D15" s="68">
        <f>IFERROR(IF(INDEX('A1. Data scoring'!I$11:I$238,MATCH($C$4&amp;"|"&amp;"Confirm end-2026 target status",'A1. Data scoring'!$A$11:$A$238,0))="N/A","No","Yes"),"")</f>
        <v/>
      </c>
      <c r="E15" s="68">
        <f>IFERROR(IF(INDEX('A1. Data scoring'!J$11:J$238,MATCH($C$4&amp;"|"&amp;"Confirm end-2026 target status",'A1. Data scoring'!$A$11:$A$238,0))="N/A","No","Yes"),"")</f>
        <v/>
      </c>
      <c r="F15" s="68">
        <f>IFERROR(IF(INDEX('A1. Data scoring'!K$11:K$238,MATCH($C$4&amp;"|"&amp;"Confirm end-2026 target status",'A1. Data scoring'!$A$11:$A$238,0))="N/A","No","Yes"),"")</f>
        <v/>
      </c>
      <c r="G15" s="68">
        <f>IFERROR(IF(INDEX('A1. Data scoring'!L$11:L$238,MATCH($C$4&amp;"|"&amp;"Confirm end-2026 target status",'A1. Data scoring'!$A$11:$A$238,0))="N/A","No","Yes"),"")</f>
        <v/>
      </c>
      <c r="H15" s="68">
        <f>IFERROR(IF(INDEX('A1. Data scoring'!M$11:M$238,MATCH($C$4&amp;"|"&amp;"Confirm end-2026 target status",'A1. Data scoring'!$A$11:$A$238,0))="N/A","No","Yes"),"")</f>
        <v/>
      </c>
      <c r="I15" s="68">
        <f>IFERROR(IF(INDEX('A1. Data scoring'!N$11:N$238,MATCH($C$4&amp;"|"&amp;"Confirm end-2026 target status",'A1. Data scoring'!$A$11:$A$238,0))="N/A","No","Yes"),"")</f>
        <v/>
      </c>
      <c r="J15" s="68">
        <f>IFERROR(IF(INDEX('A1. Data scoring'!O$11:O$238,MATCH($C$4&amp;"|"&amp;"Confirm end-2026 target status",'A1. Data scoring'!$A$11:$A$238,0))="N/A","No","Yes"),"")</f>
        <v/>
      </c>
      <c r="K15" s="68">
        <f>IFERROR(IF(INDEX('A1. Data scoring'!P$11:P$238,MATCH($C$4&amp;"|"&amp;"Confirm end-2026 target status",'A1. Data scoring'!$A$11:$A$238,0))="N/A","No","Yes"),"")</f>
        <v/>
      </c>
      <c r="L15" s="68">
        <f>IFERROR(IF(INDEX('A1. Data scoring'!Q$11:Q$238,MATCH($C$4&amp;"|"&amp;"Confirm end-2026 target status",'A1. Data scoring'!$A$11:$A$238,0))="N/A","No","Yes"),"")</f>
        <v/>
      </c>
      <c r="M15" s="68">
        <f>IFERROR(IF(INDEX('A1. Data scoring'!R$11:R$238,MATCH($C$4&amp;"|"&amp;"Confirm end-2026 target status",'A1. Data scoring'!$A$11:$A$238,0))="N/A","No","Yes"),"")</f>
        <v/>
      </c>
      <c r="N15" s="68">
        <f>IFERROR(IF(INDEX('A1. Data scoring'!S$11:S$238,MATCH($C$4&amp;"|"&amp;"Confirm end-2026 target status",'A1. Data scoring'!$A$11:$A$238,0))="N/A","No","Yes"),"")</f>
        <v/>
      </c>
      <c r="O15" s="68">
        <f>IFERROR(IF(INDEX('A1. Data scoring'!T$11:T$238,MATCH($C$4&amp;"|"&amp;"Confirm end-2026 target status",'A1. Data scoring'!$A$11:$A$238,0))="N/A","No","Yes"),"")</f>
        <v/>
      </c>
      <c r="P15" s="68">
        <f>IFERROR(IF(INDEX('A1. Data scoring'!U$11:U$238,MATCH($C$4&amp;"|"&amp;"Confirm end-2026 target status",'A1. Data scoring'!$A$11:$A$238,0))="N/A","No","Yes"),"")</f>
        <v/>
      </c>
      <c r="Q15" s="68">
        <f>IFERROR(IF(INDEX('A1. Data scoring'!V$11:V$238,MATCH($C$4&amp;"|"&amp;"Confirm end-2026 target status",'A1. Data scoring'!$A$11:$A$238,0))="N/A","No","Yes"),"")</f>
        <v/>
      </c>
      <c r="R15" s="68">
        <f>IFERROR(IF(INDEX('A1. Data scoring'!W$11:W$238,MATCH($C$4&amp;"|"&amp;"Confirm end-2026 target status",'A1. Data scoring'!$A$11:$A$238,0))="N/A","No","Yes"),"")</f>
        <v/>
      </c>
      <c r="S15" s="68">
        <f>IFERROR(IF(INDEX('A1. Data scoring'!X$11:X$238,MATCH($C$4&amp;"|"&amp;"Confirm end-2026 target status",'A1. Data scoring'!$A$11:$A$238,0))="N/A","No","Yes"),"")</f>
        <v/>
      </c>
    </row>
    <row r="16" ht="45" customHeight="1">
      <c r="B16" s="7" t="inlineStr">
        <is>
          <t>Confirm end-2026 target status</t>
        </is>
      </c>
      <c r="C16" s="8">
        <f>IFERROR(INDEX('A1. Data scoring'!H$11:H$238,MATCH($C$4&amp;"|"&amp;$B16,'A1. Data scoring'!$A$11:$A$238,0)),"")</f>
        <v/>
      </c>
      <c r="D16" s="8">
        <f>IFERROR(INDEX('A1. Data scoring'!I$11:I$238,MATCH($C$4&amp;"|"&amp;$B16,'A1. Data scoring'!$A$11:$A$238,0)),"")</f>
        <v/>
      </c>
      <c r="E16" s="8">
        <f>IFERROR(INDEX('A1. Data scoring'!J$11:J$238,MATCH($C$4&amp;"|"&amp;$B16,'A1. Data scoring'!$A$11:$A$238,0)),"")</f>
        <v/>
      </c>
      <c r="F16" s="8">
        <f>IFERROR(INDEX('A1. Data scoring'!K$11:K$238,MATCH($C$4&amp;"|"&amp;$B16,'A1. Data scoring'!$A$11:$A$238,0)),"")</f>
        <v/>
      </c>
      <c r="G16" s="8">
        <f>IFERROR(INDEX('A1. Data scoring'!L$11:L$238,MATCH($C$4&amp;"|"&amp;$B16,'A1. Data scoring'!$A$11:$A$238,0)),"")</f>
        <v/>
      </c>
      <c r="H16" s="8">
        <f>IFERROR(INDEX('A1. Data scoring'!M$11:M$238,MATCH($C$4&amp;"|"&amp;$B16,'A1. Data scoring'!$A$11:$A$238,0)),"")</f>
        <v/>
      </c>
      <c r="I16" s="8">
        <f>IFERROR(INDEX('A1. Data scoring'!N$11:N$238,MATCH($C$4&amp;"|"&amp;$B16,'A1. Data scoring'!$A$11:$A$238,0)),"")</f>
        <v/>
      </c>
      <c r="J16" s="8">
        <f>IFERROR(INDEX('A1. Data scoring'!O$11:O$238,MATCH($C$4&amp;"|"&amp;$B16,'A1. Data scoring'!$A$11:$A$238,0)),"")</f>
        <v/>
      </c>
      <c r="K16" s="8">
        <f>IFERROR(INDEX('A1. Data scoring'!P$11:P$238,MATCH($C$4&amp;"|"&amp;$B16,'A1. Data scoring'!$A$11:$A$238,0)),"")</f>
        <v/>
      </c>
      <c r="L16" s="8">
        <f>IFERROR(INDEX('A1. Data scoring'!Q$11:Q$238,MATCH($C$4&amp;"|"&amp;$B16,'A1. Data scoring'!$A$11:$A$238,0)),"")</f>
        <v/>
      </c>
      <c r="M16" s="8">
        <f>IFERROR(INDEX('A1. Data scoring'!R$11:R$238,MATCH($C$4&amp;"|"&amp;$B16,'A1. Data scoring'!$A$11:$A$238,0)),"")</f>
        <v/>
      </c>
      <c r="N16" s="8">
        <f>IFERROR(INDEX('A1. Data scoring'!S$11:S$238,MATCH($C$4&amp;"|"&amp;$B16,'A1. Data scoring'!$A$11:$A$238,0)),"")</f>
        <v/>
      </c>
      <c r="O16" s="8">
        <f>IFERROR(INDEX('A1. Data scoring'!T$11:T$238,MATCH($C$4&amp;"|"&amp;$B16,'A1. Data scoring'!$A$11:$A$238,0)),"")</f>
        <v/>
      </c>
      <c r="P16" s="8">
        <f>IFERROR(INDEX('A1. Data scoring'!U$11:U$238,MATCH($C$4&amp;"|"&amp;$B16,'A1. Data scoring'!$A$11:$A$238,0)),"")</f>
        <v/>
      </c>
      <c r="Q16" s="8">
        <f>IFERROR(INDEX('A1. Data scoring'!V$11:V$238,MATCH($C$4&amp;"|"&amp;$B16,'A1. Data scoring'!$A$11:$A$238,0)),"")</f>
        <v/>
      </c>
      <c r="R16" s="8">
        <f>IFERROR(INDEX('A1. Data scoring'!W$11:W$238,MATCH($C$4&amp;"|"&amp;$B16,'A1. Data scoring'!$A$11:$A$238,0)),"")</f>
        <v/>
      </c>
      <c r="S16" s="8">
        <f>IFERROR(INDEX('A1. Data scoring'!X$11:X$238,MATCH($C$4&amp;"|"&amp;$B16,'A1. Data scoring'!$A$11:$A$238,0)),"")</f>
        <v/>
      </c>
    </row>
    <row r="17" ht="120" customHeight="1">
      <c r="B17" s="7" t="inlineStr">
        <is>
          <t>OPTION 1:  Target-level reporting</t>
        </is>
      </c>
      <c r="C17" s="8">
        <f>IFERROR(INDEX('A1. Data scoring'!H$11:H$238,MATCH($C$4&amp;"|"&amp;$B17,'A1. Data scoring'!$A$11:$A$238,0)),"")</f>
        <v/>
      </c>
      <c r="D17" s="8">
        <f>IFERROR(INDEX('A1. Data scoring'!I$11:I$238,MATCH($C$4&amp;"|"&amp;$B17,'A1. Data scoring'!$A$11:$A$238,0)),"")</f>
        <v/>
      </c>
      <c r="E17" s="8">
        <f>IFERROR(INDEX('A1. Data scoring'!J$11:J$238,MATCH($C$4&amp;"|"&amp;$B17,'A1. Data scoring'!$A$11:$A$238,0)),"")</f>
        <v/>
      </c>
      <c r="F17" s="8">
        <f>IFERROR(INDEX('A1. Data scoring'!K$11:K$238,MATCH($C$4&amp;"|"&amp;$B17,'A1. Data scoring'!$A$11:$A$238,0)),"")</f>
        <v/>
      </c>
      <c r="G17" s="8">
        <f>IFERROR(INDEX('A1. Data scoring'!L$11:L$238,MATCH($C$4&amp;"|"&amp;$B17,'A1. Data scoring'!$A$11:$A$238,0)),"")</f>
        <v/>
      </c>
      <c r="H17" s="8">
        <f>IFERROR(INDEX('A1. Data scoring'!M$11:M$238,MATCH($C$4&amp;"|"&amp;$B17,'A1. Data scoring'!$A$11:$A$238,0)),"")</f>
        <v/>
      </c>
      <c r="I17" s="8">
        <f>IFERROR(INDEX('A1. Data scoring'!N$11:N$238,MATCH($C$4&amp;"|"&amp;$B17,'A1. Data scoring'!$A$11:$A$238,0)),"")</f>
        <v/>
      </c>
      <c r="J17" s="8">
        <f>IFERROR(INDEX('A1. Data scoring'!O$11:O$238,MATCH($C$4&amp;"|"&amp;$B17,'A1. Data scoring'!$A$11:$A$238,0)),"")</f>
        <v/>
      </c>
      <c r="K17" s="8">
        <f>IFERROR(INDEX('A1. Data scoring'!P$11:P$238,MATCH($C$4&amp;"|"&amp;$B17,'A1. Data scoring'!$A$11:$A$238,0)),"")</f>
        <v/>
      </c>
      <c r="L17" s="8">
        <f>IFERROR(INDEX('A1. Data scoring'!Q$11:Q$238,MATCH($C$4&amp;"|"&amp;$B17,'A1. Data scoring'!$A$11:$A$238,0)),"")</f>
        <v/>
      </c>
      <c r="M17" s="8">
        <f>IFERROR(INDEX('A1. Data scoring'!R$11:R$238,MATCH($C$4&amp;"|"&amp;$B17,'A1. Data scoring'!$A$11:$A$238,0)),"")</f>
        <v/>
      </c>
      <c r="N17" s="8">
        <f>IFERROR(INDEX('A1. Data scoring'!S$11:S$238,MATCH($C$4&amp;"|"&amp;$B17,'A1. Data scoring'!$A$11:$A$238,0)),"")</f>
        <v/>
      </c>
      <c r="O17" s="8">
        <f>IFERROR(INDEX('A1. Data scoring'!T$11:T$238,MATCH($C$4&amp;"|"&amp;$B17,'A1. Data scoring'!$A$11:$A$238,0)),"")</f>
        <v/>
      </c>
      <c r="P17" s="8">
        <f>IFERROR(INDEX('A1. Data scoring'!U$11:U$238,MATCH($C$4&amp;"|"&amp;$B17,'A1. Data scoring'!$A$11:$A$238,0)),"")</f>
        <v/>
      </c>
      <c r="Q17" s="8">
        <f>IFERROR(INDEX('A1. Data scoring'!V$11:V$238,MATCH($C$4&amp;"|"&amp;$B17,'A1. Data scoring'!$A$11:$A$238,0)),"")</f>
        <v/>
      </c>
      <c r="R17" s="8">
        <f>IFERROR(INDEX('A1. Data scoring'!W$11:W$238,MATCH($C$4&amp;"|"&amp;$B17,'A1. Data scoring'!$A$11:$A$238,0)),"")</f>
        <v/>
      </c>
      <c r="S17" s="8">
        <f>IFERROR(INDEX('A1. Data scoring'!X$11:X$238,MATCH($C$4&amp;"|"&amp;$B17,'A1. Data scoring'!$A$11:$A$238,0)),"")</f>
        <v/>
      </c>
    </row>
    <row r="18" ht="120" customHeight="1">
      <c r="B18" s="7" t="inlineStr">
        <is>
          <t>OPTION 2:  Indicator level reporting</t>
        </is>
      </c>
      <c r="C18" s="8">
        <f>IFERROR(INDEX('A1. Data scoring'!H$11:H$238,MATCH($C$4&amp;"|"&amp;$B18,'A1. Data scoring'!$A$11:$A$238,0)),"")</f>
        <v/>
      </c>
      <c r="D18" s="8">
        <f>IFERROR(INDEX('A1. Data scoring'!I$11:I$238,MATCH($C$4&amp;"|"&amp;$B18,'A1. Data scoring'!$A$11:$A$238,0)),"")</f>
        <v/>
      </c>
      <c r="E18" s="8">
        <f>IFERROR(INDEX('A1. Data scoring'!J$11:J$238,MATCH($C$4&amp;"|"&amp;$B18,'A1. Data scoring'!$A$11:$A$238,0)),"")</f>
        <v/>
      </c>
      <c r="F18" s="8">
        <f>IFERROR(INDEX('A1. Data scoring'!K$11:K$238,MATCH($C$4&amp;"|"&amp;$B18,'A1. Data scoring'!$A$11:$A$238,0)),"")</f>
        <v/>
      </c>
      <c r="G18" s="8">
        <f>IFERROR(INDEX('A1. Data scoring'!L$11:L$238,MATCH($C$4&amp;"|"&amp;$B18,'A1. Data scoring'!$A$11:$A$238,0)),"")</f>
        <v/>
      </c>
      <c r="H18" s="8">
        <f>IFERROR(INDEX('A1. Data scoring'!M$11:M$238,MATCH($C$4&amp;"|"&amp;$B18,'A1. Data scoring'!$A$11:$A$238,0)),"")</f>
        <v/>
      </c>
      <c r="I18" s="8">
        <f>IFERROR(INDEX('A1. Data scoring'!N$11:N$238,MATCH($C$4&amp;"|"&amp;$B18,'A1. Data scoring'!$A$11:$A$238,0)),"")</f>
        <v/>
      </c>
      <c r="J18" s="8">
        <f>IFERROR(INDEX('A1. Data scoring'!O$11:O$238,MATCH($C$4&amp;"|"&amp;$B18,'A1. Data scoring'!$A$11:$A$238,0)),"")</f>
        <v/>
      </c>
      <c r="K18" s="8">
        <f>IFERROR(INDEX('A1. Data scoring'!P$11:P$238,MATCH($C$4&amp;"|"&amp;$B18,'A1. Data scoring'!$A$11:$A$238,0)),"")</f>
        <v/>
      </c>
      <c r="L18" s="8">
        <f>IFERROR(INDEX('A1. Data scoring'!Q$11:Q$238,MATCH($C$4&amp;"|"&amp;$B18,'A1. Data scoring'!$A$11:$A$238,0)),"")</f>
        <v/>
      </c>
      <c r="M18" s="8">
        <f>IFERROR(INDEX('A1. Data scoring'!R$11:R$238,MATCH($C$4&amp;"|"&amp;$B18,'A1. Data scoring'!$A$11:$A$238,0)),"")</f>
        <v/>
      </c>
      <c r="N18" s="8">
        <f>IFERROR(INDEX('A1. Data scoring'!S$11:S$238,MATCH($C$4&amp;"|"&amp;$B18,'A1. Data scoring'!$A$11:$A$238,0)),"")</f>
        <v/>
      </c>
      <c r="O18" s="8">
        <f>IFERROR(INDEX('A1. Data scoring'!T$11:T$238,MATCH($C$4&amp;"|"&amp;$B18,'A1. Data scoring'!$A$11:$A$238,0)),"")</f>
        <v/>
      </c>
      <c r="P18" s="8">
        <f>IFERROR(INDEX('A1. Data scoring'!U$11:U$238,MATCH($C$4&amp;"|"&amp;$B18,'A1. Data scoring'!$A$11:$A$238,0)),"")</f>
        <v/>
      </c>
      <c r="Q18" s="8">
        <f>IFERROR(INDEX('A1. Data scoring'!V$11:V$238,MATCH($C$4&amp;"|"&amp;$B18,'A1. Data scoring'!$A$11:$A$238,0)),"")</f>
        <v/>
      </c>
      <c r="R18" s="8">
        <f>IFERROR(INDEX('A1. Data scoring'!W$11:W$238,MATCH($C$4&amp;"|"&amp;$B18,'A1. Data scoring'!$A$11:$A$238,0)),"")</f>
        <v/>
      </c>
      <c r="S18" s="8">
        <f>IFERROR(INDEX('A1. Data scoring'!X$11:X$238,MATCH($C$4&amp;"|"&amp;$B18,'A1. Data scoring'!$A$11:$A$238,0)),"")</f>
        <v/>
      </c>
    </row>
    <row r="19" ht="45" customHeight="1">
      <c r="B19" s="7" t="inlineStr">
        <is>
          <t>Supporting information/comments</t>
        </is>
      </c>
      <c r="C19" s="8">
        <f>IFERROR(INDEX('A1. Data scoring'!H$11:H$238,MATCH($C$4&amp;"|"&amp;$B19,'A1. Data scoring'!$A$11:$A$238,0)),"")</f>
        <v/>
      </c>
      <c r="D19" s="8">
        <f>IFERROR(INDEX('A1. Data scoring'!I$11:I$238,MATCH($C$4&amp;"|"&amp;$B19,'A1. Data scoring'!$A$11:$A$238,0)),"")</f>
        <v/>
      </c>
      <c r="E19" s="8">
        <f>IFERROR(INDEX('A1. Data scoring'!J$11:J$238,MATCH($C$4&amp;"|"&amp;$B19,'A1. Data scoring'!$A$11:$A$238,0)),"")</f>
        <v/>
      </c>
      <c r="F19" s="8">
        <f>IFERROR(INDEX('A1. Data scoring'!K$11:K$238,MATCH($C$4&amp;"|"&amp;$B19,'A1. Data scoring'!$A$11:$A$238,0)),"")</f>
        <v/>
      </c>
      <c r="G19" s="8">
        <f>IFERROR(INDEX('A1. Data scoring'!L$11:L$238,MATCH($C$4&amp;"|"&amp;$B19,'A1. Data scoring'!$A$11:$A$238,0)),"")</f>
        <v/>
      </c>
      <c r="H19" s="8">
        <f>IFERROR(INDEX('A1. Data scoring'!M$11:M$238,MATCH($C$4&amp;"|"&amp;$B19,'A1. Data scoring'!$A$11:$A$238,0)),"")</f>
        <v/>
      </c>
      <c r="I19" s="8">
        <f>IFERROR(INDEX('A1. Data scoring'!N$11:N$238,MATCH($C$4&amp;"|"&amp;$B19,'A1. Data scoring'!$A$11:$A$238,0)),"")</f>
        <v/>
      </c>
      <c r="J19" s="8">
        <f>IFERROR(INDEX('A1. Data scoring'!O$11:O$238,MATCH($C$4&amp;"|"&amp;$B19,'A1. Data scoring'!$A$11:$A$238,0)),"")</f>
        <v/>
      </c>
      <c r="K19" s="8">
        <f>IFERROR(INDEX('A1. Data scoring'!P$11:P$238,MATCH($C$4&amp;"|"&amp;$B19,'A1. Data scoring'!$A$11:$A$238,0)),"")</f>
        <v/>
      </c>
      <c r="L19" s="8">
        <f>IFERROR(INDEX('A1. Data scoring'!Q$11:Q$238,MATCH($C$4&amp;"|"&amp;$B19,'A1. Data scoring'!$A$11:$A$238,0)),"")</f>
        <v/>
      </c>
      <c r="M19" s="8">
        <f>IFERROR(INDEX('A1. Data scoring'!R$11:R$238,MATCH($C$4&amp;"|"&amp;$B19,'A1. Data scoring'!$A$11:$A$238,0)),"")</f>
        <v/>
      </c>
      <c r="N19" s="8">
        <f>IFERROR(INDEX('A1. Data scoring'!S$11:S$238,MATCH($C$4&amp;"|"&amp;$B19,'A1. Data scoring'!$A$11:$A$238,0)),"")</f>
        <v/>
      </c>
      <c r="O19" s="8">
        <f>IFERROR(INDEX('A1. Data scoring'!T$11:T$238,MATCH($C$4&amp;"|"&amp;$B19,'A1. Data scoring'!$A$11:$A$238,0)),"")</f>
        <v/>
      </c>
      <c r="P19" s="8">
        <f>IFERROR(INDEX('A1. Data scoring'!U$11:U$238,MATCH($C$4&amp;"|"&amp;$B19,'A1. Data scoring'!$A$11:$A$238,0)),"")</f>
        <v/>
      </c>
      <c r="Q19" s="8">
        <f>IFERROR(INDEX('A1. Data scoring'!V$11:V$238,MATCH($C$4&amp;"|"&amp;$B19,'A1. Data scoring'!$A$11:$A$238,0)),"")</f>
        <v/>
      </c>
      <c r="R19" s="8">
        <f>IFERROR(INDEX('A1. Data scoring'!W$11:W$238,MATCH($C$4&amp;"|"&amp;$B19,'A1. Data scoring'!$A$11:$A$238,0)),"")</f>
        <v/>
      </c>
      <c r="S19" s="8">
        <f>IFERROR(INDEX('A1. Data scoring'!X$11:X$238,MATCH($C$4&amp;"|"&amp;$B19,'A1. Data scoring'!$A$11:$A$238,0)),"")</f>
        <v/>
      </c>
    </row>
    <row r="20" ht="45" customHeight="1">
      <c r="B20" s="7" t="inlineStr">
        <is>
          <t>Data source and limitations</t>
        </is>
      </c>
      <c r="C20" s="8">
        <f>IFERROR(INDEX('A1. Data scoring'!H$11:H$238,MATCH($C$4&amp;"|"&amp;$B20,'A1. Data scoring'!$A$11:$A$238,0)),"")</f>
        <v/>
      </c>
      <c r="D20" s="8">
        <f>IFERROR(INDEX('A1. Data scoring'!I$11:I$238,MATCH($C$4&amp;"|"&amp;$B20,'A1. Data scoring'!$A$11:$A$238,0)),"")</f>
        <v/>
      </c>
      <c r="E20" s="8">
        <f>IFERROR(INDEX('A1. Data scoring'!J$11:J$238,MATCH($C$4&amp;"|"&amp;$B20,'A1. Data scoring'!$A$11:$A$238,0)),"")</f>
        <v/>
      </c>
      <c r="F20" s="8">
        <f>IFERROR(INDEX('A1. Data scoring'!K$11:K$238,MATCH($C$4&amp;"|"&amp;$B20,'A1. Data scoring'!$A$11:$A$238,0)),"")</f>
        <v/>
      </c>
      <c r="G20" s="8">
        <f>IFERROR(INDEX('A1. Data scoring'!L$11:L$238,MATCH($C$4&amp;"|"&amp;$B20,'A1. Data scoring'!$A$11:$A$238,0)),"")</f>
        <v/>
      </c>
      <c r="H20" s="8">
        <f>IFERROR(INDEX('A1. Data scoring'!M$11:M$238,MATCH($C$4&amp;"|"&amp;$B20,'A1. Data scoring'!$A$11:$A$238,0)),"")</f>
        <v/>
      </c>
      <c r="I20" s="8">
        <f>IFERROR(INDEX('A1. Data scoring'!N$11:N$238,MATCH($C$4&amp;"|"&amp;$B20,'A1. Data scoring'!$A$11:$A$238,0)),"")</f>
        <v/>
      </c>
      <c r="J20" s="8">
        <f>IFERROR(INDEX('A1. Data scoring'!O$11:O$238,MATCH($C$4&amp;"|"&amp;$B20,'A1. Data scoring'!$A$11:$A$238,0)),"")</f>
        <v/>
      </c>
      <c r="K20" s="8">
        <f>IFERROR(INDEX('A1. Data scoring'!P$11:P$238,MATCH($C$4&amp;"|"&amp;$B20,'A1. Data scoring'!$A$11:$A$238,0)),"")</f>
        <v/>
      </c>
      <c r="L20" s="8">
        <f>IFERROR(INDEX('A1. Data scoring'!Q$11:Q$238,MATCH($C$4&amp;"|"&amp;$B20,'A1. Data scoring'!$A$11:$A$238,0)),"")</f>
        <v/>
      </c>
      <c r="M20" s="8">
        <f>IFERROR(INDEX('A1. Data scoring'!R$11:R$238,MATCH($C$4&amp;"|"&amp;$B20,'A1. Data scoring'!$A$11:$A$238,0)),"")</f>
        <v/>
      </c>
      <c r="N20" s="8">
        <f>IFERROR(INDEX('A1. Data scoring'!S$11:S$238,MATCH($C$4&amp;"|"&amp;$B20,'A1. Data scoring'!$A$11:$A$238,0)),"")</f>
        <v/>
      </c>
      <c r="O20" s="8">
        <f>IFERROR(INDEX('A1. Data scoring'!T$11:T$238,MATCH($C$4&amp;"|"&amp;$B20,'A1. Data scoring'!$A$11:$A$238,0)),"")</f>
        <v/>
      </c>
      <c r="P20" s="8">
        <f>IFERROR(INDEX('A1. Data scoring'!U$11:U$238,MATCH($C$4&amp;"|"&amp;$B20,'A1. Data scoring'!$A$11:$A$238,0)),"")</f>
        <v/>
      </c>
      <c r="Q20" s="8">
        <f>IFERROR(INDEX('A1. Data scoring'!V$11:V$238,MATCH($C$4&amp;"|"&amp;$B20,'A1. Data scoring'!$A$11:$A$238,0)),"")</f>
        <v/>
      </c>
      <c r="R20" s="8">
        <f>IFERROR(INDEX('A1. Data scoring'!W$11:W$238,MATCH($C$4&amp;"|"&amp;$B20,'A1. Data scoring'!$A$11:$A$238,0)),"")</f>
        <v/>
      </c>
      <c r="S20" s="8">
        <f>IFERROR(INDEX('A1. Data scoring'!X$11:X$238,MATCH($C$4&amp;"|"&amp;$B20,'A1. Data scoring'!$A$11:$A$238,0)),"")</f>
        <v/>
      </c>
    </row>
    <row r="21" ht="45" customHeight="1">
      <c r="B21" s="7" t="inlineStr">
        <is>
          <t>Data owner confirms</t>
        </is>
      </c>
      <c r="C21" s="8">
        <f>IFERROR(INDEX('A1. Data scoring'!H$11:H$238,MATCH($C$4&amp;"|"&amp;$B21,'A1. Data scoring'!$A$11:$A$238,0)),"")</f>
        <v/>
      </c>
      <c r="D21" s="8">
        <f>IFERROR(INDEX('A1. Data scoring'!I$11:I$238,MATCH($C$4&amp;"|"&amp;$B21,'A1. Data scoring'!$A$11:$A$238,0)),"")</f>
        <v/>
      </c>
      <c r="E21" s="8">
        <f>IFERROR(INDEX('A1. Data scoring'!J$11:J$238,MATCH($C$4&amp;"|"&amp;$B21,'A1. Data scoring'!$A$11:$A$238,0)),"")</f>
        <v/>
      </c>
      <c r="F21" s="8">
        <f>IFERROR(INDEX('A1. Data scoring'!K$11:K$238,MATCH($C$4&amp;"|"&amp;$B21,'A1. Data scoring'!$A$11:$A$238,0)),"")</f>
        <v/>
      </c>
      <c r="G21" s="8">
        <f>IFERROR(INDEX('A1. Data scoring'!L$11:L$238,MATCH($C$4&amp;"|"&amp;$B21,'A1. Data scoring'!$A$11:$A$238,0)),"")</f>
        <v/>
      </c>
      <c r="H21" s="8">
        <f>IFERROR(INDEX('A1. Data scoring'!M$11:M$238,MATCH($C$4&amp;"|"&amp;$B21,'A1. Data scoring'!$A$11:$A$238,0)),"")</f>
        <v/>
      </c>
      <c r="I21" s="8">
        <f>IFERROR(INDEX('A1. Data scoring'!N$11:N$238,MATCH($C$4&amp;"|"&amp;$B21,'A1. Data scoring'!$A$11:$A$238,0)),"")</f>
        <v/>
      </c>
      <c r="J21" s="8">
        <f>IFERROR(INDEX('A1. Data scoring'!O$11:O$238,MATCH($C$4&amp;"|"&amp;$B21,'A1. Data scoring'!$A$11:$A$238,0)),"")</f>
        <v/>
      </c>
      <c r="K21" s="8">
        <f>IFERROR(INDEX('A1. Data scoring'!P$11:P$238,MATCH($C$4&amp;"|"&amp;$B21,'A1. Data scoring'!$A$11:$A$238,0)),"")</f>
        <v/>
      </c>
      <c r="L21" s="8">
        <f>IFERROR(INDEX('A1. Data scoring'!Q$11:Q$238,MATCH($C$4&amp;"|"&amp;$B21,'A1. Data scoring'!$A$11:$A$238,0)),"")</f>
        <v/>
      </c>
      <c r="M21" s="8">
        <f>IFERROR(INDEX('A1. Data scoring'!R$11:R$238,MATCH($C$4&amp;"|"&amp;$B21,'A1. Data scoring'!$A$11:$A$238,0)),"")</f>
        <v/>
      </c>
      <c r="N21" s="8">
        <f>IFERROR(INDEX('A1. Data scoring'!S$11:S$238,MATCH($C$4&amp;"|"&amp;$B21,'A1. Data scoring'!$A$11:$A$238,0)),"")</f>
        <v/>
      </c>
      <c r="O21" s="8">
        <f>IFERROR(INDEX('A1. Data scoring'!T$11:T$238,MATCH($C$4&amp;"|"&amp;$B21,'A1. Data scoring'!$A$11:$A$238,0)),"")</f>
        <v/>
      </c>
      <c r="P21" s="8">
        <f>IFERROR(INDEX('A1. Data scoring'!U$11:U$238,MATCH($C$4&amp;"|"&amp;$B21,'A1. Data scoring'!$A$11:$A$238,0)),"")</f>
        <v/>
      </c>
      <c r="Q21" s="8">
        <f>IFERROR(INDEX('A1. Data scoring'!V$11:V$238,MATCH($C$4&amp;"|"&amp;$B21,'A1. Data scoring'!$A$11:$A$238,0)),"")</f>
        <v/>
      </c>
      <c r="R21" s="8">
        <f>IFERROR(INDEX('A1. Data scoring'!W$11:W$238,MATCH($C$4&amp;"|"&amp;$B21,'A1. Data scoring'!$A$11:$A$238,0)),"")</f>
        <v/>
      </c>
      <c r="S21" s="8">
        <f>IFERROR(INDEX('A1. Data scoring'!X$11:X$238,MATCH($C$4&amp;"|"&amp;$B21,'A1. Data scoring'!$A$11:$A$238,0)),"")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9" customWidth="1" min="2" max="2"/>
    <col width="36" customWidth="1" min="3" max="3"/>
    <col width="50" customWidth="1" min="4" max="4"/>
    <col width="60" customWidth="1" min="5" max="5"/>
    <col width="12" customWidth="1" min="6" max="6"/>
    <col width="28" customWidth="1" min="7" max="7"/>
  </cols>
  <sheetData>
    <row r="1">
      <c r="A1" s="1" t="inlineStr">
        <is>
          <t>↑</t>
        </is>
      </c>
      <c r="B1" s="2" t="inlineStr">
        <is>
          <t>End-2026 target status assessment and reporting</t>
        </is>
      </c>
    </row>
    <row r="2">
      <c r="B2" s="3" t="inlineStr">
        <is>
          <t>Faculty request wording log</t>
        </is>
      </c>
    </row>
    <row r="3" ht="45" customHeight="1">
      <c r="B3" s="9"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5">
      <c r="B5" s="6" t="inlineStr">
        <is>
          <t>Ref</t>
        </is>
      </c>
      <c r="C5" s="6" t="inlineStr">
        <is>
          <t>Indicator</t>
        </is>
      </c>
      <c r="D5" s="6" t="inlineStr">
        <is>
          <t>Original wording (S2030 Qual sheet)</t>
        </is>
      </c>
      <c r="E5" s="6" t="inlineStr">
        <is>
          <t>SR26 faculty request (before faculty-specific opening line)</t>
        </is>
      </c>
      <c r="F5" s="6" t="inlineStr">
        <is>
          <t>Related SR25 ref</t>
        </is>
      </c>
      <c r="G5" s="6" t="inlineStr">
        <is>
          <t>Faculty-specific opening line</t>
        </is>
      </c>
    </row>
    <row r="6" ht="130" customHeight="1">
      <c r="B6" s="7" t="inlineStr">
        <is>
          <t>EE1(a)</t>
        </is>
      </c>
      <c r="C6" s="8" t="inlineStr">
        <is>
          <t>Evidence of innovative approaches to sustainability teaching and learning</t>
        </is>
      </c>
      <c r="D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8"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F6" s="8" t="inlineStr">
        <is>
          <t>4a(ii)</t>
        </is>
      </c>
      <c r="G6" s="8" t="inlineStr">
        <is>
          <t>Points to the faculty's end-2025 response and rating</t>
        </is>
      </c>
    </row>
    <row r="7" ht="130" customHeight="1">
      <c r="B7" s="7" t="inlineStr">
        <is>
          <t>EE1(b)</t>
        </is>
      </c>
      <c r="C7" s="8" t="inlineStr">
        <is>
          <t>Pilots of possible approaches for understanding and developing students’ sustainability self-efficacy</t>
        </is>
      </c>
      <c r="D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8" t="inlineStr">
        <is>
          <t>N/A – new indicator</t>
        </is>
      </c>
      <c r="G7" s="8" t="inlineStr">
        <is>
          <t>None (new indicator)</t>
        </is>
      </c>
    </row>
    <row r="8" ht="130" customHeight="1">
      <c r="B8" s="7" t="inlineStr">
        <is>
          <t>TR1(a)</t>
        </is>
      </c>
      <c r="C8" s="8" t="inlineStr">
        <is>
          <t>Expert-reviewed evidence of researchers contributing to operational sustainability priorities through partnerships, advisory input, living labs, applied projects or decision-support</t>
        </is>
      </c>
      <c r="D8"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8" s="8"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F8" s="8" t="inlineStr">
        <is>
          <t>2a</t>
        </is>
      </c>
      <c r="G8" s="8" t="inlineStr">
        <is>
          <t>Points to the faculty's end-2025 response and rating</t>
        </is>
      </c>
    </row>
    <row r="9" ht="130" customHeight="1">
      <c r="B9" s="7" t="inlineStr">
        <is>
          <t>TR2(a)</t>
        </is>
      </c>
      <c r="C9" s="8" t="inlineStr">
        <is>
          <t>Evidence of sustainability-related research impact across diverse pathways, could include policy, industry, community, practice, cultural and institutional outcomes</t>
        </is>
      </c>
      <c r="D9"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9" s="8"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9" s="8" t="inlineStr">
        <is>
          <t>5b(i)</t>
        </is>
      </c>
      <c r="G9" s="8" t="inlineStr">
        <is>
          <t>Points to the faculty's end-2025 response and rating</t>
        </is>
      </c>
    </row>
    <row r="10" ht="130" customHeight="1">
      <c r="B10" s="7" t="inlineStr">
        <is>
          <t>TR2(d)</t>
        </is>
      </c>
      <c r="C10" s="8" t="inlineStr">
        <is>
          <t>Case-based evidence demonstrating how research has contributed to meaningful sustainability outcomes.</t>
        </is>
      </c>
      <c r="D10"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0" s="8"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10" s="8" t="inlineStr">
        <is>
          <t>5b(i)</t>
        </is>
      </c>
      <c r="G10" s="8" t="inlineStr">
        <is>
          <t>Points to the faculty's end-2025 response and rating</t>
        </is>
      </c>
    </row>
    <row r="11" ht="130" customHeight="1">
      <c r="B11" s="7" t="inlineStr">
        <is>
          <t>TR3(b)</t>
        </is>
      </c>
      <c r="C11" s="8" t="inlineStr">
        <is>
          <t>Demonstrated examples of more sustainable research practices in laboratories, fieldwork, procurement, travel or infrastructure use</t>
        </is>
      </c>
      <c r="D11"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1" s="8"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1" s="8" t="inlineStr">
        <is>
          <t>5c(ii)</t>
        </is>
      </c>
      <c r="G11" s="8" t="inlineStr">
        <is>
          <t>Points to the faculty's end-2025 response and rating</t>
        </is>
      </c>
    </row>
    <row r="12" ht="130" customHeight="1">
      <c r="B12" s="7" t="inlineStr">
        <is>
          <t>EN1(a)</t>
        </is>
      </c>
      <c r="C12" s="8" t="inlineStr">
        <is>
          <t>Evidence of sustainability outcomes informed by Indigenous knowledges</t>
        </is>
      </c>
      <c r="D12"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2" s="8"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2" s="8" t="inlineStr">
        <is>
          <t>6a</t>
        </is>
      </c>
      <c r="G12" s="8" t="inlineStr">
        <is>
          <t>Points to the faculty's end-2025 response and rating</t>
        </is>
      </c>
    </row>
    <row r="13" ht="130" customHeight="1">
      <c r="B13" s="7" t="inlineStr">
        <is>
          <t>EN1(b)</t>
        </is>
      </c>
      <c r="C13" s="8" t="inlineStr">
        <is>
          <t>Living laboratories enabling applied learning, research and operational sustainability outcomes</t>
        </is>
      </c>
      <c r="D13" s="8" t="inlineStr">
        <is>
          <t>Comment on living labs in the Faculty - outputs, outcomes, and impact</t>
        </is>
      </c>
      <c r="E13" s="8" t="inlineStr">
        <is>
          <t>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F13" s="8" t="inlineStr">
        <is>
          <t>2a</t>
        </is>
      </c>
      <c r="G13" s="8" t="inlineStr">
        <is>
          <t>Points to the faculty's end-2025 response and rating</t>
        </is>
      </c>
    </row>
    <row r="14" ht="130" customHeight="1">
      <c r="B14" s="7" t="inlineStr">
        <is>
          <t>EN1(c)</t>
        </is>
      </c>
      <c r="C14" s="8" t="inlineStr">
        <is>
          <t>Coordinated internal engagement and external partnerships contributing to delivery of sustainability outcomes across priority areas.</t>
        </is>
      </c>
      <c r="D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4" s="8" t="inlineStr">
        <is>
          <t>Please list the key sustainability-focused communities of practice, internal networks or external partnerships active in your faculty in 2026 (name, partners, priority area), and give any examples of activity that contributed to a Sustainability 2030 outcome.</t>
        </is>
      </c>
      <c r="F14" s="8" t="inlineStr">
        <is>
          <t>3a(ii)</t>
        </is>
      </c>
      <c r="G14" s="8" t="inlineStr">
        <is>
          <t>Points to the faculty's end-2025 response and rating</t>
        </is>
      </c>
    </row>
  </sheetData>
  <mergeCells count="1">
    <mergeCell ref="B3:G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66"/>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s>
  <sheetData>
    <row r="1">
      <c r="A1" s="1" t="inlineStr">
        <is>
          <t>↑</t>
        </is>
      </c>
      <c r="B1" s="2" t="inlineStr">
        <is>
          <t>End-2026 target status assessment and reporting</t>
        </is>
      </c>
    </row>
    <row r="2">
      <c r="B2" s="3" t="inlineStr">
        <is>
          <t>Highlighted stories – compiled</t>
        </is>
      </c>
    </row>
    <row r="3" ht="32" customHeight="1">
      <c r="B3" s="9" t="inlineStr">
        <is>
          <t>Each faculty/unit has 3 story slots, matching rows 10–12 of Tab 2 in its request workbook. Copy (or, in the Teams version, link) the respondent columns; SST completes the gold columns to assign priority areas and shortlist.</t>
        </is>
      </c>
    </row>
    <row r="5">
      <c r="B5" s="6" t="inlineStr">
        <is>
          <t>Faculty / unit</t>
        </is>
      </c>
      <c r="C5" s="6" t="inlineStr">
        <is>
          <t>Story #</t>
        </is>
      </c>
      <c r="D5" s="6" t="inlineStr">
        <is>
          <t>Title</t>
        </is>
      </c>
      <c r="E5" s="6" t="inlineStr">
        <is>
          <t>Description</t>
        </is>
      </c>
      <c r="F5" s="6" t="inlineStr">
        <is>
          <t>Related Sustainability 2030 targets (optional)</t>
        </is>
      </c>
      <c r="G5" s="6" t="inlineStr">
        <is>
          <t>Images and other media</t>
        </is>
      </c>
      <c r="H5" s="6" t="inlineStr">
        <is>
          <t>Links and supporting documentation</t>
        </is>
      </c>
      <c r="I5" s="48" t="inlineStr">
        <is>
          <t>SST: primary priority area</t>
        </is>
      </c>
      <c r="J5" s="48" t="inlineStr">
        <is>
          <t>SST: secondary priority area</t>
        </is>
      </c>
      <c r="K5" s="48" t="inlineStr">
        <is>
          <t>SST: related S2030 indicator ref</t>
        </is>
      </c>
      <c r="L5" s="48" t="inlineStr">
        <is>
          <t>SST: use in report?</t>
        </is>
      </c>
      <c r="M5" s="48" t="inlineStr">
        <is>
          <t>SST: permission to publish?</t>
        </is>
      </c>
      <c r="N5" s="48" t="inlineStr">
        <is>
          <t>SST notes</t>
        </is>
      </c>
    </row>
    <row r="6" ht="60" customHeight="1">
      <c r="B6" s="7" t="inlineStr">
        <is>
          <t>ABP – Faculty of Architecture, Building and Planning</t>
        </is>
      </c>
      <c r="C6" s="50" t="n">
        <v>1</v>
      </c>
      <c r="D6" s="10">
        <f>IF([1]'2. OPTIONAL highlighted stories'!B10="","",[1]'2. OPTIONAL highlighted stories'!B10)</f>
        <v/>
      </c>
      <c r="E6" s="10">
        <f>IF([1]'2. OPTIONAL highlighted stories'!C10="","",[1]'2. OPTIONAL highlighted stories'!C10)</f>
        <v/>
      </c>
      <c r="F6" s="10">
        <f>IF([1]'2. OPTIONAL highlighted stories'!D10="","",[1]'2. OPTIONAL highlighted stories'!D10)</f>
        <v/>
      </c>
      <c r="G6" s="10">
        <f>IF([1]'2. OPTIONAL highlighted stories'!E10="","",[1]'2. OPTIONAL highlighted stories'!E10)</f>
        <v/>
      </c>
      <c r="H6" s="10">
        <f>IF([1]'2. OPTIONAL highlighted stories'!F10="","",[1]'2. OPTIONAL highlighted stories'!F10)</f>
        <v/>
      </c>
      <c r="I6" s="8" t="inlineStr"/>
      <c r="J6" s="8" t="inlineStr"/>
      <c r="K6" s="8" t="inlineStr"/>
      <c r="L6" s="8" t="inlineStr"/>
      <c r="M6" s="8" t="inlineStr"/>
      <c r="N6" s="8" t="inlineStr"/>
    </row>
    <row r="7" ht="60" customHeight="1">
      <c r="B7" s="7" t="inlineStr"/>
      <c r="C7" s="50" t="n">
        <v>2</v>
      </c>
      <c r="D7" s="10">
        <f>IF([1]'2. OPTIONAL highlighted stories'!B11="","",[1]'2. OPTIONAL highlighted stories'!B11)</f>
        <v/>
      </c>
      <c r="E7" s="10">
        <f>IF([1]'2. OPTIONAL highlighted stories'!C11="","",[1]'2. OPTIONAL highlighted stories'!C11)</f>
        <v/>
      </c>
      <c r="F7" s="10">
        <f>IF([1]'2. OPTIONAL highlighted stories'!D11="","",[1]'2. OPTIONAL highlighted stories'!D11)</f>
        <v/>
      </c>
      <c r="G7" s="10">
        <f>IF([1]'2. OPTIONAL highlighted stories'!E11="","",[1]'2. OPTIONAL highlighted stories'!E11)</f>
        <v/>
      </c>
      <c r="H7" s="10">
        <f>IF([1]'2. OPTIONAL highlighted stories'!F11="","",[1]'2. OPTIONAL highlighted stories'!F11)</f>
        <v/>
      </c>
      <c r="I7" s="8" t="inlineStr"/>
      <c r="J7" s="8" t="inlineStr"/>
      <c r="K7" s="8" t="inlineStr"/>
      <c r="L7" s="8" t="inlineStr"/>
      <c r="M7" s="8" t="inlineStr"/>
      <c r="N7" s="8" t="inlineStr"/>
    </row>
    <row r="8" ht="60" customHeight="1">
      <c r="B8" s="7" t="inlineStr"/>
      <c r="C8" s="50" t="n">
        <v>3</v>
      </c>
      <c r="D8" s="10">
        <f>IF([1]'2. OPTIONAL highlighted stories'!B12="","",[1]'2. OPTIONAL highlighted stories'!B12)</f>
        <v/>
      </c>
      <c r="E8" s="10">
        <f>IF([1]'2. OPTIONAL highlighted stories'!C12="","",[1]'2. OPTIONAL highlighted stories'!C12)</f>
        <v/>
      </c>
      <c r="F8" s="10">
        <f>IF([1]'2. OPTIONAL highlighted stories'!D12="","",[1]'2. OPTIONAL highlighted stories'!D12)</f>
        <v/>
      </c>
      <c r="G8" s="10">
        <f>IF([1]'2. OPTIONAL highlighted stories'!E12="","",[1]'2. OPTIONAL highlighted stories'!E12)</f>
        <v/>
      </c>
      <c r="H8" s="10">
        <f>IF([1]'2. OPTIONAL highlighted stories'!F12="","",[1]'2. OPTIONAL highlighted stories'!F12)</f>
        <v/>
      </c>
      <c r="I8" s="8" t="inlineStr"/>
      <c r="J8" s="8" t="inlineStr"/>
      <c r="K8" s="8" t="inlineStr"/>
      <c r="L8" s="8" t="inlineStr"/>
      <c r="M8" s="8" t="inlineStr"/>
      <c r="N8" s="8" t="inlineStr"/>
    </row>
    <row r="9" ht="60" customHeight="1">
      <c r="B9" s="7" t="inlineStr">
        <is>
          <t>ARTS – Faculty of Arts</t>
        </is>
      </c>
      <c r="C9" s="50" t="n">
        <v>1</v>
      </c>
      <c r="D9" s="8" t="inlineStr"/>
      <c r="E9" s="8" t="inlineStr"/>
      <c r="F9" s="8" t="inlineStr"/>
      <c r="G9" s="8" t="inlineStr"/>
      <c r="H9" s="8" t="inlineStr"/>
      <c r="I9" s="8" t="inlineStr"/>
      <c r="J9" s="8" t="inlineStr"/>
      <c r="K9" s="8" t="inlineStr"/>
      <c r="L9" s="8" t="inlineStr"/>
      <c r="M9" s="8" t="inlineStr"/>
      <c r="N9" s="8" t="inlineStr"/>
    </row>
    <row r="10" ht="60" customHeight="1">
      <c r="B10" s="7" t="inlineStr"/>
      <c r="C10" s="50" t="n">
        <v>2</v>
      </c>
      <c r="D10" s="8" t="inlineStr"/>
      <c r="E10" s="8" t="inlineStr"/>
      <c r="F10" s="8" t="inlineStr"/>
      <c r="G10" s="8" t="inlineStr"/>
      <c r="H10" s="8" t="inlineStr"/>
      <c r="I10" s="8" t="inlineStr"/>
      <c r="J10" s="8" t="inlineStr"/>
      <c r="K10" s="8" t="inlineStr"/>
      <c r="L10" s="8" t="inlineStr"/>
      <c r="M10" s="8" t="inlineStr"/>
      <c r="N10" s="8" t="inlineStr"/>
    </row>
    <row r="11" ht="60" customHeight="1">
      <c r="B11" s="7" t="inlineStr"/>
      <c r="C11" s="50" t="n">
        <v>3</v>
      </c>
      <c r="D11" s="8" t="inlineStr"/>
      <c r="E11" s="8" t="inlineStr"/>
      <c r="F11" s="8" t="inlineStr"/>
      <c r="G11" s="8" t="inlineStr"/>
      <c r="H11" s="8" t="inlineStr"/>
      <c r="I11" s="8" t="inlineStr"/>
      <c r="J11" s="8" t="inlineStr"/>
      <c r="K11" s="8" t="inlineStr"/>
      <c r="L11" s="8" t="inlineStr"/>
      <c r="M11" s="8" t="inlineStr"/>
      <c r="N11" s="8" t="inlineStr"/>
    </row>
    <row r="12" ht="60" customHeight="1">
      <c r="B12" s="7" t="inlineStr">
        <is>
          <t>FBE – Faculty of Business and Economics</t>
        </is>
      </c>
      <c r="C12" s="50" t="n">
        <v>1</v>
      </c>
      <c r="D12" s="8" t="inlineStr"/>
      <c r="E12" s="8" t="inlineStr"/>
      <c r="F12" s="8" t="inlineStr"/>
      <c r="G12" s="8" t="inlineStr"/>
      <c r="H12" s="8" t="inlineStr"/>
      <c r="I12" s="8" t="inlineStr"/>
      <c r="J12" s="8" t="inlineStr"/>
      <c r="K12" s="8" t="inlineStr"/>
      <c r="L12" s="8" t="inlineStr"/>
      <c r="M12" s="8" t="inlineStr"/>
      <c r="N12" s="8" t="inlineStr"/>
    </row>
    <row r="13" ht="60" customHeight="1">
      <c r="B13" s="7" t="inlineStr"/>
      <c r="C13" s="50" t="n">
        <v>2</v>
      </c>
      <c r="D13" s="8" t="inlineStr"/>
      <c r="E13" s="8" t="inlineStr"/>
      <c r="F13" s="8" t="inlineStr"/>
      <c r="G13" s="8" t="inlineStr"/>
      <c r="H13" s="8" t="inlineStr"/>
      <c r="I13" s="8" t="inlineStr"/>
      <c r="J13" s="8" t="inlineStr"/>
      <c r="K13" s="8" t="inlineStr"/>
      <c r="L13" s="8" t="inlineStr"/>
      <c r="M13" s="8" t="inlineStr"/>
      <c r="N13" s="8" t="inlineStr"/>
    </row>
    <row r="14" ht="60" customHeight="1">
      <c r="B14" s="7" t="inlineStr"/>
      <c r="C14" s="50" t="n">
        <v>3</v>
      </c>
      <c r="D14" s="8" t="inlineStr"/>
      <c r="E14" s="8" t="inlineStr"/>
      <c r="F14" s="8" t="inlineStr"/>
      <c r="G14" s="8" t="inlineStr"/>
      <c r="H14" s="8" t="inlineStr"/>
      <c r="I14" s="8" t="inlineStr"/>
      <c r="J14" s="8" t="inlineStr"/>
      <c r="K14" s="8" t="inlineStr"/>
      <c r="L14" s="8" t="inlineStr"/>
      <c r="M14" s="8" t="inlineStr"/>
      <c r="N14" s="8" t="inlineStr"/>
    </row>
    <row r="15" ht="60" customHeight="1">
      <c r="B15" s="7" t="inlineStr">
        <is>
          <t>SCI – Faculty of Science</t>
        </is>
      </c>
      <c r="C15" s="50" t="n">
        <v>1</v>
      </c>
      <c r="D15" s="8" t="inlineStr"/>
      <c r="E15" s="8" t="inlineStr"/>
      <c r="F15" s="8" t="inlineStr"/>
      <c r="G15" s="8" t="inlineStr"/>
      <c r="H15" s="8" t="inlineStr"/>
      <c r="I15" s="8" t="inlineStr"/>
      <c r="J15" s="8" t="inlineStr"/>
      <c r="K15" s="8" t="inlineStr"/>
      <c r="L15" s="8" t="inlineStr"/>
      <c r="M15" s="8" t="inlineStr"/>
      <c r="N15" s="8" t="inlineStr"/>
    </row>
    <row r="16" ht="60" customHeight="1">
      <c r="B16" s="7" t="inlineStr"/>
      <c r="C16" s="50" t="n">
        <v>2</v>
      </c>
      <c r="D16" s="8" t="inlineStr"/>
      <c r="E16" s="8" t="inlineStr"/>
      <c r="F16" s="8" t="inlineStr"/>
      <c r="G16" s="8" t="inlineStr"/>
      <c r="H16" s="8" t="inlineStr"/>
      <c r="I16" s="8" t="inlineStr"/>
      <c r="J16" s="8" t="inlineStr"/>
      <c r="K16" s="8" t="inlineStr"/>
      <c r="L16" s="8" t="inlineStr"/>
      <c r="M16" s="8" t="inlineStr"/>
      <c r="N16" s="8" t="inlineStr"/>
    </row>
    <row r="17" ht="60" customHeight="1">
      <c r="B17" s="7" t="inlineStr"/>
      <c r="C17" s="50" t="n">
        <v>3</v>
      </c>
      <c r="D17" s="8" t="inlineStr"/>
      <c r="E17" s="8" t="inlineStr"/>
      <c r="F17" s="8" t="inlineStr"/>
      <c r="G17" s="8" t="inlineStr"/>
      <c r="H17" s="8" t="inlineStr"/>
      <c r="I17" s="8" t="inlineStr"/>
      <c r="J17" s="8" t="inlineStr"/>
      <c r="K17" s="8" t="inlineStr"/>
      <c r="L17" s="8" t="inlineStr"/>
      <c r="M17" s="8" t="inlineStr"/>
      <c r="N17" s="8" t="inlineStr"/>
    </row>
    <row r="18" ht="60" customHeight="1">
      <c r="B18" s="7" t="inlineStr">
        <is>
          <t>Commercial, Infrastructure &amp; Sustainability (CI&amp;S)</t>
        </is>
      </c>
      <c r="C18" s="50" t="n">
        <v>1</v>
      </c>
      <c r="D18" s="8" t="inlineStr"/>
      <c r="E18" s="8" t="inlineStr"/>
      <c r="F18" s="8" t="inlineStr"/>
      <c r="G18" s="8" t="inlineStr"/>
      <c r="H18" s="8" t="inlineStr"/>
      <c r="I18" s="8" t="inlineStr"/>
      <c r="J18" s="8" t="inlineStr"/>
      <c r="K18" s="8" t="inlineStr"/>
      <c r="L18" s="8" t="inlineStr"/>
      <c r="M18" s="8" t="inlineStr"/>
      <c r="N18" s="8" t="inlineStr"/>
    </row>
    <row r="19" ht="60" customHeight="1">
      <c r="B19" s="7" t="inlineStr"/>
      <c r="C19" s="50" t="n">
        <v>2</v>
      </c>
      <c r="D19" s="8" t="inlineStr"/>
      <c r="E19" s="8" t="inlineStr"/>
      <c r="F19" s="8" t="inlineStr"/>
      <c r="G19" s="8" t="inlineStr"/>
      <c r="H19" s="8" t="inlineStr"/>
      <c r="I19" s="8" t="inlineStr"/>
      <c r="J19" s="8" t="inlineStr"/>
      <c r="K19" s="8" t="inlineStr"/>
      <c r="L19" s="8" t="inlineStr"/>
      <c r="M19" s="8" t="inlineStr"/>
      <c r="N19" s="8" t="inlineStr"/>
    </row>
    <row r="20" ht="60" customHeight="1">
      <c r="B20" s="7" t="inlineStr"/>
      <c r="C20" s="50" t="n">
        <v>3</v>
      </c>
      <c r="D20" s="8" t="inlineStr"/>
      <c r="E20" s="8" t="inlineStr"/>
      <c r="F20" s="8" t="inlineStr"/>
      <c r="G20" s="8" t="inlineStr"/>
      <c r="H20" s="8" t="inlineStr"/>
      <c r="I20" s="8" t="inlineStr"/>
      <c r="J20" s="8" t="inlineStr"/>
      <c r="K20" s="8" t="inlineStr"/>
      <c r="L20" s="8" t="inlineStr"/>
      <c r="M20" s="8" t="inlineStr"/>
      <c r="N20" s="8" t="inlineStr"/>
    </row>
    <row r="21" ht="60" customHeight="1">
      <c r="B21" s="7" t="inlineStr">
        <is>
          <t>Chief Finance Officer Group (CFOG)</t>
        </is>
      </c>
      <c r="C21" s="50" t="n">
        <v>1</v>
      </c>
      <c r="D21" s="8" t="inlineStr"/>
      <c r="E21" s="8" t="inlineStr"/>
      <c r="F21" s="8" t="inlineStr"/>
      <c r="G21" s="8" t="inlineStr"/>
      <c r="H21" s="8" t="inlineStr"/>
      <c r="I21" s="8" t="inlineStr"/>
      <c r="J21" s="8" t="inlineStr"/>
      <c r="K21" s="8" t="inlineStr"/>
      <c r="L21" s="8" t="inlineStr"/>
      <c r="M21" s="8" t="inlineStr"/>
      <c r="N21" s="8" t="inlineStr"/>
    </row>
    <row r="22" ht="60" customHeight="1">
      <c r="B22" s="7" t="inlineStr"/>
      <c r="C22" s="50" t="n">
        <v>2</v>
      </c>
      <c r="D22" s="8" t="inlineStr"/>
      <c r="E22" s="8" t="inlineStr"/>
      <c r="F22" s="8" t="inlineStr"/>
      <c r="G22" s="8" t="inlineStr"/>
      <c r="H22" s="8" t="inlineStr"/>
      <c r="I22" s="8" t="inlineStr"/>
      <c r="J22" s="8" t="inlineStr"/>
      <c r="K22" s="8" t="inlineStr"/>
      <c r="L22" s="8" t="inlineStr"/>
      <c r="M22" s="8" t="inlineStr"/>
      <c r="N22" s="8" t="inlineStr"/>
    </row>
    <row r="23" ht="60" customHeight="1">
      <c r="B23" s="7" t="inlineStr"/>
      <c r="C23" s="50" t="n">
        <v>3</v>
      </c>
      <c r="D23" s="8" t="inlineStr"/>
      <c r="E23" s="8" t="inlineStr"/>
      <c r="F23" s="8" t="inlineStr"/>
      <c r="G23" s="8" t="inlineStr"/>
      <c r="H23" s="8" t="inlineStr"/>
      <c r="I23" s="8" t="inlineStr"/>
      <c r="J23" s="8" t="inlineStr"/>
      <c r="K23" s="8" t="inlineStr"/>
      <c r="L23" s="8" t="inlineStr"/>
      <c r="M23" s="8" t="inlineStr"/>
      <c r="N23" s="8" t="inlineStr"/>
    </row>
    <row r="24" ht="60" customHeight="1">
      <c r="B24" s="7" t="inlineStr">
        <is>
          <t>Enterprise Services Group (ESG)</t>
        </is>
      </c>
      <c r="C24" s="50" t="n">
        <v>1</v>
      </c>
      <c r="D24" s="8" t="inlineStr"/>
      <c r="E24" s="8" t="inlineStr"/>
      <c r="F24" s="8" t="inlineStr"/>
      <c r="G24" s="8" t="inlineStr"/>
      <c r="H24" s="8" t="inlineStr"/>
      <c r="I24" s="8" t="inlineStr"/>
      <c r="J24" s="8" t="inlineStr"/>
      <c r="K24" s="8" t="inlineStr"/>
      <c r="L24" s="8" t="inlineStr"/>
      <c r="M24" s="8" t="inlineStr"/>
      <c r="N24" s="8" t="inlineStr"/>
    </row>
    <row r="25" ht="60" customHeight="1">
      <c r="B25" s="7" t="inlineStr"/>
      <c r="C25" s="50" t="n">
        <v>2</v>
      </c>
      <c r="D25" s="8" t="inlineStr"/>
      <c r="E25" s="8" t="inlineStr"/>
      <c r="F25" s="8" t="inlineStr"/>
      <c r="G25" s="8" t="inlineStr"/>
      <c r="H25" s="8" t="inlineStr"/>
      <c r="I25" s="8" t="inlineStr"/>
      <c r="J25" s="8" t="inlineStr"/>
      <c r="K25" s="8" t="inlineStr"/>
      <c r="L25" s="8" t="inlineStr"/>
      <c r="M25" s="8" t="inlineStr"/>
      <c r="N25" s="8" t="inlineStr"/>
    </row>
    <row r="26" ht="60" customHeight="1">
      <c r="B26" s="7" t="inlineStr"/>
      <c r="C26" s="50" t="n">
        <v>3</v>
      </c>
      <c r="D26" s="8" t="inlineStr"/>
      <c r="E26" s="8" t="inlineStr"/>
      <c r="F26" s="8" t="inlineStr"/>
      <c r="G26" s="8" t="inlineStr"/>
      <c r="H26" s="8" t="inlineStr"/>
      <c r="I26" s="8" t="inlineStr"/>
      <c r="J26" s="8" t="inlineStr"/>
      <c r="K26" s="8" t="inlineStr"/>
      <c r="L26" s="8" t="inlineStr"/>
      <c r="M26" s="8" t="inlineStr"/>
      <c r="N26" s="8" t="inlineStr"/>
    </row>
    <row r="27" ht="60" customHeight="1">
      <c r="B27" s="7" t="inlineStr">
        <is>
          <t>Chief Information Officer Group (CIOG)</t>
        </is>
      </c>
      <c r="C27" s="50" t="n">
        <v>1</v>
      </c>
      <c r="D27" s="8" t="inlineStr"/>
      <c r="E27" s="8" t="inlineStr"/>
      <c r="F27" s="8" t="inlineStr"/>
      <c r="G27" s="8" t="inlineStr"/>
      <c r="H27" s="8" t="inlineStr"/>
      <c r="I27" s="8" t="inlineStr"/>
      <c r="J27" s="8" t="inlineStr"/>
      <c r="K27" s="8" t="inlineStr"/>
      <c r="L27" s="8" t="inlineStr"/>
      <c r="M27" s="8" t="inlineStr"/>
      <c r="N27" s="8" t="inlineStr"/>
    </row>
    <row r="28" ht="60" customHeight="1">
      <c r="B28" s="7" t="inlineStr"/>
      <c r="C28" s="50" t="n">
        <v>2</v>
      </c>
      <c r="D28" s="8" t="inlineStr"/>
      <c r="E28" s="8" t="inlineStr"/>
      <c r="F28" s="8" t="inlineStr"/>
      <c r="G28" s="8" t="inlineStr"/>
      <c r="H28" s="8" t="inlineStr"/>
      <c r="I28" s="8" t="inlineStr"/>
      <c r="J28" s="8" t="inlineStr"/>
      <c r="K28" s="8" t="inlineStr"/>
      <c r="L28" s="8" t="inlineStr"/>
      <c r="M28" s="8" t="inlineStr"/>
      <c r="N28" s="8" t="inlineStr"/>
    </row>
    <row r="29" ht="60" customHeight="1">
      <c r="B29" s="7" t="inlineStr"/>
      <c r="C29" s="50" t="n">
        <v>3</v>
      </c>
      <c r="D29" s="8" t="inlineStr"/>
      <c r="E29" s="8" t="inlineStr"/>
      <c r="F29" s="8" t="inlineStr"/>
      <c r="G29" s="8" t="inlineStr"/>
      <c r="H29" s="8" t="inlineStr"/>
      <c r="I29" s="8" t="inlineStr"/>
      <c r="J29" s="8" t="inlineStr"/>
      <c r="K29" s="8" t="inlineStr"/>
      <c r="L29" s="8" t="inlineStr"/>
      <c r="M29" s="8" t="inlineStr"/>
      <c r="N29" s="8" t="inlineStr"/>
    </row>
    <row r="30" ht="60" customHeight="1">
      <c r="B30" s="7" t="inlineStr">
        <is>
          <t>Melbourne Research and Enterprise (MRE)</t>
        </is>
      </c>
      <c r="C30" s="50" t="n">
        <v>1</v>
      </c>
      <c r="D30" s="8" t="inlineStr"/>
      <c r="E30" s="8" t="inlineStr"/>
      <c r="F30" s="8" t="inlineStr"/>
      <c r="G30" s="8" t="inlineStr"/>
      <c r="H30" s="8" t="inlineStr"/>
      <c r="I30" s="8" t="inlineStr"/>
      <c r="J30" s="8" t="inlineStr"/>
      <c r="K30" s="8" t="inlineStr"/>
      <c r="L30" s="8" t="inlineStr"/>
      <c r="M30" s="8" t="inlineStr"/>
      <c r="N30" s="8" t="inlineStr"/>
    </row>
    <row r="31" ht="60" customHeight="1">
      <c r="B31" s="7" t="inlineStr"/>
      <c r="C31" s="50" t="n">
        <v>2</v>
      </c>
      <c r="D31" s="8" t="inlineStr"/>
      <c r="E31" s="8" t="inlineStr"/>
      <c r="F31" s="8" t="inlineStr"/>
      <c r="G31" s="8" t="inlineStr"/>
      <c r="H31" s="8" t="inlineStr"/>
      <c r="I31" s="8" t="inlineStr"/>
      <c r="J31" s="8" t="inlineStr"/>
      <c r="K31" s="8" t="inlineStr"/>
      <c r="L31" s="8" t="inlineStr"/>
      <c r="M31" s="8" t="inlineStr"/>
      <c r="N31" s="8" t="inlineStr"/>
    </row>
    <row r="32" ht="60" customHeight="1">
      <c r="B32" s="7" t="inlineStr"/>
      <c r="C32" s="50" t="n">
        <v>3</v>
      </c>
      <c r="D32" s="8" t="inlineStr"/>
      <c r="E32" s="8" t="inlineStr"/>
      <c r="F32" s="8" t="inlineStr"/>
      <c r="G32" s="8" t="inlineStr"/>
      <c r="H32" s="8" t="inlineStr"/>
      <c r="I32" s="8" t="inlineStr"/>
      <c r="J32" s="8" t="inlineStr"/>
      <c r="K32" s="8" t="inlineStr"/>
      <c r="L32" s="8" t="inlineStr"/>
      <c r="M32" s="8" t="inlineStr"/>
      <c r="N32" s="8" t="inlineStr"/>
    </row>
    <row r="33" ht="60" customHeight="1">
      <c r="B33" s="7" t="inlineStr">
        <is>
          <t>Advancement, Communication and Marketing (AC&amp;M)</t>
        </is>
      </c>
      <c r="C33" s="50" t="n">
        <v>1</v>
      </c>
      <c r="D33" s="8" t="inlineStr"/>
      <c r="E33" s="8" t="inlineStr"/>
      <c r="F33" s="8" t="inlineStr"/>
      <c r="G33" s="8" t="inlineStr"/>
      <c r="H33" s="8" t="inlineStr"/>
      <c r="I33" s="8" t="inlineStr"/>
      <c r="J33" s="8" t="inlineStr"/>
      <c r="K33" s="8" t="inlineStr"/>
      <c r="L33" s="8" t="inlineStr"/>
      <c r="M33" s="8" t="inlineStr"/>
      <c r="N33" s="8" t="inlineStr"/>
    </row>
    <row r="34" ht="60" customHeight="1">
      <c r="B34" s="7" t="inlineStr"/>
      <c r="C34" s="50" t="n">
        <v>2</v>
      </c>
      <c r="D34" s="8" t="inlineStr"/>
      <c r="E34" s="8" t="inlineStr"/>
      <c r="F34" s="8" t="inlineStr"/>
      <c r="G34" s="8" t="inlineStr"/>
      <c r="H34" s="8" t="inlineStr"/>
      <c r="I34" s="8" t="inlineStr"/>
      <c r="J34" s="8" t="inlineStr"/>
      <c r="K34" s="8" t="inlineStr"/>
      <c r="L34" s="8" t="inlineStr"/>
      <c r="M34" s="8" t="inlineStr"/>
      <c r="N34" s="8" t="inlineStr"/>
    </row>
    <row r="35" ht="60" customHeight="1">
      <c r="B35" s="7" t="inlineStr"/>
      <c r="C35" s="50" t="n">
        <v>3</v>
      </c>
      <c r="D35" s="8" t="inlineStr"/>
      <c r="E35" s="8" t="inlineStr"/>
      <c r="F35" s="8" t="inlineStr"/>
      <c r="G35" s="8" t="inlineStr"/>
      <c r="H35" s="8" t="inlineStr"/>
      <c r="I35" s="8" t="inlineStr"/>
      <c r="J35" s="8" t="inlineStr"/>
      <c r="K35" s="8" t="inlineStr"/>
      <c r="L35" s="8" t="inlineStr"/>
      <c r="M35" s="8" t="inlineStr"/>
      <c r="N35" s="8" t="inlineStr"/>
    </row>
    <row r="36" ht="60" customHeight="1">
      <c r="B36" s="7" t="inlineStr">
        <is>
          <t>Global, Culture and Engagement (GCE)</t>
        </is>
      </c>
      <c r="C36" s="50" t="n">
        <v>1</v>
      </c>
      <c r="D36" s="8" t="inlineStr"/>
      <c r="E36" s="8" t="inlineStr"/>
      <c r="F36" s="8" t="inlineStr"/>
      <c r="G36" s="8" t="inlineStr"/>
      <c r="H36" s="8" t="inlineStr"/>
      <c r="I36" s="8" t="inlineStr"/>
      <c r="J36" s="8" t="inlineStr"/>
      <c r="K36" s="8" t="inlineStr"/>
      <c r="L36" s="8" t="inlineStr"/>
      <c r="M36" s="8" t="inlineStr"/>
      <c r="N36" s="8" t="inlineStr"/>
    </row>
    <row r="37" ht="60" customHeight="1">
      <c r="B37" s="7" t="inlineStr"/>
      <c r="C37" s="50" t="n">
        <v>2</v>
      </c>
      <c r="D37" s="8" t="inlineStr"/>
      <c r="E37" s="8" t="inlineStr"/>
      <c r="F37" s="8" t="inlineStr"/>
      <c r="G37" s="8" t="inlineStr"/>
      <c r="H37" s="8" t="inlineStr"/>
      <c r="I37" s="8" t="inlineStr"/>
      <c r="J37" s="8" t="inlineStr"/>
      <c r="K37" s="8" t="inlineStr"/>
      <c r="L37" s="8" t="inlineStr"/>
      <c r="M37" s="8" t="inlineStr"/>
      <c r="N37" s="8" t="inlineStr"/>
    </row>
    <row r="38" ht="60" customHeight="1">
      <c r="B38" s="7" t="inlineStr"/>
      <c r="C38" s="50" t="n">
        <v>3</v>
      </c>
      <c r="D38" s="8" t="inlineStr"/>
      <c r="E38" s="8" t="inlineStr"/>
      <c r="F38" s="8" t="inlineStr"/>
      <c r="G38" s="8" t="inlineStr"/>
      <c r="H38" s="8" t="inlineStr"/>
      <c r="I38" s="8" t="inlineStr"/>
      <c r="J38" s="8" t="inlineStr"/>
      <c r="K38" s="8" t="inlineStr"/>
      <c r="L38" s="8" t="inlineStr"/>
      <c r="M38" s="8" t="inlineStr"/>
      <c r="N38" s="8" t="inlineStr"/>
    </row>
    <row r="39" ht="60" customHeight="1">
      <c r="B39" s="7" t="inlineStr">
        <is>
          <t>Chancellery Education</t>
        </is>
      </c>
      <c r="C39" s="50" t="n">
        <v>1</v>
      </c>
      <c r="D39" s="8" t="inlineStr"/>
      <c r="E39" s="8" t="inlineStr"/>
      <c r="F39" s="8" t="inlineStr"/>
      <c r="G39" s="8" t="inlineStr"/>
      <c r="H39" s="8" t="inlineStr"/>
      <c r="I39" s="8" t="inlineStr"/>
      <c r="J39" s="8" t="inlineStr"/>
      <c r="K39" s="8" t="inlineStr"/>
      <c r="L39" s="8" t="inlineStr"/>
      <c r="M39" s="8" t="inlineStr"/>
      <c r="N39" s="8" t="inlineStr"/>
    </row>
    <row r="40" ht="60" customHeight="1">
      <c r="B40" s="7" t="inlineStr"/>
      <c r="C40" s="50" t="n">
        <v>2</v>
      </c>
      <c r="D40" s="8" t="inlineStr"/>
      <c r="E40" s="8" t="inlineStr"/>
      <c r="F40" s="8" t="inlineStr"/>
      <c r="G40" s="8" t="inlineStr"/>
      <c r="H40" s="8" t="inlineStr"/>
      <c r="I40" s="8" t="inlineStr"/>
      <c r="J40" s="8" t="inlineStr"/>
      <c r="K40" s="8" t="inlineStr"/>
      <c r="L40" s="8" t="inlineStr"/>
      <c r="M40" s="8" t="inlineStr"/>
      <c r="N40" s="8" t="inlineStr"/>
    </row>
    <row r="41" ht="60" customHeight="1">
      <c r="B41" s="7" t="inlineStr"/>
      <c r="C41" s="50" t="n">
        <v>3</v>
      </c>
      <c r="D41" s="8" t="inlineStr"/>
      <c r="E41" s="8" t="inlineStr"/>
      <c r="F41" s="8" t="inlineStr"/>
      <c r="G41" s="8" t="inlineStr"/>
      <c r="H41" s="8" t="inlineStr"/>
      <c r="I41" s="8" t="inlineStr"/>
      <c r="J41" s="8" t="inlineStr"/>
      <c r="K41" s="8" t="inlineStr"/>
      <c r="L41" s="8" t="inlineStr"/>
      <c r="M41" s="8" t="inlineStr"/>
      <c r="N41" s="8" t="inlineStr"/>
    </row>
    <row r="42" ht="60" customHeight="1">
      <c r="B42" s="7" t="inlineStr">
        <is>
          <t>Student and Scholarly Services (SaSS)</t>
        </is>
      </c>
      <c r="C42" s="50" t="n">
        <v>1</v>
      </c>
      <c r="D42" s="8" t="inlineStr"/>
      <c r="E42" s="8" t="inlineStr"/>
      <c r="F42" s="8" t="inlineStr"/>
      <c r="G42" s="8" t="inlineStr"/>
      <c r="H42" s="8" t="inlineStr"/>
      <c r="I42" s="8" t="inlineStr"/>
      <c r="J42" s="8" t="inlineStr"/>
      <c r="K42" s="8" t="inlineStr"/>
      <c r="L42" s="8" t="inlineStr"/>
      <c r="M42" s="8" t="inlineStr"/>
      <c r="N42" s="8" t="inlineStr"/>
    </row>
    <row r="43" ht="60" customHeight="1">
      <c r="B43" s="7" t="inlineStr"/>
      <c r="C43" s="50" t="n">
        <v>2</v>
      </c>
      <c r="D43" s="8" t="inlineStr"/>
      <c r="E43" s="8" t="inlineStr"/>
      <c r="F43" s="8" t="inlineStr"/>
      <c r="G43" s="8" t="inlineStr"/>
      <c r="H43" s="8" t="inlineStr"/>
      <c r="I43" s="8" t="inlineStr"/>
      <c r="J43" s="8" t="inlineStr"/>
      <c r="K43" s="8" t="inlineStr"/>
      <c r="L43" s="8" t="inlineStr"/>
      <c r="M43" s="8" t="inlineStr"/>
      <c r="N43" s="8" t="inlineStr"/>
    </row>
    <row r="44" ht="60" customHeight="1">
      <c r="B44" s="7" t="inlineStr"/>
      <c r="C44" s="50" t="n">
        <v>3</v>
      </c>
      <c r="D44" s="8" t="inlineStr"/>
      <c r="E44" s="8" t="inlineStr"/>
      <c r="F44" s="8" t="inlineStr"/>
      <c r="G44" s="8" t="inlineStr"/>
      <c r="H44" s="8" t="inlineStr"/>
      <c r="I44" s="8" t="inlineStr"/>
      <c r="J44" s="8" t="inlineStr"/>
      <c r="K44" s="8" t="inlineStr"/>
      <c r="L44" s="8" t="inlineStr"/>
      <c r="M44" s="8" t="inlineStr"/>
      <c r="N44" s="8" t="inlineStr"/>
    </row>
    <row r="45" ht="60" customHeight="1">
      <c r="B45" s="7" t="inlineStr">
        <is>
          <t>Chancellery Indigenous</t>
        </is>
      </c>
      <c r="C45" s="50" t="n">
        <v>1</v>
      </c>
      <c r="D45" s="8" t="inlineStr"/>
      <c r="E45" s="8" t="inlineStr"/>
      <c r="F45" s="8" t="inlineStr"/>
      <c r="G45" s="8" t="inlineStr"/>
      <c r="H45" s="8" t="inlineStr"/>
      <c r="I45" s="8" t="inlineStr"/>
      <c r="J45" s="8" t="inlineStr"/>
      <c r="K45" s="8" t="inlineStr"/>
      <c r="L45" s="8" t="inlineStr"/>
      <c r="M45" s="8" t="inlineStr"/>
      <c r="N45" s="8" t="inlineStr"/>
    </row>
    <row r="46" ht="60" customHeight="1">
      <c r="B46" s="7" t="inlineStr"/>
      <c r="C46" s="50" t="n">
        <v>2</v>
      </c>
      <c r="D46" s="8" t="inlineStr"/>
      <c r="E46" s="8" t="inlineStr"/>
      <c r="F46" s="8" t="inlineStr"/>
      <c r="G46" s="8" t="inlineStr"/>
      <c r="H46" s="8" t="inlineStr"/>
      <c r="I46" s="8" t="inlineStr"/>
      <c r="J46" s="8" t="inlineStr"/>
      <c r="K46" s="8" t="inlineStr"/>
      <c r="L46" s="8" t="inlineStr"/>
      <c r="M46" s="8" t="inlineStr"/>
      <c r="N46" s="8" t="inlineStr"/>
    </row>
    <row r="47" ht="60" customHeight="1">
      <c r="B47" s="7" t="inlineStr"/>
      <c r="C47" s="50" t="n">
        <v>3</v>
      </c>
      <c r="D47" s="8" t="inlineStr"/>
      <c r="E47" s="8" t="inlineStr"/>
      <c r="F47" s="8" t="inlineStr"/>
      <c r="G47" s="8" t="inlineStr"/>
      <c r="H47" s="8" t="inlineStr"/>
      <c r="I47" s="8" t="inlineStr"/>
      <c r="J47" s="8" t="inlineStr"/>
      <c r="K47" s="8" t="inlineStr"/>
      <c r="L47" s="8" t="inlineStr"/>
      <c r="M47" s="8" t="inlineStr"/>
      <c r="N47" s="8" t="inlineStr"/>
    </row>
    <row r="48" ht="60" customHeight="1">
      <c r="B48" s="7" t="inlineStr">
        <is>
          <t>Legal and Risk</t>
        </is>
      </c>
      <c r="C48" s="50" t="n">
        <v>1</v>
      </c>
      <c r="D48" s="8" t="inlineStr"/>
      <c r="E48" s="8" t="inlineStr"/>
      <c r="F48" s="8" t="inlineStr"/>
      <c r="G48" s="8" t="inlineStr"/>
      <c r="H48" s="8" t="inlineStr"/>
      <c r="I48" s="8" t="inlineStr"/>
      <c r="J48" s="8" t="inlineStr"/>
      <c r="K48" s="8" t="inlineStr"/>
      <c r="L48" s="8" t="inlineStr"/>
      <c r="M48" s="8" t="inlineStr"/>
      <c r="N48" s="8" t="inlineStr"/>
    </row>
    <row r="49" ht="60" customHeight="1">
      <c r="B49" s="7" t="inlineStr"/>
      <c r="C49" s="50" t="n">
        <v>2</v>
      </c>
      <c r="D49" s="8" t="inlineStr"/>
      <c r="E49" s="8" t="inlineStr"/>
      <c r="F49" s="8" t="inlineStr"/>
      <c r="G49" s="8" t="inlineStr"/>
      <c r="H49" s="8" t="inlineStr"/>
      <c r="I49" s="8" t="inlineStr"/>
      <c r="J49" s="8" t="inlineStr"/>
      <c r="K49" s="8" t="inlineStr"/>
      <c r="L49" s="8" t="inlineStr"/>
      <c r="M49" s="8" t="inlineStr"/>
      <c r="N49" s="8" t="inlineStr"/>
    </row>
    <row r="50" ht="60" customHeight="1">
      <c r="B50" s="7" t="inlineStr"/>
      <c r="C50" s="50" t="n">
        <v>3</v>
      </c>
      <c r="D50" s="8" t="inlineStr"/>
      <c r="E50" s="8" t="inlineStr"/>
      <c r="F50" s="8" t="inlineStr"/>
      <c r="G50" s="8" t="inlineStr"/>
      <c r="H50" s="8" t="inlineStr"/>
      <c r="I50" s="8" t="inlineStr"/>
      <c r="J50" s="8" t="inlineStr"/>
      <c r="K50" s="8" t="inlineStr"/>
      <c r="L50" s="8" t="inlineStr"/>
      <c r="M50" s="8" t="inlineStr"/>
      <c r="N50" s="8" t="inlineStr"/>
    </row>
    <row r="53">
      <c r="B53" s="31" t="inlineStr">
        <is>
          <t>Stories by priority area (SST primary)</t>
        </is>
      </c>
    </row>
    <row r="54">
      <c r="B54" s="6" t="inlineStr">
        <is>
          <t>Priority area</t>
        </is>
      </c>
      <c r="C54" s="6" t="inlineStr">
        <is>
          <t>Stories</t>
        </is>
      </c>
      <c r="D54" s="6" t="inlineStr">
        <is>
          <t>Shortlisted</t>
        </is>
      </c>
    </row>
    <row r="55">
      <c r="B55" s="8" t="inlineStr">
        <is>
          <t>Exceptional education</t>
        </is>
      </c>
      <c r="C55" s="8">
        <f>COUNTIF($I$6:$I$50,B55)</f>
        <v/>
      </c>
      <c r="D55" s="8">
        <f>COUNTIFS($I$6:$I$50,B55,$L$6:$L$50,"Shortlist")</f>
        <v/>
      </c>
    </row>
    <row r="56">
      <c r="B56" s="8" t="inlineStr">
        <is>
          <t>Transformational research</t>
        </is>
      </c>
      <c r="C56" s="8">
        <f>COUNTIF($I$6:$I$50,B56)</f>
        <v/>
      </c>
      <c r="D56" s="8">
        <f>COUNTIFS($I$6:$I$50,B56,$L$6:$L$50,"Shortlist")</f>
        <v/>
      </c>
    </row>
    <row r="57">
      <c r="B57" s="8" t="inlineStr">
        <is>
          <t>Climate leadership</t>
        </is>
      </c>
      <c r="C57" s="8">
        <f>COUNTIF($I$6:$I$50,B57)</f>
        <v/>
      </c>
      <c r="D57" s="8">
        <f>COUNTIFS($I$6:$I$50,B57,$L$6:$L$50,"Shortlist")</f>
        <v/>
      </c>
    </row>
    <row r="58">
      <c r="B58" s="8" t="inlineStr">
        <is>
          <t>Nature and biodiversity</t>
        </is>
      </c>
      <c r="C58" s="8">
        <f>COUNTIF($I$6:$I$50,B58)</f>
        <v/>
      </c>
      <c r="D58" s="8">
        <f>COUNTIFS($I$6:$I$50,B58,$L$6:$L$50,"Shortlist")</f>
        <v/>
      </c>
    </row>
    <row r="59">
      <c r="B59" s="8" t="inlineStr">
        <is>
          <t>Responsible AI</t>
        </is>
      </c>
      <c r="C59" s="8">
        <f>COUNTIF($I$6:$I$50,B59)</f>
        <v/>
      </c>
      <c r="D59" s="8">
        <f>COUNTIFS($I$6:$I$50,B59,$L$6:$L$50,"Shortlist")</f>
        <v/>
      </c>
    </row>
    <row r="60">
      <c r="B60" s="8" t="inlineStr">
        <is>
          <t>Estate and infrastructure</t>
        </is>
      </c>
      <c r="C60" s="8">
        <f>COUNTIF($I$6:$I$50,B60)</f>
        <v/>
      </c>
      <c r="D60" s="8">
        <f>COUNTIFS($I$6:$I$50,B60,$L$6:$L$50,"Shortlist")</f>
        <v/>
      </c>
    </row>
    <row r="61">
      <c r="B61" s="8" t="inlineStr">
        <is>
          <t>Circular economy</t>
        </is>
      </c>
      <c r="C61" s="8">
        <f>COUNTIF($I$6:$I$50,B61)</f>
        <v/>
      </c>
      <c r="D61" s="8">
        <f>COUNTIFS($I$6:$I$50,B61,$L$6:$L$50,"Shortlist")</f>
        <v/>
      </c>
    </row>
    <row r="62">
      <c r="B62" s="8" t="inlineStr">
        <is>
          <t>Responsible procurement</t>
        </is>
      </c>
      <c r="C62" s="8">
        <f>COUNTIF($I$6:$I$50,B62)</f>
        <v/>
      </c>
      <c r="D62" s="8">
        <f>COUNTIFS($I$6:$I$50,B62,$L$6:$L$50,"Shortlist")</f>
        <v/>
      </c>
    </row>
    <row r="63">
      <c r="B63" s="8" t="inlineStr">
        <is>
          <t>Modern slavery and human rights</t>
        </is>
      </c>
      <c r="C63" s="8">
        <f>COUNTIF($I$6:$I$50,B63)</f>
        <v/>
      </c>
      <c r="D63" s="8">
        <f>COUNTIFS($I$6:$I$50,B63,$L$6:$L$50,"Shortlist")</f>
        <v/>
      </c>
    </row>
    <row r="64">
      <c r="B64" s="8" t="inlineStr">
        <is>
          <t>Responsible investments</t>
        </is>
      </c>
      <c r="C64" s="8">
        <f>COUNTIF($I$6:$I$50,B64)</f>
        <v/>
      </c>
      <c r="D64" s="8">
        <f>COUNTIFS($I$6:$I$50,B64,$L$6:$L$50,"Shortlist")</f>
        <v/>
      </c>
    </row>
    <row r="65">
      <c r="B65" s="8" t="inlineStr">
        <is>
          <t>Enablers</t>
        </is>
      </c>
      <c r="C65" s="8">
        <f>COUNTIF($I$6:$I$50,B65)</f>
        <v/>
      </c>
      <c r="D65" s="8">
        <f>COUNTIFS($I$6:$I$50,B65,$L$6:$L$50,"Shortlist")</f>
        <v/>
      </c>
    </row>
    <row r="66">
      <c r="B66" s="8" t="inlineStr">
        <is>
          <t>Not priority-area specific</t>
        </is>
      </c>
      <c r="C66" s="8">
        <f>COUNTIF($I$6:$I$50,B66)</f>
        <v/>
      </c>
      <c r="D66" s="8">
        <f>COUNTIFS($I$6:$I$50,B66,$L$6:$L$50,"Shortlist")</f>
        <v/>
      </c>
    </row>
  </sheetData>
  <mergeCells count="1">
    <mergeCell ref="B3:N3"/>
  </mergeCells>
  <dataValidations count="3">
    <dataValidation sqref="I6:J50" showDropDown="0" showInputMessage="0" showErrorMessage="0" allowBlank="1" errorTitle="Invalid entry" error="Please select from the dropdown" type="list">
      <formula1>=Lists!$L$2:$L$13</formula1>
    </dataValidation>
    <dataValidation sqref="L6:L50" showDropDown="0" showInputMessage="0" showErrorMessage="0" allowBlank="1" errorTitle="Invalid entry" error="Please select from the dropdown" type="list">
      <formula1>"Shortlist,Maybe,No"</formula1>
    </dataValidation>
    <dataValidation sqref="M6:M50" showDropDown="0" showInputMessage="0" showErrorMessage="0" allowBlank="1" errorTitle="Invalid entry" error="Please select from the dropdown" type="list">
      <formula1>"Yes,No,TBC"</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0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s>
  <sheetData>
    <row r="1">
      <c r="A1" s="1" t="inlineStr">
        <is>
          <t>↑</t>
        </is>
      </c>
      <c r="B1" s="2" t="inlineStr">
        <is>
          <t>End-2026 target status assessment and reporting</t>
        </is>
      </c>
    </row>
    <row r="2">
      <c r="B2" s="3" t="inlineStr">
        <is>
          <t>Evidence register</t>
        </is>
      </c>
    </row>
    <row r="3">
      <c r="B3" s="20" t="inlineStr">
        <is>
          <t>One line per material claim or figure used in the report: what it supports, where the evidence is, and whether the owner has confirmed it.</t>
        </is>
      </c>
    </row>
    <row r="5">
      <c r="B5" s="6" t="inlineStr">
        <is>
          <t>Evidence ID</t>
        </is>
      </c>
      <c r="C5" s="6" t="inlineStr">
        <is>
          <t>Ref</t>
        </is>
      </c>
      <c r="D5" s="6" t="inlineStr">
        <is>
          <t>Faculty / unit</t>
        </is>
      </c>
      <c r="E5" s="6" t="inlineStr">
        <is>
          <t>Claim or figure in the report</t>
        </is>
      </c>
      <c r="F5" s="6" t="inlineStr">
        <is>
          <t>Evidence (link or file)</t>
        </is>
      </c>
      <c r="G5" s="6" t="inlineStr">
        <is>
          <t>Source</t>
        </is>
      </c>
      <c r="H5" s="6" t="inlineStr">
        <is>
          <t>Owner confirmed?</t>
        </is>
      </c>
      <c r="I5" s="6" t="inlineStr">
        <is>
          <t>Notes</t>
        </is>
      </c>
    </row>
    <row r="6">
      <c r="B6" s="8">
        <f>IF(E6="","","EV-"&amp;TEXT(ROW()-5,"000"))</f>
        <v/>
      </c>
      <c r="C6" s="8" t="n"/>
      <c r="D6" s="8" t="n"/>
      <c r="E6" s="8" t="n"/>
      <c r="F6" s="8" t="n"/>
      <c r="G6" s="8" t="n"/>
      <c r="H6" s="8" t="n"/>
      <c r="I6" s="8" t="n"/>
    </row>
    <row r="7">
      <c r="B7" s="8">
        <f>IF(E7="","","EV-"&amp;TEXT(ROW()-5,"000"))</f>
        <v/>
      </c>
      <c r="C7" s="8" t="n"/>
      <c r="D7" s="8" t="n"/>
      <c r="E7" s="8" t="n"/>
      <c r="F7" s="8" t="n"/>
      <c r="G7" s="8" t="n"/>
      <c r="H7" s="8" t="n"/>
      <c r="I7" s="8" t="n"/>
    </row>
    <row r="8">
      <c r="B8" s="8">
        <f>IF(E8="","","EV-"&amp;TEXT(ROW()-5,"000"))</f>
        <v/>
      </c>
      <c r="C8" s="8" t="n"/>
      <c r="D8" s="8" t="n"/>
      <c r="E8" s="8" t="n"/>
      <c r="F8" s="8" t="n"/>
      <c r="G8" s="8" t="n"/>
      <c r="H8" s="8" t="n"/>
      <c r="I8" s="8" t="n"/>
    </row>
    <row r="9">
      <c r="B9" s="8">
        <f>IF(E9="","","EV-"&amp;TEXT(ROW()-5,"000"))</f>
        <v/>
      </c>
      <c r="C9" s="8" t="n"/>
      <c r="D9" s="8" t="n"/>
      <c r="E9" s="8" t="n"/>
      <c r="F9" s="8" t="n"/>
      <c r="G9" s="8" t="n"/>
      <c r="H9" s="8" t="n"/>
      <c r="I9" s="8" t="n"/>
    </row>
    <row r="10">
      <c r="B10" s="8">
        <f>IF(E10="","","EV-"&amp;TEXT(ROW()-5,"000"))</f>
        <v/>
      </c>
      <c r="C10" s="8" t="n"/>
      <c r="D10" s="8" t="n"/>
      <c r="E10" s="8" t="n"/>
      <c r="F10" s="8" t="n"/>
      <c r="G10" s="8" t="n"/>
      <c r="H10" s="8" t="n"/>
      <c r="I10" s="8" t="n"/>
    </row>
    <row r="11">
      <c r="B11" s="8">
        <f>IF(E11="","","EV-"&amp;TEXT(ROW()-5,"000"))</f>
        <v/>
      </c>
      <c r="C11" s="8" t="n"/>
      <c r="D11" s="8" t="n"/>
      <c r="E11" s="8" t="n"/>
      <c r="F11" s="8" t="n"/>
      <c r="G11" s="8" t="n"/>
      <c r="H11" s="8" t="n"/>
      <c r="I11" s="8" t="n"/>
    </row>
    <row r="12">
      <c r="B12" s="8">
        <f>IF(E12="","","EV-"&amp;TEXT(ROW()-5,"000"))</f>
        <v/>
      </c>
      <c r="C12" s="8" t="n"/>
      <c r="D12" s="8" t="n"/>
      <c r="E12" s="8" t="n"/>
      <c r="F12" s="8" t="n"/>
      <c r="G12" s="8" t="n"/>
      <c r="H12" s="8" t="n"/>
      <c r="I12" s="8" t="n"/>
    </row>
    <row r="13">
      <c r="B13" s="8">
        <f>IF(E13="","","EV-"&amp;TEXT(ROW()-5,"000"))</f>
        <v/>
      </c>
      <c r="C13" s="8" t="n"/>
      <c r="D13" s="8" t="n"/>
      <c r="E13" s="8" t="n"/>
      <c r="F13" s="8" t="n"/>
      <c r="G13" s="8" t="n"/>
      <c r="H13" s="8" t="n"/>
      <c r="I13" s="8" t="n"/>
    </row>
    <row r="14">
      <c r="B14" s="8">
        <f>IF(E14="","","EV-"&amp;TEXT(ROW()-5,"000"))</f>
        <v/>
      </c>
      <c r="C14" s="8" t="n"/>
      <c r="D14" s="8" t="n"/>
      <c r="E14" s="8" t="n"/>
      <c r="F14" s="8" t="n"/>
      <c r="G14" s="8" t="n"/>
      <c r="H14" s="8" t="n"/>
      <c r="I14" s="8" t="n"/>
    </row>
    <row r="15">
      <c r="B15" s="8">
        <f>IF(E15="","","EV-"&amp;TEXT(ROW()-5,"000"))</f>
        <v/>
      </c>
      <c r="C15" s="8" t="n"/>
      <c r="D15" s="8" t="n"/>
      <c r="E15" s="8" t="n"/>
      <c r="F15" s="8" t="n"/>
      <c r="G15" s="8" t="n"/>
      <c r="H15" s="8" t="n"/>
      <c r="I15" s="8" t="n"/>
    </row>
    <row r="16">
      <c r="B16" s="8">
        <f>IF(E16="","","EV-"&amp;TEXT(ROW()-5,"000"))</f>
        <v/>
      </c>
      <c r="C16" s="8" t="n"/>
      <c r="D16" s="8" t="n"/>
      <c r="E16" s="8" t="n"/>
      <c r="F16" s="8" t="n"/>
      <c r="G16" s="8" t="n"/>
      <c r="H16" s="8" t="n"/>
      <c r="I16" s="8" t="n"/>
    </row>
    <row r="17">
      <c r="B17" s="8">
        <f>IF(E17="","","EV-"&amp;TEXT(ROW()-5,"000"))</f>
        <v/>
      </c>
      <c r="C17" s="8" t="n"/>
      <c r="D17" s="8" t="n"/>
      <c r="E17" s="8" t="n"/>
      <c r="F17" s="8" t="n"/>
      <c r="G17" s="8" t="n"/>
      <c r="H17" s="8" t="n"/>
      <c r="I17" s="8" t="n"/>
    </row>
    <row r="18">
      <c r="B18" s="8">
        <f>IF(E18="","","EV-"&amp;TEXT(ROW()-5,"000"))</f>
        <v/>
      </c>
      <c r="C18" s="8" t="n"/>
      <c r="D18" s="8" t="n"/>
      <c r="E18" s="8" t="n"/>
      <c r="F18" s="8" t="n"/>
      <c r="G18" s="8" t="n"/>
      <c r="H18" s="8" t="n"/>
      <c r="I18" s="8" t="n"/>
    </row>
    <row r="19">
      <c r="B19" s="8">
        <f>IF(E19="","","EV-"&amp;TEXT(ROW()-5,"000"))</f>
        <v/>
      </c>
      <c r="C19" s="8" t="n"/>
      <c r="D19" s="8" t="n"/>
      <c r="E19" s="8" t="n"/>
      <c r="F19" s="8" t="n"/>
      <c r="G19" s="8" t="n"/>
      <c r="H19" s="8" t="n"/>
      <c r="I19" s="8" t="n"/>
    </row>
    <row r="20">
      <c r="B20" s="8">
        <f>IF(E20="","","EV-"&amp;TEXT(ROW()-5,"000"))</f>
        <v/>
      </c>
      <c r="C20" s="8" t="n"/>
      <c r="D20" s="8" t="n"/>
      <c r="E20" s="8" t="n"/>
      <c r="F20" s="8" t="n"/>
      <c r="G20" s="8" t="n"/>
      <c r="H20" s="8" t="n"/>
      <c r="I20" s="8" t="n"/>
    </row>
    <row r="21">
      <c r="B21" s="8">
        <f>IF(E21="","","EV-"&amp;TEXT(ROW()-5,"000"))</f>
        <v/>
      </c>
      <c r="C21" s="8" t="n"/>
      <c r="D21" s="8" t="n"/>
      <c r="E21" s="8" t="n"/>
      <c r="F21" s="8" t="n"/>
      <c r="G21" s="8" t="n"/>
      <c r="H21" s="8" t="n"/>
      <c r="I21" s="8" t="n"/>
    </row>
    <row r="22">
      <c r="B22" s="8">
        <f>IF(E22="","","EV-"&amp;TEXT(ROW()-5,"000"))</f>
        <v/>
      </c>
      <c r="C22" s="8" t="n"/>
      <c r="D22" s="8" t="n"/>
      <c r="E22" s="8" t="n"/>
      <c r="F22" s="8" t="n"/>
      <c r="G22" s="8" t="n"/>
      <c r="H22" s="8" t="n"/>
      <c r="I22" s="8" t="n"/>
    </row>
    <row r="23">
      <c r="B23" s="8">
        <f>IF(E23="","","EV-"&amp;TEXT(ROW()-5,"000"))</f>
        <v/>
      </c>
      <c r="C23" s="8" t="n"/>
      <c r="D23" s="8" t="n"/>
      <c r="E23" s="8" t="n"/>
      <c r="F23" s="8" t="n"/>
      <c r="G23" s="8" t="n"/>
      <c r="H23" s="8" t="n"/>
      <c r="I23" s="8" t="n"/>
    </row>
    <row r="24">
      <c r="B24" s="8">
        <f>IF(E24="","","EV-"&amp;TEXT(ROW()-5,"000"))</f>
        <v/>
      </c>
      <c r="C24" s="8" t="n"/>
      <c r="D24" s="8" t="n"/>
      <c r="E24" s="8" t="n"/>
      <c r="F24" s="8" t="n"/>
      <c r="G24" s="8" t="n"/>
      <c r="H24" s="8" t="n"/>
      <c r="I24" s="8" t="n"/>
    </row>
    <row r="25">
      <c r="B25" s="8">
        <f>IF(E25="","","EV-"&amp;TEXT(ROW()-5,"000"))</f>
        <v/>
      </c>
      <c r="C25" s="8" t="n"/>
      <c r="D25" s="8" t="n"/>
      <c r="E25" s="8" t="n"/>
      <c r="F25" s="8" t="n"/>
      <c r="G25" s="8" t="n"/>
      <c r="H25" s="8" t="n"/>
      <c r="I25" s="8" t="n"/>
    </row>
    <row r="26">
      <c r="B26" s="8">
        <f>IF(E26="","","EV-"&amp;TEXT(ROW()-5,"000"))</f>
        <v/>
      </c>
      <c r="C26" s="8" t="n"/>
      <c r="D26" s="8" t="n"/>
      <c r="E26" s="8" t="n"/>
      <c r="F26" s="8" t="n"/>
      <c r="G26" s="8" t="n"/>
      <c r="H26" s="8" t="n"/>
      <c r="I26" s="8" t="n"/>
    </row>
    <row r="27">
      <c r="B27" s="8">
        <f>IF(E27="","","EV-"&amp;TEXT(ROW()-5,"000"))</f>
        <v/>
      </c>
      <c r="C27" s="8" t="n"/>
      <c r="D27" s="8" t="n"/>
      <c r="E27" s="8" t="n"/>
      <c r="F27" s="8" t="n"/>
      <c r="G27" s="8" t="n"/>
      <c r="H27" s="8" t="n"/>
      <c r="I27" s="8" t="n"/>
    </row>
    <row r="28">
      <c r="B28" s="8">
        <f>IF(E28="","","EV-"&amp;TEXT(ROW()-5,"000"))</f>
        <v/>
      </c>
      <c r="C28" s="8" t="n"/>
      <c r="D28" s="8" t="n"/>
      <c r="E28" s="8" t="n"/>
      <c r="F28" s="8" t="n"/>
      <c r="G28" s="8" t="n"/>
      <c r="H28" s="8" t="n"/>
      <c r="I28" s="8" t="n"/>
    </row>
    <row r="29">
      <c r="B29" s="8">
        <f>IF(E29="","","EV-"&amp;TEXT(ROW()-5,"000"))</f>
        <v/>
      </c>
      <c r="C29" s="8" t="n"/>
      <c r="D29" s="8" t="n"/>
      <c r="E29" s="8" t="n"/>
      <c r="F29" s="8" t="n"/>
      <c r="G29" s="8" t="n"/>
      <c r="H29" s="8" t="n"/>
      <c r="I29" s="8" t="n"/>
    </row>
    <row r="30">
      <c r="B30" s="8">
        <f>IF(E30="","","EV-"&amp;TEXT(ROW()-5,"000"))</f>
        <v/>
      </c>
      <c r="C30" s="8" t="n"/>
      <c r="D30" s="8" t="n"/>
      <c r="E30" s="8" t="n"/>
      <c r="F30" s="8" t="n"/>
      <c r="G30" s="8" t="n"/>
      <c r="H30" s="8" t="n"/>
      <c r="I30" s="8" t="n"/>
    </row>
    <row r="31">
      <c r="B31" s="8">
        <f>IF(E31="","","EV-"&amp;TEXT(ROW()-5,"000"))</f>
        <v/>
      </c>
      <c r="C31" s="8" t="n"/>
      <c r="D31" s="8" t="n"/>
      <c r="E31" s="8" t="n"/>
      <c r="F31" s="8" t="n"/>
      <c r="G31" s="8" t="n"/>
      <c r="H31" s="8" t="n"/>
      <c r="I31" s="8" t="n"/>
    </row>
    <row r="32">
      <c r="B32" s="8">
        <f>IF(E32="","","EV-"&amp;TEXT(ROW()-5,"000"))</f>
        <v/>
      </c>
      <c r="C32" s="8" t="n"/>
      <c r="D32" s="8" t="n"/>
      <c r="E32" s="8" t="n"/>
      <c r="F32" s="8" t="n"/>
      <c r="G32" s="8" t="n"/>
      <c r="H32" s="8" t="n"/>
      <c r="I32" s="8" t="n"/>
    </row>
    <row r="33">
      <c r="B33" s="8">
        <f>IF(E33="","","EV-"&amp;TEXT(ROW()-5,"000"))</f>
        <v/>
      </c>
      <c r="C33" s="8" t="n"/>
      <c r="D33" s="8" t="n"/>
      <c r="E33" s="8" t="n"/>
      <c r="F33" s="8" t="n"/>
      <c r="G33" s="8" t="n"/>
      <c r="H33" s="8" t="n"/>
      <c r="I33" s="8" t="n"/>
    </row>
    <row r="34">
      <c r="B34" s="8">
        <f>IF(E34="","","EV-"&amp;TEXT(ROW()-5,"000"))</f>
        <v/>
      </c>
      <c r="C34" s="8" t="n"/>
      <c r="D34" s="8" t="n"/>
      <c r="E34" s="8" t="n"/>
      <c r="F34" s="8" t="n"/>
      <c r="G34" s="8" t="n"/>
      <c r="H34" s="8" t="n"/>
      <c r="I34" s="8" t="n"/>
    </row>
    <row r="35">
      <c r="B35" s="8">
        <f>IF(E35="","","EV-"&amp;TEXT(ROW()-5,"000"))</f>
        <v/>
      </c>
      <c r="C35" s="8" t="n"/>
      <c r="D35" s="8" t="n"/>
      <c r="E35" s="8" t="n"/>
      <c r="F35" s="8" t="n"/>
      <c r="G35" s="8" t="n"/>
      <c r="H35" s="8" t="n"/>
      <c r="I35" s="8" t="n"/>
    </row>
    <row r="36">
      <c r="B36" s="8">
        <f>IF(E36="","","EV-"&amp;TEXT(ROW()-5,"000"))</f>
        <v/>
      </c>
      <c r="C36" s="8" t="n"/>
      <c r="D36" s="8" t="n"/>
      <c r="E36" s="8" t="n"/>
      <c r="F36" s="8" t="n"/>
      <c r="G36" s="8" t="n"/>
      <c r="H36" s="8" t="n"/>
      <c r="I36" s="8" t="n"/>
    </row>
    <row r="37">
      <c r="B37" s="8">
        <f>IF(E37="","","EV-"&amp;TEXT(ROW()-5,"000"))</f>
        <v/>
      </c>
      <c r="C37" s="8" t="n"/>
      <c r="D37" s="8" t="n"/>
      <c r="E37" s="8" t="n"/>
      <c r="F37" s="8" t="n"/>
      <c r="G37" s="8" t="n"/>
      <c r="H37" s="8" t="n"/>
      <c r="I37" s="8" t="n"/>
    </row>
    <row r="38">
      <c r="B38" s="8">
        <f>IF(E38="","","EV-"&amp;TEXT(ROW()-5,"000"))</f>
        <v/>
      </c>
      <c r="C38" s="8" t="n"/>
      <c r="D38" s="8" t="n"/>
      <c r="E38" s="8" t="n"/>
      <c r="F38" s="8" t="n"/>
      <c r="G38" s="8" t="n"/>
      <c r="H38" s="8" t="n"/>
      <c r="I38" s="8" t="n"/>
    </row>
    <row r="39">
      <c r="B39" s="8">
        <f>IF(E39="","","EV-"&amp;TEXT(ROW()-5,"000"))</f>
        <v/>
      </c>
      <c r="C39" s="8" t="n"/>
      <c r="D39" s="8" t="n"/>
      <c r="E39" s="8" t="n"/>
      <c r="F39" s="8" t="n"/>
      <c r="G39" s="8" t="n"/>
      <c r="H39" s="8" t="n"/>
      <c r="I39" s="8" t="n"/>
    </row>
    <row r="40">
      <c r="B40" s="8">
        <f>IF(E40="","","EV-"&amp;TEXT(ROW()-5,"000"))</f>
        <v/>
      </c>
      <c r="C40" s="8" t="n"/>
      <c r="D40" s="8" t="n"/>
      <c r="E40" s="8" t="n"/>
      <c r="F40" s="8" t="n"/>
      <c r="G40" s="8" t="n"/>
      <c r="H40" s="8" t="n"/>
      <c r="I40" s="8" t="n"/>
    </row>
    <row r="41">
      <c r="B41" s="8">
        <f>IF(E41="","","EV-"&amp;TEXT(ROW()-5,"000"))</f>
        <v/>
      </c>
      <c r="C41" s="8" t="n"/>
      <c r="D41" s="8" t="n"/>
      <c r="E41" s="8" t="n"/>
      <c r="F41" s="8" t="n"/>
      <c r="G41" s="8" t="n"/>
      <c r="H41" s="8" t="n"/>
      <c r="I41" s="8" t="n"/>
    </row>
    <row r="42">
      <c r="B42" s="8">
        <f>IF(E42="","","EV-"&amp;TEXT(ROW()-5,"000"))</f>
        <v/>
      </c>
      <c r="C42" s="8" t="n"/>
      <c r="D42" s="8" t="n"/>
      <c r="E42" s="8" t="n"/>
      <c r="F42" s="8" t="n"/>
      <c r="G42" s="8" t="n"/>
      <c r="H42" s="8" t="n"/>
      <c r="I42" s="8" t="n"/>
    </row>
    <row r="43">
      <c r="B43" s="8">
        <f>IF(E43="","","EV-"&amp;TEXT(ROW()-5,"000"))</f>
        <v/>
      </c>
      <c r="C43" s="8" t="n"/>
      <c r="D43" s="8" t="n"/>
      <c r="E43" s="8" t="n"/>
      <c r="F43" s="8" t="n"/>
      <c r="G43" s="8" t="n"/>
      <c r="H43" s="8" t="n"/>
      <c r="I43" s="8" t="n"/>
    </row>
    <row r="44">
      <c r="B44" s="8">
        <f>IF(E44="","","EV-"&amp;TEXT(ROW()-5,"000"))</f>
        <v/>
      </c>
      <c r="C44" s="8" t="n"/>
      <c r="D44" s="8" t="n"/>
      <c r="E44" s="8" t="n"/>
      <c r="F44" s="8" t="n"/>
      <c r="G44" s="8" t="n"/>
      <c r="H44" s="8" t="n"/>
      <c r="I44" s="8" t="n"/>
    </row>
    <row r="45">
      <c r="B45" s="8">
        <f>IF(E45="","","EV-"&amp;TEXT(ROW()-5,"000"))</f>
        <v/>
      </c>
      <c r="C45" s="8" t="n"/>
      <c r="D45" s="8" t="n"/>
      <c r="E45" s="8" t="n"/>
      <c r="F45" s="8" t="n"/>
      <c r="G45" s="8" t="n"/>
      <c r="H45" s="8" t="n"/>
      <c r="I45" s="8" t="n"/>
    </row>
    <row r="46">
      <c r="B46" s="8">
        <f>IF(E46="","","EV-"&amp;TEXT(ROW()-5,"000"))</f>
        <v/>
      </c>
      <c r="C46" s="8" t="n"/>
      <c r="D46" s="8" t="n"/>
      <c r="E46" s="8" t="n"/>
      <c r="F46" s="8" t="n"/>
      <c r="G46" s="8" t="n"/>
      <c r="H46" s="8" t="n"/>
      <c r="I46" s="8" t="n"/>
    </row>
    <row r="47">
      <c r="B47" s="8">
        <f>IF(E47="","","EV-"&amp;TEXT(ROW()-5,"000"))</f>
        <v/>
      </c>
      <c r="C47" s="8" t="n"/>
      <c r="D47" s="8" t="n"/>
      <c r="E47" s="8" t="n"/>
      <c r="F47" s="8" t="n"/>
      <c r="G47" s="8" t="n"/>
      <c r="H47" s="8" t="n"/>
      <c r="I47" s="8" t="n"/>
    </row>
    <row r="48">
      <c r="B48" s="8">
        <f>IF(E48="","","EV-"&amp;TEXT(ROW()-5,"000"))</f>
        <v/>
      </c>
      <c r="C48" s="8" t="n"/>
      <c r="D48" s="8" t="n"/>
      <c r="E48" s="8" t="n"/>
      <c r="F48" s="8" t="n"/>
      <c r="G48" s="8" t="n"/>
      <c r="H48" s="8" t="n"/>
      <c r="I48" s="8" t="n"/>
    </row>
    <row r="49">
      <c r="B49" s="8">
        <f>IF(E49="","","EV-"&amp;TEXT(ROW()-5,"000"))</f>
        <v/>
      </c>
      <c r="C49" s="8" t="n"/>
      <c r="D49" s="8" t="n"/>
      <c r="E49" s="8" t="n"/>
      <c r="F49" s="8" t="n"/>
      <c r="G49" s="8" t="n"/>
      <c r="H49" s="8" t="n"/>
      <c r="I49" s="8" t="n"/>
    </row>
    <row r="50">
      <c r="B50" s="8">
        <f>IF(E50="","","EV-"&amp;TEXT(ROW()-5,"000"))</f>
        <v/>
      </c>
      <c r="C50" s="8" t="n"/>
      <c r="D50" s="8" t="n"/>
      <c r="E50" s="8" t="n"/>
      <c r="F50" s="8" t="n"/>
      <c r="G50" s="8" t="n"/>
      <c r="H50" s="8" t="n"/>
      <c r="I50" s="8" t="n"/>
    </row>
    <row r="51">
      <c r="B51" s="8">
        <f>IF(E51="","","EV-"&amp;TEXT(ROW()-5,"000"))</f>
        <v/>
      </c>
      <c r="C51" s="8" t="n"/>
      <c r="D51" s="8" t="n"/>
      <c r="E51" s="8" t="n"/>
      <c r="F51" s="8" t="n"/>
      <c r="G51" s="8" t="n"/>
      <c r="H51" s="8" t="n"/>
      <c r="I51" s="8" t="n"/>
    </row>
    <row r="52">
      <c r="B52" s="8">
        <f>IF(E52="","","EV-"&amp;TEXT(ROW()-5,"000"))</f>
        <v/>
      </c>
      <c r="C52" s="8" t="n"/>
      <c r="D52" s="8" t="n"/>
      <c r="E52" s="8" t="n"/>
      <c r="F52" s="8" t="n"/>
      <c r="G52" s="8" t="n"/>
      <c r="H52" s="8" t="n"/>
      <c r="I52" s="8" t="n"/>
    </row>
    <row r="53">
      <c r="B53" s="8">
        <f>IF(E53="","","EV-"&amp;TEXT(ROW()-5,"000"))</f>
        <v/>
      </c>
      <c r="C53" s="8" t="n"/>
      <c r="D53" s="8" t="n"/>
      <c r="E53" s="8" t="n"/>
      <c r="F53" s="8" t="n"/>
      <c r="G53" s="8" t="n"/>
      <c r="H53" s="8" t="n"/>
      <c r="I53" s="8" t="n"/>
    </row>
    <row r="54">
      <c r="B54" s="8">
        <f>IF(E54="","","EV-"&amp;TEXT(ROW()-5,"000"))</f>
        <v/>
      </c>
      <c r="C54" s="8" t="n"/>
      <c r="D54" s="8" t="n"/>
      <c r="E54" s="8" t="n"/>
      <c r="F54" s="8" t="n"/>
      <c r="G54" s="8" t="n"/>
      <c r="H54" s="8" t="n"/>
      <c r="I54" s="8" t="n"/>
    </row>
    <row r="55">
      <c r="B55" s="8">
        <f>IF(E55="","","EV-"&amp;TEXT(ROW()-5,"000"))</f>
        <v/>
      </c>
      <c r="C55" s="8" t="n"/>
      <c r="D55" s="8" t="n"/>
      <c r="E55" s="8" t="n"/>
      <c r="F55" s="8" t="n"/>
      <c r="G55" s="8" t="n"/>
      <c r="H55" s="8" t="n"/>
      <c r="I55" s="8" t="n"/>
    </row>
    <row r="56">
      <c r="B56" s="8">
        <f>IF(E56="","","EV-"&amp;TEXT(ROW()-5,"000"))</f>
        <v/>
      </c>
      <c r="C56" s="8" t="n"/>
      <c r="D56" s="8" t="n"/>
      <c r="E56" s="8" t="n"/>
      <c r="F56" s="8" t="n"/>
      <c r="G56" s="8" t="n"/>
      <c r="H56" s="8" t="n"/>
      <c r="I56" s="8" t="n"/>
    </row>
    <row r="57">
      <c r="B57" s="8">
        <f>IF(E57="","","EV-"&amp;TEXT(ROW()-5,"000"))</f>
        <v/>
      </c>
      <c r="C57" s="8" t="n"/>
      <c r="D57" s="8" t="n"/>
      <c r="E57" s="8" t="n"/>
      <c r="F57" s="8" t="n"/>
      <c r="G57" s="8" t="n"/>
      <c r="H57" s="8" t="n"/>
      <c r="I57" s="8" t="n"/>
    </row>
    <row r="58">
      <c r="B58" s="8">
        <f>IF(E58="","","EV-"&amp;TEXT(ROW()-5,"000"))</f>
        <v/>
      </c>
      <c r="C58" s="8" t="n"/>
      <c r="D58" s="8" t="n"/>
      <c r="E58" s="8" t="n"/>
      <c r="F58" s="8" t="n"/>
      <c r="G58" s="8" t="n"/>
      <c r="H58" s="8" t="n"/>
      <c r="I58" s="8" t="n"/>
    </row>
    <row r="59">
      <c r="B59" s="8">
        <f>IF(E59="","","EV-"&amp;TEXT(ROW()-5,"000"))</f>
        <v/>
      </c>
      <c r="C59" s="8" t="n"/>
      <c r="D59" s="8" t="n"/>
      <c r="E59" s="8" t="n"/>
      <c r="F59" s="8" t="n"/>
      <c r="G59" s="8" t="n"/>
      <c r="H59" s="8" t="n"/>
      <c r="I59" s="8" t="n"/>
    </row>
    <row r="60">
      <c r="B60" s="8">
        <f>IF(E60="","","EV-"&amp;TEXT(ROW()-5,"000"))</f>
        <v/>
      </c>
      <c r="C60" s="8" t="n"/>
      <c r="D60" s="8" t="n"/>
      <c r="E60" s="8" t="n"/>
      <c r="F60" s="8" t="n"/>
      <c r="G60" s="8" t="n"/>
      <c r="H60" s="8" t="n"/>
      <c r="I60" s="8" t="n"/>
    </row>
    <row r="61">
      <c r="B61" s="8">
        <f>IF(E61="","","EV-"&amp;TEXT(ROW()-5,"000"))</f>
        <v/>
      </c>
      <c r="C61" s="8" t="n"/>
      <c r="D61" s="8" t="n"/>
      <c r="E61" s="8" t="n"/>
      <c r="F61" s="8" t="n"/>
      <c r="G61" s="8" t="n"/>
      <c r="H61" s="8" t="n"/>
      <c r="I61" s="8" t="n"/>
    </row>
    <row r="62">
      <c r="B62" s="8">
        <f>IF(E62="","","EV-"&amp;TEXT(ROW()-5,"000"))</f>
        <v/>
      </c>
      <c r="C62" s="8" t="n"/>
      <c r="D62" s="8" t="n"/>
      <c r="E62" s="8" t="n"/>
      <c r="F62" s="8" t="n"/>
      <c r="G62" s="8" t="n"/>
      <c r="H62" s="8" t="n"/>
      <c r="I62" s="8" t="n"/>
    </row>
    <row r="63">
      <c r="B63" s="8">
        <f>IF(E63="","","EV-"&amp;TEXT(ROW()-5,"000"))</f>
        <v/>
      </c>
      <c r="C63" s="8" t="n"/>
      <c r="D63" s="8" t="n"/>
      <c r="E63" s="8" t="n"/>
      <c r="F63" s="8" t="n"/>
      <c r="G63" s="8" t="n"/>
      <c r="H63" s="8" t="n"/>
      <c r="I63" s="8" t="n"/>
    </row>
    <row r="64">
      <c r="B64" s="8">
        <f>IF(E64="","","EV-"&amp;TEXT(ROW()-5,"000"))</f>
        <v/>
      </c>
      <c r="C64" s="8" t="n"/>
      <c r="D64" s="8" t="n"/>
      <c r="E64" s="8" t="n"/>
      <c r="F64" s="8" t="n"/>
      <c r="G64" s="8" t="n"/>
      <c r="H64" s="8" t="n"/>
      <c r="I64" s="8" t="n"/>
    </row>
    <row r="65">
      <c r="B65" s="8">
        <f>IF(E65="","","EV-"&amp;TEXT(ROW()-5,"000"))</f>
        <v/>
      </c>
      <c r="C65" s="8" t="n"/>
      <c r="D65" s="8" t="n"/>
      <c r="E65" s="8" t="n"/>
      <c r="F65" s="8" t="n"/>
      <c r="G65" s="8" t="n"/>
      <c r="H65" s="8" t="n"/>
      <c r="I65" s="8" t="n"/>
    </row>
    <row r="66">
      <c r="B66" s="8">
        <f>IF(E66="","","EV-"&amp;TEXT(ROW()-5,"000"))</f>
        <v/>
      </c>
      <c r="C66" s="8" t="n"/>
      <c r="D66" s="8" t="n"/>
      <c r="E66" s="8" t="n"/>
      <c r="F66" s="8" t="n"/>
      <c r="G66" s="8" t="n"/>
      <c r="H66" s="8" t="n"/>
      <c r="I66" s="8" t="n"/>
    </row>
    <row r="67">
      <c r="B67" s="8">
        <f>IF(E67="","","EV-"&amp;TEXT(ROW()-5,"000"))</f>
        <v/>
      </c>
      <c r="C67" s="8" t="n"/>
      <c r="D67" s="8" t="n"/>
      <c r="E67" s="8" t="n"/>
      <c r="F67" s="8" t="n"/>
      <c r="G67" s="8" t="n"/>
      <c r="H67" s="8" t="n"/>
      <c r="I67" s="8" t="n"/>
    </row>
    <row r="68">
      <c r="B68" s="8">
        <f>IF(E68="","","EV-"&amp;TEXT(ROW()-5,"000"))</f>
        <v/>
      </c>
      <c r="C68" s="8" t="n"/>
      <c r="D68" s="8" t="n"/>
      <c r="E68" s="8" t="n"/>
      <c r="F68" s="8" t="n"/>
      <c r="G68" s="8" t="n"/>
      <c r="H68" s="8" t="n"/>
      <c r="I68" s="8" t="n"/>
    </row>
    <row r="69">
      <c r="B69" s="8">
        <f>IF(E69="","","EV-"&amp;TEXT(ROW()-5,"000"))</f>
        <v/>
      </c>
      <c r="C69" s="8" t="n"/>
      <c r="D69" s="8" t="n"/>
      <c r="E69" s="8" t="n"/>
      <c r="F69" s="8" t="n"/>
      <c r="G69" s="8" t="n"/>
      <c r="H69" s="8" t="n"/>
      <c r="I69" s="8" t="n"/>
    </row>
    <row r="70">
      <c r="B70" s="8">
        <f>IF(E70="","","EV-"&amp;TEXT(ROW()-5,"000"))</f>
        <v/>
      </c>
      <c r="C70" s="8" t="n"/>
      <c r="D70" s="8" t="n"/>
      <c r="E70" s="8" t="n"/>
      <c r="F70" s="8" t="n"/>
      <c r="G70" s="8" t="n"/>
      <c r="H70" s="8" t="n"/>
      <c r="I70" s="8" t="n"/>
    </row>
    <row r="71">
      <c r="B71" s="8">
        <f>IF(E71="","","EV-"&amp;TEXT(ROW()-5,"000"))</f>
        <v/>
      </c>
      <c r="C71" s="8" t="n"/>
      <c r="D71" s="8" t="n"/>
      <c r="E71" s="8" t="n"/>
      <c r="F71" s="8" t="n"/>
      <c r="G71" s="8" t="n"/>
      <c r="H71" s="8" t="n"/>
      <c r="I71" s="8" t="n"/>
    </row>
    <row r="72">
      <c r="B72" s="8">
        <f>IF(E72="","","EV-"&amp;TEXT(ROW()-5,"000"))</f>
        <v/>
      </c>
      <c r="C72" s="8" t="n"/>
      <c r="D72" s="8" t="n"/>
      <c r="E72" s="8" t="n"/>
      <c r="F72" s="8" t="n"/>
      <c r="G72" s="8" t="n"/>
      <c r="H72" s="8" t="n"/>
      <c r="I72" s="8" t="n"/>
    </row>
    <row r="73">
      <c r="B73" s="8">
        <f>IF(E73="","","EV-"&amp;TEXT(ROW()-5,"000"))</f>
        <v/>
      </c>
      <c r="C73" s="8" t="n"/>
      <c r="D73" s="8" t="n"/>
      <c r="E73" s="8" t="n"/>
      <c r="F73" s="8" t="n"/>
      <c r="G73" s="8" t="n"/>
      <c r="H73" s="8" t="n"/>
      <c r="I73" s="8" t="n"/>
    </row>
    <row r="74">
      <c r="B74" s="8">
        <f>IF(E74="","","EV-"&amp;TEXT(ROW()-5,"000"))</f>
        <v/>
      </c>
      <c r="C74" s="8" t="n"/>
      <c r="D74" s="8" t="n"/>
      <c r="E74" s="8" t="n"/>
      <c r="F74" s="8" t="n"/>
      <c r="G74" s="8" t="n"/>
      <c r="H74" s="8" t="n"/>
      <c r="I74" s="8" t="n"/>
    </row>
    <row r="75">
      <c r="B75" s="8">
        <f>IF(E75="","","EV-"&amp;TEXT(ROW()-5,"000"))</f>
        <v/>
      </c>
      <c r="C75" s="8" t="n"/>
      <c r="D75" s="8" t="n"/>
      <c r="E75" s="8" t="n"/>
      <c r="F75" s="8" t="n"/>
      <c r="G75" s="8" t="n"/>
      <c r="H75" s="8" t="n"/>
      <c r="I75" s="8" t="n"/>
    </row>
    <row r="76">
      <c r="B76" s="8">
        <f>IF(E76="","","EV-"&amp;TEXT(ROW()-5,"000"))</f>
        <v/>
      </c>
      <c r="C76" s="8" t="n"/>
      <c r="D76" s="8" t="n"/>
      <c r="E76" s="8" t="n"/>
      <c r="F76" s="8" t="n"/>
      <c r="G76" s="8" t="n"/>
      <c r="H76" s="8" t="n"/>
      <c r="I76" s="8" t="n"/>
    </row>
    <row r="77">
      <c r="B77" s="8">
        <f>IF(E77="","","EV-"&amp;TEXT(ROW()-5,"000"))</f>
        <v/>
      </c>
      <c r="C77" s="8" t="n"/>
      <c r="D77" s="8" t="n"/>
      <c r="E77" s="8" t="n"/>
      <c r="F77" s="8" t="n"/>
      <c r="G77" s="8" t="n"/>
      <c r="H77" s="8" t="n"/>
      <c r="I77" s="8" t="n"/>
    </row>
    <row r="78">
      <c r="B78" s="8">
        <f>IF(E78="","","EV-"&amp;TEXT(ROW()-5,"000"))</f>
        <v/>
      </c>
      <c r="C78" s="8" t="n"/>
      <c r="D78" s="8" t="n"/>
      <c r="E78" s="8" t="n"/>
      <c r="F78" s="8" t="n"/>
      <c r="G78" s="8" t="n"/>
      <c r="H78" s="8" t="n"/>
      <c r="I78" s="8" t="n"/>
    </row>
    <row r="79">
      <c r="B79" s="8">
        <f>IF(E79="","","EV-"&amp;TEXT(ROW()-5,"000"))</f>
        <v/>
      </c>
      <c r="C79" s="8" t="n"/>
      <c r="D79" s="8" t="n"/>
      <c r="E79" s="8" t="n"/>
      <c r="F79" s="8" t="n"/>
      <c r="G79" s="8" t="n"/>
      <c r="H79" s="8" t="n"/>
      <c r="I79" s="8" t="n"/>
    </row>
    <row r="80">
      <c r="B80" s="8">
        <f>IF(E80="","","EV-"&amp;TEXT(ROW()-5,"000"))</f>
        <v/>
      </c>
      <c r="C80" s="8" t="n"/>
      <c r="D80" s="8" t="n"/>
      <c r="E80" s="8" t="n"/>
      <c r="F80" s="8" t="n"/>
      <c r="G80" s="8" t="n"/>
      <c r="H80" s="8" t="n"/>
      <c r="I80" s="8" t="n"/>
    </row>
    <row r="81">
      <c r="B81" s="8">
        <f>IF(E81="","","EV-"&amp;TEXT(ROW()-5,"000"))</f>
        <v/>
      </c>
      <c r="C81" s="8" t="n"/>
      <c r="D81" s="8" t="n"/>
      <c r="E81" s="8" t="n"/>
      <c r="F81" s="8" t="n"/>
      <c r="G81" s="8" t="n"/>
      <c r="H81" s="8" t="n"/>
      <c r="I81" s="8" t="n"/>
    </row>
    <row r="82">
      <c r="B82" s="8">
        <f>IF(E82="","","EV-"&amp;TEXT(ROW()-5,"000"))</f>
        <v/>
      </c>
      <c r="C82" s="8" t="n"/>
      <c r="D82" s="8" t="n"/>
      <c r="E82" s="8" t="n"/>
      <c r="F82" s="8" t="n"/>
      <c r="G82" s="8" t="n"/>
      <c r="H82" s="8" t="n"/>
      <c r="I82" s="8" t="n"/>
    </row>
    <row r="83">
      <c r="B83" s="8">
        <f>IF(E83="","","EV-"&amp;TEXT(ROW()-5,"000"))</f>
        <v/>
      </c>
      <c r="C83" s="8" t="n"/>
      <c r="D83" s="8" t="n"/>
      <c r="E83" s="8" t="n"/>
      <c r="F83" s="8" t="n"/>
      <c r="G83" s="8" t="n"/>
      <c r="H83" s="8" t="n"/>
      <c r="I83" s="8" t="n"/>
    </row>
    <row r="84">
      <c r="B84" s="8">
        <f>IF(E84="","","EV-"&amp;TEXT(ROW()-5,"000"))</f>
        <v/>
      </c>
      <c r="C84" s="8" t="n"/>
      <c r="D84" s="8" t="n"/>
      <c r="E84" s="8" t="n"/>
      <c r="F84" s="8" t="n"/>
      <c r="G84" s="8" t="n"/>
      <c r="H84" s="8" t="n"/>
      <c r="I84" s="8" t="n"/>
    </row>
    <row r="85">
      <c r="B85" s="8">
        <f>IF(E85="","","EV-"&amp;TEXT(ROW()-5,"000"))</f>
        <v/>
      </c>
      <c r="C85" s="8" t="n"/>
      <c r="D85" s="8" t="n"/>
      <c r="E85" s="8" t="n"/>
      <c r="F85" s="8" t="n"/>
      <c r="G85" s="8" t="n"/>
      <c r="H85" s="8" t="n"/>
      <c r="I85" s="8" t="n"/>
    </row>
    <row r="86">
      <c r="B86" s="8">
        <f>IF(E86="","","EV-"&amp;TEXT(ROW()-5,"000"))</f>
        <v/>
      </c>
      <c r="C86" s="8" t="n"/>
      <c r="D86" s="8" t="n"/>
      <c r="E86" s="8" t="n"/>
      <c r="F86" s="8" t="n"/>
      <c r="G86" s="8" t="n"/>
      <c r="H86" s="8" t="n"/>
      <c r="I86" s="8" t="n"/>
    </row>
    <row r="87">
      <c r="B87" s="8">
        <f>IF(E87="","","EV-"&amp;TEXT(ROW()-5,"000"))</f>
        <v/>
      </c>
      <c r="C87" s="8" t="n"/>
      <c r="D87" s="8" t="n"/>
      <c r="E87" s="8" t="n"/>
      <c r="F87" s="8" t="n"/>
      <c r="G87" s="8" t="n"/>
      <c r="H87" s="8" t="n"/>
      <c r="I87" s="8" t="n"/>
    </row>
    <row r="88">
      <c r="B88" s="8">
        <f>IF(E88="","","EV-"&amp;TEXT(ROW()-5,"000"))</f>
        <v/>
      </c>
      <c r="C88" s="8" t="n"/>
      <c r="D88" s="8" t="n"/>
      <c r="E88" s="8" t="n"/>
      <c r="F88" s="8" t="n"/>
      <c r="G88" s="8" t="n"/>
      <c r="H88" s="8" t="n"/>
      <c r="I88" s="8" t="n"/>
    </row>
    <row r="89">
      <c r="B89" s="8">
        <f>IF(E89="","","EV-"&amp;TEXT(ROW()-5,"000"))</f>
        <v/>
      </c>
      <c r="C89" s="8" t="n"/>
      <c r="D89" s="8" t="n"/>
      <c r="E89" s="8" t="n"/>
      <c r="F89" s="8" t="n"/>
      <c r="G89" s="8" t="n"/>
      <c r="H89" s="8" t="n"/>
      <c r="I89" s="8" t="n"/>
    </row>
    <row r="90">
      <c r="B90" s="8">
        <f>IF(E90="","","EV-"&amp;TEXT(ROW()-5,"000"))</f>
        <v/>
      </c>
      <c r="C90" s="8" t="n"/>
      <c r="D90" s="8" t="n"/>
      <c r="E90" s="8" t="n"/>
      <c r="F90" s="8" t="n"/>
      <c r="G90" s="8" t="n"/>
      <c r="H90" s="8" t="n"/>
      <c r="I90" s="8" t="n"/>
    </row>
    <row r="91">
      <c r="B91" s="8">
        <f>IF(E91="","","EV-"&amp;TEXT(ROW()-5,"000"))</f>
        <v/>
      </c>
      <c r="C91" s="8" t="n"/>
      <c r="D91" s="8" t="n"/>
      <c r="E91" s="8" t="n"/>
      <c r="F91" s="8" t="n"/>
      <c r="G91" s="8" t="n"/>
      <c r="H91" s="8" t="n"/>
      <c r="I91" s="8" t="n"/>
    </row>
    <row r="92">
      <c r="B92" s="8">
        <f>IF(E92="","","EV-"&amp;TEXT(ROW()-5,"000"))</f>
        <v/>
      </c>
      <c r="C92" s="8" t="n"/>
      <c r="D92" s="8" t="n"/>
      <c r="E92" s="8" t="n"/>
      <c r="F92" s="8" t="n"/>
      <c r="G92" s="8" t="n"/>
      <c r="H92" s="8" t="n"/>
      <c r="I92" s="8" t="n"/>
    </row>
    <row r="93">
      <c r="B93" s="8">
        <f>IF(E93="","","EV-"&amp;TEXT(ROW()-5,"000"))</f>
        <v/>
      </c>
      <c r="C93" s="8" t="n"/>
      <c r="D93" s="8" t="n"/>
      <c r="E93" s="8" t="n"/>
      <c r="F93" s="8" t="n"/>
      <c r="G93" s="8" t="n"/>
      <c r="H93" s="8" t="n"/>
      <c r="I93" s="8" t="n"/>
    </row>
    <row r="94">
      <c r="B94" s="8">
        <f>IF(E94="","","EV-"&amp;TEXT(ROW()-5,"000"))</f>
        <v/>
      </c>
      <c r="C94" s="8" t="n"/>
      <c r="D94" s="8" t="n"/>
      <c r="E94" s="8" t="n"/>
      <c r="F94" s="8" t="n"/>
      <c r="G94" s="8" t="n"/>
      <c r="H94" s="8" t="n"/>
      <c r="I94" s="8" t="n"/>
    </row>
    <row r="95">
      <c r="B95" s="8">
        <f>IF(E95="","","EV-"&amp;TEXT(ROW()-5,"000"))</f>
        <v/>
      </c>
      <c r="C95" s="8" t="n"/>
      <c r="D95" s="8" t="n"/>
      <c r="E95" s="8" t="n"/>
      <c r="F95" s="8" t="n"/>
      <c r="G95" s="8" t="n"/>
      <c r="H95" s="8" t="n"/>
      <c r="I95" s="8" t="n"/>
    </row>
    <row r="96">
      <c r="B96" s="8">
        <f>IF(E96="","","EV-"&amp;TEXT(ROW()-5,"000"))</f>
        <v/>
      </c>
      <c r="C96" s="8" t="n"/>
      <c r="D96" s="8" t="n"/>
      <c r="E96" s="8" t="n"/>
      <c r="F96" s="8" t="n"/>
      <c r="G96" s="8" t="n"/>
      <c r="H96" s="8" t="n"/>
      <c r="I96" s="8" t="n"/>
    </row>
    <row r="97">
      <c r="B97" s="8">
        <f>IF(E97="","","EV-"&amp;TEXT(ROW()-5,"000"))</f>
        <v/>
      </c>
      <c r="C97" s="8" t="n"/>
      <c r="D97" s="8" t="n"/>
      <c r="E97" s="8" t="n"/>
      <c r="F97" s="8" t="n"/>
      <c r="G97" s="8" t="n"/>
      <c r="H97" s="8" t="n"/>
      <c r="I97" s="8" t="n"/>
    </row>
    <row r="98">
      <c r="B98" s="8">
        <f>IF(E98="","","EV-"&amp;TEXT(ROW()-5,"000"))</f>
        <v/>
      </c>
      <c r="C98" s="8" t="n"/>
      <c r="D98" s="8" t="n"/>
      <c r="E98" s="8" t="n"/>
      <c r="F98" s="8" t="n"/>
      <c r="G98" s="8" t="n"/>
      <c r="H98" s="8" t="n"/>
      <c r="I98" s="8" t="n"/>
    </row>
    <row r="99">
      <c r="B99" s="8">
        <f>IF(E99="","","EV-"&amp;TEXT(ROW()-5,"000"))</f>
        <v/>
      </c>
      <c r="C99" s="8" t="n"/>
      <c r="D99" s="8" t="n"/>
      <c r="E99" s="8" t="n"/>
      <c r="F99" s="8" t="n"/>
      <c r="G99" s="8" t="n"/>
      <c r="H99" s="8" t="n"/>
      <c r="I99" s="8" t="n"/>
    </row>
    <row r="100">
      <c r="B100" s="8">
        <f>IF(E100="","","EV-"&amp;TEXT(ROW()-5,"000"))</f>
        <v/>
      </c>
      <c r="C100" s="8" t="n"/>
      <c r="D100" s="8" t="n"/>
      <c r="E100" s="8" t="n"/>
      <c r="F100" s="8" t="n"/>
      <c r="G100" s="8" t="n"/>
      <c r="H100" s="8" t="n"/>
      <c r="I100" s="8" t="n"/>
    </row>
    <row r="101">
      <c r="B101" s="8">
        <f>IF(E101="","","EV-"&amp;TEXT(ROW()-5,"000"))</f>
        <v/>
      </c>
      <c r="C101" s="8" t="n"/>
      <c r="D101" s="8" t="n"/>
      <c r="E101" s="8" t="n"/>
      <c r="F101" s="8" t="n"/>
      <c r="G101" s="8" t="n"/>
      <c r="H101" s="8" t="n"/>
      <c r="I101" s="8" t="n"/>
    </row>
    <row r="102">
      <c r="B102" s="8">
        <f>IF(E102="","","EV-"&amp;TEXT(ROW()-5,"000"))</f>
        <v/>
      </c>
      <c r="C102" s="8" t="n"/>
      <c r="D102" s="8" t="n"/>
      <c r="E102" s="8" t="n"/>
      <c r="F102" s="8" t="n"/>
      <c r="G102" s="8" t="n"/>
      <c r="H102" s="8" t="n"/>
      <c r="I102" s="8" t="n"/>
    </row>
    <row r="103">
      <c r="B103" s="8">
        <f>IF(E103="","","EV-"&amp;TEXT(ROW()-5,"000"))</f>
        <v/>
      </c>
      <c r="C103" s="8" t="n"/>
      <c r="D103" s="8" t="n"/>
      <c r="E103" s="8" t="n"/>
      <c r="F103" s="8" t="n"/>
      <c r="G103" s="8" t="n"/>
      <c r="H103" s="8" t="n"/>
      <c r="I103" s="8" t="n"/>
    </row>
    <row r="104">
      <c r="B104" s="8">
        <f>IF(E104="","","EV-"&amp;TEXT(ROW()-5,"000"))</f>
        <v/>
      </c>
      <c r="C104" s="8" t="n"/>
      <c r="D104" s="8" t="n"/>
      <c r="E104" s="8" t="n"/>
      <c r="F104" s="8" t="n"/>
      <c r="G104" s="8" t="n"/>
      <c r="H104" s="8" t="n"/>
      <c r="I104" s="8" t="n"/>
    </row>
    <row r="105">
      <c r="B105" s="8">
        <f>IF(E105="","","EV-"&amp;TEXT(ROW()-5,"000"))</f>
        <v/>
      </c>
      <c r="C105" s="8" t="n"/>
      <c r="D105" s="8" t="n"/>
      <c r="E105" s="8" t="n"/>
      <c r="F105" s="8" t="n"/>
      <c r="G105" s="8" t="n"/>
      <c r="H105" s="8" t="n"/>
      <c r="I105" s="8" t="n"/>
    </row>
    <row r="106">
      <c r="B106" s="8">
        <f>IF(E106="","","EV-"&amp;TEXT(ROW()-5,"000"))</f>
        <v/>
      </c>
      <c r="C106" s="8" t="n"/>
      <c r="D106" s="8" t="n"/>
      <c r="E106" s="8" t="n"/>
      <c r="F106" s="8" t="n"/>
      <c r="G106" s="8" t="n"/>
      <c r="H106" s="8" t="n"/>
      <c r="I106" s="8" t="n"/>
    </row>
    <row r="107">
      <c r="B107" s="8">
        <f>IF(E107="","","EV-"&amp;TEXT(ROW()-5,"000"))</f>
        <v/>
      </c>
      <c r="C107" s="8" t="n"/>
      <c r="D107" s="8" t="n"/>
      <c r="E107" s="8" t="n"/>
      <c r="F107" s="8" t="n"/>
      <c r="G107" s="8" t="n"/>
      <c r="H107" s="8" t="n"/>
      <c r="I107" s="8" t="n"/>
    </row>
    <row r="108">
      <c r="B108" s="8">
        <f>IF(E108="","","EV-"&amp;TEXT(ROW()-5,"000"))</f>
        <v/>
      </c>
      <c r="C108" s="8" t="n"/>
      <c r="D108" s="8" t="n"/>
      <c r="E108" s="8" t="n"/>
      <c r="F108" s="8" t="n"/>
      <c r="G108" s="8" t="n"/>
      <c r="H108" s="8" t="n"/>
      <c r="I108" s="8" t="n"/>
    </row>
    <row r="109">
      <c r="B109" s="8">
        <f>IF(E109="","","EV-"&amp;TEXT(ROW()-5,"000"))</f>
        <v/>
      </c>
      <c r="C109" s="8" t="n"/>
      <c r="D109" s="8" t="n"/>
      <c r="E109" s="8" t="n"/>
      <c r="F109" s="8" t="n"/>
      <c r="G109" s="8" t="n"/>
      <c r="H109" s="8" t="n"/>
      <c r="I109" s="8" t="n"/>
    </row>
    <row r="110">
      <c r="B110" s="8">
        <f>IF(E110="","","EV-"&amp;TEXT(ROW()-5,"000"))</f>
        <v/>
      </c>
      <c r="C110" s="8" t="n"/>
      <c r="D110" s="8" t="n"/>
      <c r="E110" s="8" t="n"/>
      <c r="F110" s="8" t="n"/>
      <c r="G110" s="8" t="n"/>
      <c r="H110" s="8" t="n"/>
      <c r="I110" s="8" t="n"/>
    </row>
    <row r="111">
      <c r="B111" s="8">
        <f>IF(E111="","","EV-"&amp;TEXT(ROW()-5,"000"))</f>
        <v/>
      </c>
      <c r="C111" s="8" t="n"/>
      <c r="D111" s="8" t="n"/>
      <c r="E111" s="8" t="n"/>
      <c r="F111" s="8" t="n"/>
      <c r="G111" s="8" t="n"/>
      <c r="H111" s="8" t="n"/>
      <c r="I111" s="8" t="n"/>
    </row>
    <row r="112">
      <c r="B112" s="8">
        <f>IF(E112="","","EV-"&amp;TEXT(ROW()-5,"000"))</f>
        <v/>
      </c>
      <c r="C112" s="8" t="n"/>
      <c r="D112" s="8" t="n"/>
      <c r="E112" s="8" t="n"/>
      <c r="F112" s="8" t="n"/>
      <c r="G112" s="8" t="n"/>
      <c r="H112" s="8" t="n"/>
      <c r="I112" s="8" t="n"/>
    </row>
    <row r="113">
      <c r="B113" s="8">
        <f>IF(E113="","","EV-"&amp;TEXT(ROW()-5,"000"))</f>
        <v/>
      </c>
      <c r="C113" s="8" t="n"/>
      <c r="D113" s="8" t="n"/>
      <c r="E113" s="8" t="n"/>
      <c r="F113" s="8" t="n"/>
      <c r="G113" s="8" t="n"/>
      <c r="H113" s="8" t="n"/>
      <c r="I113" s="8" t="n"/>
    </row>
    <row r="114">
      <c r="B114" s="8">
        <f>IF(E114="","","EV-"&amp;TEXT(ROW()-5,"000"))</f>
        <v/>
      </c>
      <c r="C114" s="8" t="n"/>
      <c r="D114" s="8" t="n"/>
      <c r="E114" s="8" t="n"/>
      <c r="F114" s="8" t="n"/>
      <c r="G114" s="8" t="n"/>
      <c r="H114" s="8" t="n"/>
      <c r="I114" s="8" t="n"/>
    </row>
    <row r="115">
      <c r="B115" s="8">
        <f>IF(E115="","","EV-"&amp;TEXT(ROW()-5,"000"))</f>
        <v/>
      </c>
      <c r="C115" s="8" t="n"/>
      <c r="D115" s="8" t="n"/>
      <c r="E115" s="8" t="n"/>
      <c r="F115" s="8" t="n"/>
      <c r="G115" s="8" t="n"/>
      <c r="H115" s="8" t="n"/>
      <c r="I115" s="8" t="n"/>
    </row>
    <row r="116">
      <c r="B116" s="8">
        <f>IF(E116="","","EV-"&amp;TEXT(ROW()-5,"000"))</f>
        <v/>
      </c>
      <c r="C116" s="8" t="n"/>
      <c r="D116" s="8" t="n"/>
      <c r="E116" s="8" t="n"/>
      <c r="F116" s="8" t="n"/>
      <c r="G116" s="8" t="n"/>
      <c r="H116" s="8" t="n"/>
      <c r="I116" s="8" t="n"/>
    </row>
    <row r="117">
      <c r="B117" s="8">
        <f>IF(E117="","","EV-"&amp;TEXT(ROW()-5,"000"))</f>
        <v/>
      </c>
      <c r="C117" s="8" t="n"/>
      <c r="D117" s="8" t="n"/>
      <c r="E117" s="8" t="n"/>
      <c r="F117" s="8" t="n"/>
      <c r="G117" s="8" t="n"/>
      <c r="H117" s="8" t="n"/>
      <c r="I117" s="8" t="n"/>
    </row>
    <row r="118">
      <c r="B118" s="8">
        <f>IF(E118="","","EV-"&amp;TEXT(ROW()-5,"000"))</f>
        <v/>
      </c>
      <c r="C118" s="8" t="n"/>
      <c r="D118" s="8" t="n"/>
      <c r="E118" s="8" t="n"/>
      <c r="F118" s="8" t="n"/>
      <c r="G118" s="8" t="n"/>
      <c r="H118" s="8" t="n"/>
      <c r="I118" s="8" t="n"/>
    </row>
    <row r="119">
      <c r="B119" s="8">
        <f>IF(E119="","","EV-"&amp;TEXT(ROW()-5,"000"))</f>
        <v/>
      </c>
      <c r="C119" s="8" t="n"/>
      <c r="D119" s="8" t="n"/>
      <c r="E119" s="8" t="n"/>
      <c r="F119" s="8" t="n"/>
      <c r="G119" s="8" t="n"/>
      <c r="H119" s="8" t="n"/>
      <c r="I119" s="8" t="n"/>
    </row>
    <row r="120">
      <c r="B120" s="8">
        <f>IF(E120="","","EV-"&amp;TEXT(ROW()-5,"000"))</f>
        <v/>
      </c>
      <c r="C120" s="8" t="n"/>
      <c r="D120" s="8" t="n"/>
      <c r="E120" s="8" t="n"/>
      <c r="F120" s="8" t="n"/>
      <c r="G120" s="8" t="n"/>
      <c r="H120" s="8" t="n"/>
      <c r="I120" s="8" t="n"/>
    </row>
    <row r="121">
      <c r="B121" s="8">
        <f>IF(E121="","","EV-"&amp;TEXT(ROW()-5,"000"))</f>
        <v/>
      </c>
      <c r="C121" s="8" t="n"/>
      <c r="D121" s="8" t="n"/>
      <c r="E121" s="8" t="n"/>
      <c r="F121" s="8" t="n"/>
      <c r="G121" s="8" t="n"/>
      <c r="H121" s="8" t="n"/>
      <c r="I121" s="8" t="n"/>
    </row>
    <row r="122">
      <c r="B122" s="8">
        <f>IF(E122="","","EV-"&amp;TEXT(ROW()-5,"000"))</f>
        <v/>
      </c>
      <c r="C122" s="8" t="n"/>
      <c r="D122" s="8" t="n"/>
      <c r="E122" s="8" t="n"/>
      <c r="F122" s="8" t="n"/>
      <c r="G122" s="8" t="n"/>
      <c r="H122" s="8" t="n"/>
      <c r="I122" s="8" t="n"/>
    </row>
    <row r="123">
      <c r="B123" s="8">
        <f>IF(E123="","","EV-"&amp;TEXT(ROW()-5,"000"))</f>
        <v/>
      </c>
      <c r="C123" s="8" t="n"/>
      <c r="D123" s="8" t="n"/>
      <c r="E123" s="8" t="n"/>
      <c r="F123" s="8" t="n"/>
      <c r="G123" s="8" t="n"/>
      <c r="H123" s="8" t="n"/>
      <c r="I123" s="8" t="n"/>
    </row>
    <row r="124">
      <c r="B124" s="8">
        <f>IF(E124="","","EV-"&amp;TEXT(ROW()-5,"000"))</f>
        <v/>
      </c>
      <c r="C124" s="8" t="n"/>
      <c r="D124" s="8" t="n"/>
      <c r="E124" s="8" t="n"/>
      <c r="F124" s="8" t="n"/>
      <c r="G124" s="8" t="n"/>
      <c r="H124" s="8" t="n"/>
      <c r="I124" s="8" t="n"/>
    </row>
    <row r="125">
      <c r="B125" s="8">
        <f>IF(E125="","","EV-"&amp;TEXT(ROW()-5,"000"))</f>
        <v/>
      </c>
      <c r="C125" s="8" t="n"/>
      <c r="D125" s="8" t="n"/>
      <c r="E125" s="8" t="n"/>
      <c r="F125" s="8" t="n"/>
      <c r="G125" s="8" t="n"/>
      <c r="H125" s="8" t="n"/>
      <c r="I125" s="8" t="n"/>
    </row>
    <row r="126">
      <c r="B126" s="8">
        <f>IF(E126="","","EV-"&amp;TEXT(ROW()-5,"000"))</f>
        <v/>
      </c>
      <c r="C126" s="8" t="n"/>
      <c r="D126" s="8" t="n"/>
      <c r="E126" s="8" t="n"/>
      <c r="F126" s="8" t="n"/>
      <c r="G126" s="8" t="n"/>
      <c r="H126" s="8" t="n"/>
      <c r="I126" s="8" t="n"/>
    </row>
    <row r="127">
      <c r="B127" s="8">
        <f>IF(E127="","","EV-"&amp;TEXT(ROW()-5,"000"))</f>
        <v/>
      </c>
      <c r="C127" s="8" t="n"/>
      <c r="D127" s="8" t="n"/>
      <c r="E127" s="8" t="n"/>
      <c r="F127" s="8" t="n"/>
      <c r="G127" s="8" t="n"/>
      <c r="H127" s="8" t="n"/>
      <c r="I127" s="8" t="n"/>
    </row>
    <row r="128">
      <c r="B128" s="8">
        <f>IF(E128="","","EV-"&amp;TEXT(ROW()-5,"000"))</f>
        <v/>
      </c>
      <c r="C128" s="8" t="n"/>
      <c r="D128" s="8" t="n"/>
      <c r="E128" s="8" t="n"/>
      <c r="F128" s="8" t="n"/>
      <c r="G128" s="8" t="n"/>
      <c r="H128" s="8" t="n"/>
      <c r="I128" s="8" t="n"/>
    </row>
    <row r="129">
      <c r="B129" s="8">
        <f>IF(E129="","","EV-"&amp;TEXT(ROW()-5,"000"))</f>
        <v/>
      </c>
      <c r="C129" s="8" t="n"/>
      <c r="D129" s="8" t="n"/>
      <c r="E129" s="8" t="n"/>
      <c r="F129" s="8" t="n"/>
      <c r="G129" s="8" t="n"/>
      <c r="H129" s="8" t="n"/>
      <c r="I129" s="8" t="n"/>
    </row>
    <row r="130">
      <c r="B130" s="8">
        <f>IF(E130="","","EV-"&amp;TEXT(ROW()-5,"000"))</f>
        <v/>
      </c>
      <c r="C130" s="8" t="n"/>
      <c r="D130" s="8" t="n"/>
      <c r="E130" s="8" t="n"/>
      <c r="F130" s="8" t="n"/>
      <c r="G130" s="8" t="n"/>
      <c r="H130" s="8" t="n"/>
      <c r="I130" s="8" t="n"/>
    </row>
    <row r="131">
      <c r="B131" s="8">
        <f>IF(E131="","","EV-"&amp;TEXT(ROW()-5,"000"))</f>
        <v/>
      </c>
      <c r="C131" s="8" t="n"/>
      <c r="D131" s="8" t="n"/>
      <c r="E131" s="8" t="n"/>
      <c r="F131" s="8" t="n"/>
      <c r="G131" s="8" t="n"/>
      <c r="H131" s="8" t="n"/>
      <c r="I131" s="8" t="n"/>
    </row>
    <row r="132">
      <c r="B132" s="8">
        <f>IF(E132="","","EV-"&amp;TEXT(ROW()-5,"000"))</f>
        <v/>
      </c>
      <c r="C132" s="8" t="n"/>
      <c r="D132" s="8" t="n"/>
      <c r="E132" s="8" t="n"/>
      <c r="F132" s="8" t="n"/>
      <c r="G132" s="8" t="n"/>
      <c r="H132" s="8" t="n"/>
      <c r="I132" s="8" t="n"/>
    </row>
    <row r="133">
      <c r="B133" s="8">
        <f>IF(E133="","","EV-"&amp;TEXT(ROW()-5,"000"))</f>
        <v/>
      </c>
      <c r="C133" s="8" t="n"/>
      <c r="D133" s="8" t="n"/>
      <c r="E133" s="8" t="n"/>
      <c r="F133" s="8" t="n"/>
      <c r="G133" s="8" t="n"/>
      <c r="H133" s="8" t="n"/>
      <c r="I133" s="8" t="n"/>
    </row>
    <row r="134">
      <c r="B134" s="8">
        <f>IF(E134="","","EV-"&amp;TEXT(ROW()-5,"000"))</f>
        <v/>
      </c>
      <c r="C134" s="8" t="n"/>
      <c r="D134" s="8" t="n"/>
      <c r="E134" s="8" t="n"/>
      <c r="F134" s="8" t="n"/>
      <c r="G134" s="8" t="n"/>
      <c r="H134" s="8" t="n"/>
      <c r="I134" s="8" t="n"/>
    </row>
    <row r="135">
      <c r="B135" s="8">
        <f>IF(E135="","","EV-"&amp;TEXT(ROW()-5,"000"))</f>
        <v/>
      </c>
      <c r="C135" s="8" t="n"/>
      <c r="D135" s="8" t="n"/>
      <c r="E135" s="8" t="n"/>
      <c r="F135" s="8" t="n"/>
      <c r="G135" s="8" t="n"/>
      <c r="H135" s="8" t="n"/>
      <c r="I135" s="8" t="n"/>
    </row>
    <row r="136">
      <c r="B136" s="8">
        <f>IF(E136="","","EV-"&amp;TEXT(ROW()-5,"000"))</f>
        <v/>
      </c>
      <c r="C136" s="8" t="n"/>
      <c r="D136" s="8" t="n"/>
      <c r="E136" s="8" t="n"/>
      <c r="F136" s="8" t="n"/>
      <c r="G136" s="8" t="n"/>
      <c r="H136" s="8" t="n"/>
      <c r="I136" s="8" t="n"/>
    </row>
    <row r="137">
      <c r="B137" s="8">
        <f>IF(E137="","","EV-"&amp;TEXT(ROW()-5,"000"))</f>
        <v/>
      </c>
      <c r="C137" s="8" t="n"/>
      <c r="D137" s="8" t="n"/>
      <c r="E137" s="8" t="n"/>
      <c r="F137" s="8" t="n"/>
      <c r="G137" s="8" t="n"/>
      <c r="H137" s="8" t="n"/>
      <c r="I137" s="8" t="n"/>
    </row>
    <row r="138">
      <c r="B138" s="8">
        <f>IF(E138="","","EV-"&amp;TEXT(ROW()-5,"000"))</f>
        <v/>
      </c>
      <c r="C138" s="8" t="n"/>
      <c r="D138" s="8" t="n"/>
      <c r="E138" s="8" t="n"/>
      <c r="F138" s="8" t="n"/>
      <c r="G138" s="8" t="n"/>
      <c r="H138" s="8" t="n"/>
      <c r="I138" s="8" t="n"/>
    </row>
    <row r="139">
      <c r="B139" s="8">
        <f>IF(E139="","","EV-"&amp;TEXT(ROW()-5,"000"))</f>
        <v/>
      </c>
      <c r="C139" s="8" t="n"/>
      <c r="D139" s="8" t="n"/>
      <c r="E139" s="8" t="n"/>
      <c r="F139" s="8" t="n"/>
      <c r="G139" s="8" t="n"/>
      <c r="H139" s="8" t="n"/>
      <c r="I139" s="8" t="n"/>
    </row>
    <row r="140">
      <c r="B140" s="8">
        <f>IF(E140="","","EV-"&amp;TEXT(ROW()-5,"000"))</f>
        <v/>
      </c>
      <c r="C140" s="8" t="n"/>
      <c r="D140" s="8" t="n"/>
      <c r="E140" s="8" t="n"/>
      <c r="F140" s="8" t="n"/>
      <c r="G140" s="8" t="n"/>
      <c r="H140" s="8" t="n"/>
      <c r="I140" s="8" t="n"/>
    </row>
    <row r="141">
      <c r="B141" s="8">
        <f>IF(E141="","","EV-"&amp;TEXT(ROW()-5,"000"))</f>
        <v/>
      </c>
      <c r="C141" s="8" t="n"/>
      <c r="D141" s="8" t="n"/>
      <c r="E141" s="8" t="n"/>
      <c r="F141" s="8" t="n"/>
      <c r="G141" s="8" t="n"/>
      <c r="H141" s="8" t="n"/>
      <c r="I141" s="8" t="n"/>
    </row>
    <row r="142">
      <c r="B142" s="8">
        <f>IF(E142="","","EV-"&amp;TEXT(ROW()-5,"000"))</f>
        <v/>
      </c>
      <c r="C142" s="8" t="n"/>
      <c r="D142" s="8" t="n"/>
      <c r="E142" s="8" t="n"/>
      <c r="F142" s="8" t="n"/>
      <c r="G142" s="8" t="n"/>
      <c r="H142" s="8" t="n"/>
      <c r="I142" s="8" t="n"/>
    </row>
    <row r="143">
      <c r="B143" s="8">
        <f>IF(E143="","","EV-"&amp;TEXT(ROW()-5,"000"))</f>
        <v/>
      </c>
      <c r="C143" s="8" t="n"/>
      <c r="D143" s="8" t="n"/>
      <c r="E143" s="8" t="n"/>
      <c r="F143" s="8" t="n"/>
      <c r="G143" s="8" t="n"/>
      <c r="H143" s="8" t="n"/>
      <c r="I143" s="8" t="n"/>
    </row>
    <row r="144">
      <c r="B144" s="8">
        <f>IF(E144="","","EV-"&amp;TEXT(ROW()-5,"000"))</f>
        <v/>
      </c>
      <c r="C144" s="8" t="n"/>
      <c r="D144" s="8" t="n"/>
      <c r="E144" s="8" t="n"/>
      <c r="F144" s="8" t="n"/>
      <c r="G144" s="8" t="n"/>
      <c r="H144" s="8" t="n"/>
      <c r="I144" s="8" t="n"/>
    </row>
    <row r="145">
      <c r="B145" s="8">
        <f>IF(E145="","","EV-"&amp;TEXT(ROW()-5,"000"))</f>
        <v/>
      </c>
      <c r="C145" s="8" t="n"/>
      <c r="D145" s="8" t="n"/>
      <c r="E145" s="8" t="n"/>
      <c r="F145" s="8" t="n"/>
      <c r="G145" s="8" t="n"/>
      <c r="H145" s="8" t="n"/>
      <c r="I145" s="8" t="n"/>
    </row>
    <row r="146">
      <c r="B146" s="8">
        <f>IF(E146="","","EV-"&amp;TEXT(ROW()-5,"000"))</f>
        <v/>
      </c>
      <c r="C146" s="8" t="n"/>
      <c r="D146" s="8" t="n"/>
      <c r="E146" s="8" t="n"/>
      <c r="F146" s="8" t="n"/>
      <c r="G146" s="8" t="n"/>
      <c r="H146" s="8" t="n"/>
      <c r="I146" s="8" t="n"/>
    </row>
    <row r="147">
      <c r="B147" s="8">
        <f>IF(E147="","","EV-"&amp;TEXT(ROW()-5,"000"))</f>
        <v/>
      </c>
      <c r="C147" s="8" t="n"/>
      <c r="D147" s="8" t="n"/>
      <c r="E147" s="8" t="n"/>
      <c r="F147" s="8" t="n"/>
      <c r="G147" s="8" t="n"/>
      <c r="H147" s="8" t="n"/>
      <c r="I147" s="8" t="n"/>
    </row>
    <row r="148">
      <c r="B148" s="8">
        <f>IF(E148="","","EV-"&amp;TEXT(ROW()-5,"000"))</f>
        <v/>
      </c>
      <c r="C148" s="8" t="n"/>
      <c r="D148" s="8" t="n"/>
      <c r="E148" s="8" t="n"/>
      <c r="F148" s="8" t="n"/>
      <c r="G148" s="8" t="n"/>
      <c r="H148" s="8" t="n"/>
      <c r="I148" s="8" t="n"/>
    </row>
    <row r="149">
      <c r="B149" s="8">
        <f>IF(E149="","","EV-"&amp;TEXT(ROW()-5,"000"))</f>
        <v/>
      </c>
      <c r="C149" s="8" t="n"/>
      <c r="D149" s="8" t="n"/>
      <c r="E149" s="8" t="n"/>
      <c r="F149" s="8" t="n"/>
      <c r="G149" s="8" t="n"/>
      <c r="H149" s="8" t="n"/>
      <c r="I149" s="8" t="n"/>
    </row>
    <row r="150">
      <c r="B150" s="8">
        <f>IF(E150="","","EV-"&amp;TEXT(ROW()-5,"000"))</f>
        <v/>
      </c>
      <c r="C150" s="8" t="n"/>
      <c r="D150" s="8" t="n"/>
      <c r="E150" s="8" t="n"/>
      <c r="F150" s="8" t="n"/>
      <c r="G150" s="8" t="n"/>
      <c r="H150" s="8" t="n"/>
      <c r="I150" s="8" t="n"/>
    </row>
    <row r="151">
      <c r="B151" s="8">
        <f>IF(E151="","","EV-"&amp;TEXT(ROW()-5,"000"))</f>
        <v/>
      </c>
      <c r="C151" s="8" t="n"/>
      <c r="D151" s="8" t="n"/>
      <c r="E151" s="8" t="n"/>
      <c r="F151" s="8" t="n"/>
      <c r="G151" s="8" t="n"/>
      <c r="H151" s="8" t="n"/>
      <c r="I151" s="8" t="n"/>
    </row>
    <row r="152">
      <c r="B152" s="8">
        <f>IF(E152="","","EV-"&amp;TEXT(ROW()-5,"000"))</f>
        <v/>
      </c>
      <c r="C152" s="8" t="n"/>
      <c r="D152" s="8" t="n"/>
      <c r="E152" s="8" t="n"/>
      <c r="F152" s="8" t="n"/>
      <c r="G152" s="8" t="n"/>
      <c r="H152" s="8" t="n"/>
      <c r="I152" s="8" t="n"/>
    </row>
    <row r="153">
      <c r="B153" s="8">
        <f>IF(E153="","","EV-"&amp;TEXT(ROW()-5,"000"))</f>
        <v/>
      </c>
      <c r="C153" s="8" t="n"/>
      <c r="D153" s="8" t="n"/>
      <c r="E153" s="8" t="n"/>
      <c r="F153" s="8" t="n"/>
      <c r="G153" s="8" t="n"/>
      <c r="H153" s="8" t="n"/>
      <c r="I153" s="8" t="n"/>
    </row>
    <row r="154">
      <c r="B154" s="8">
        <f>IF(E154="","","EV-"&amp;TEXT(ROW()-5,"000"))</f>
        <v/>
      </c>
      <c r="C154" s="8" t="n"/>
      <c r="D154" s="8" t="n"/>
      <c r="E154" s="8" t="n"/>
      <c r="F154" s="8" t="n"/>
      <c r="G154" s="8" t="n"/>
      <c r="H154" s="8" t="n"/>
      <c r="I154" s="8" t="n"/>
    </row>
    <row r="155">
      <c r="B155" s="8">
        <f>IF(E155="","","EV-"&amp;TEXT(ROW()-5,"000"))</f>
        <v/>
      </c>
      <c r="C155" s="8" t="n"/>
      <c r="D155" s="8" t="n"/>
      <c r="E155" s="8" t="n"/>
      <c r="F155" s="8" t="n"/>
      <c r="G155" s="8" t="n"/>
      <c r="H155" s="8" t="n"/>
      <c r="I155" s="8" t="n"/>
    </row>
    <row r="156">
      <c r="B156" s="8">
        <f>IF(E156="","","EV-"&amp;TEXT(ROW()-5,"000"))</f>
        <v/>
      </c>
      <c r="C156" s="8" t="n"/>
      <c r="D156" s="8" t="n"/>
      <c r="E156" s="8" t="n"/>
      <c r="F156" s="8" t="n"/>
      <c r="G156" s="8" t="n"/>
      <c r="H156" s="8" t="n"/>
      <c r="I156" s="8" t="n"/>
    </row>
    <row r="157">
      <c r="B157" s="8">
        <f>IF(E157="","","EV-"&amp;TEXT(ROW()-5,"000"))</f>
        <v/>
      </c>
      <c r="C157" s="8" t="n"/>
      <c r="D157" s="8" t="n"/>
      <c r="E157" s="8" t="n"/>
      <c r="F157" s="8" t="n"/>
      <c r="G157" s="8" t="n"/>
      <c r="H157" s="8" t="n"/>
      <c r="I157" s="8" t="n"/>
    </row>
    <row r="158">
      <c r="B158" s="8">
        <f>IF(E158="","","EV-"&amp;TEXT(ROW()-5,"000"))</f>
        <v/>
      </c>
      <c r="C158" s="8" t="n"/>
      <c r="D158" s="8" t="n"/>
      <c r="E158" s="8" t="n"/>
      <c r="F158" s="8" t="n"/>
      <c r="G158" s="8" t="n"/>
      <c r="H158" s="8" t="n"/>
      <c r="I158" s="8" t="n"/>
    </row>
    <row r="159">
      <c r="B159" s="8">
        <f>IF(E159="","","EV-"&amp;TEXT(ROW()-5,"000"))</f>
        <v/>
      </c>
      <c r="C159" s="8" t="n"/>
      <c r="D159" s="8" t="n"/>
      <c r="E159" s="8" t="n"/>
      <c r="F159" s="8" t="n"/>
      <c r="G159" s="8" t="n"/>
      <c r="H159" s="8" t="n"/>
      <c r="I159" s="8" t="n"/>
    </row>
    <row r="160">
      <c r="B160" s="8">
        <f>IF(E160="","","EV-"&amp;TEXT(ROW()-5,"000"))</f>
        <v/>
      </c>
      <c r="C160" s="8" t="n"/>
      <c r="D160" s="8" t="n"/>
      <c r="E160" s="8" t="n"/>
      <c r="F160" s="8" t="n"/>
      <c r="G160" s="8" t="n"/>
      <c r="H160" s="8" t="n"/>
      <c r="I160" s="8" t="n"/>
    </row>
    <row r="161">
      <c r="B161" s="8">
        <f>IF(E161="","","EV-"&amp;TEXT(ROW()-5,"000"))</f>
        <v/>
      </c>
      <c r="C161" s="8" t="n"/>
      <c r="D161" s="8" t="n"/>
      <c r="E161" s="8" t="n"/>
      <c r="F161" s="8" t="n"/>
      <c r="G161" s="8" t="n"/>
      <c r="H161" s="8" t="n"/>
      <c r="I161" s="8" t="n"/>
    </row>
    <row r="162">
      <c r="B162" s="8">
        <f>IF(E162="","","EV-"&amp;TEXT(ROW()-5,"000"))</f>
        <v/>
      </c>
      <c r="C162" s="8" t="n"/>
      <c r="D162" s="8" t="n"/>
      <c r="E162" s="8" t="n"/>
      <c r="F162" s="8" t="n"/>
      <c r="G162" s="8" t="n"/>
      <c r="H162" s="8" t="n"/>
      <c r="I162" s="8" t="n"/>
    </row>
    <row r="163">
      <c r="B163" s="8">
        <f>IF(E163="","","EV-"&amp;TEXT(ROW()-5,"000"))</f>
        <v/>
      </c>
      <c r="C163" s="8" t="n"/>
      <c r="D163" s="8" t="n"/>
      <c r="E163" s="8" t="n"/>
      <c r="F163" s="8" t="n"/>
      <c r="G163" s="8" t="n"/>
      <c r="H163" s="8" t="n"/>
      <c r="I163" s="8" t="n"/>
    </row>
    <row r="164">
      <c r="B164" s="8">
        <f>IF(E164="","","EV-"&amp;TEXT(ROW()-5,"000"))</f>
        <v/>
      </c>
      <c r="C164" s="8" t="n"/>
      <c r="D164" s="8" t="n"/>
      <c r="E164" s="8" t="n"/>
      <c r="F164" s="8" t="n"/>
      <c r="G164" s="8" t="n"/>
      <c r="H164" s="8" t="n"/>
      <c r="I164" s="8" t="n"/>
    </row>
    <row r="165">
      <c r="B165" s="8">
        <f>IF(E165="","","EV-"&amp;TEXT(ROW()-5,"000"))</f>
        <v/>
      </c>
      <c r="C165" s="8" t="n"/>
      <c r="D165" s="8" t="n"/>
      <c r="E165" s="8" t="n"/>
      <c r="F165" s="8" t="n"/>
      <c r="G165" s="8" t="n"/>
      <c r="H165" s="8" t="n"/>
      <c r="I165" s="8" t="n"/>
    </row>
    <row r="166">
      <c r="B166" s="8">
        <f>IF(E166="","","EV-"&amp;TEXT(ROW()-5,"000"))</f>
        <v/>
      </c>
      <c r="C166" s="8" t="n"/>
      <c r="D166" s="8" t="n"/>
      <c r="E166" s="8" t="n"/>
      <c r="F166" s="8" t="n"/>
      <c r="G166" s="8" t="n"/>
      <c r="H166" s="8" t="n"/>
      <c r="I166" s="8" t="n"/>
    </row>
    <row r="167">
      <c r="B167" s="8">
        <f>IF(E167="","","EV-"&amp;TEXT(ROW()-5,"000"))</f>
        <v/>
      </c>
      <c r="C167" s="8" t="n"/>
      <c r="D167" s="8" t="n"/>
      <c r="E167" s="8" t="n"/>
      <c r="F167" s="8" t="n"/>
      <c r="G167" s="8" t="n"/>
      <c r="H167" s="8" t="n"/>
      <c r="I167" s="8" t="n"/>
    </row>
    <row r="168">
      <c r="B168" s="8">
        <f>IF(E168="","","EV-"&amp;TEXT(ROW()-5,"000"))</f>
        <v/>
      </c>
      <c r="C168" s="8" t="n"/>
      <c r="D168" s="8" t="n"/>
      <c r="E168" s="8" t="n"/>
      <c r="F168" s="8" t="n"/>
      <c r="G168" s="8" t="n"/>
      <c r="H168" s="8" t="n"/>
      <c r="I168" s="8" t="n"/>
    </row>
    <row r="169">
      <c r="B169" s="8">
        <f>IF(E169="","","EV-"&amp;TEXT(ROW()-5,"000"))</f>
        <v/>
      </c>
      <c r="C169" s="8" t="n"/>
      <c r="D169" s="8" t="n"/>
      <c r="E169" s="8" t="n"/>
      <c r="F169" s="8" t="n"/>
      <c r="G169" s="8" t="n"/>
      <c r="H169" s="8" t="n"/>
      <c r="I169" s="8" t="n"/>
    </row>
    <row r="170">
      <c r="B170" s="8">
        <f>IF(E170="","","EV-"&amp;TEXT(ROW()-5,"000"))</f>
        <v/>
      </c>
      <c r="C170" s="8" t="n"/>
      <c r="D170" s="8" t="n"/>
      <c r="E170" s="8" t="n"/>
      <c r="F170" s="8" t="n"/>
      <c r="G170" s="8" t="n"/>
      <c r="H170" s="8" t="n"/>
      <c r="I170" s="8" t="n"/>
    </row>
    <row r="171">
      <c r="B171" s="8">
        <f>IF(E171="","","EV-"&amp;TEXT(ROW()-5,"000"))</f>
        <v/>
      </c>
      <c r="C171" s="8" t="n"/>
      <c r="D171" s="8" t="n"/>
      <c r="E171" s="8" t="n"/>
      <c r="F171" s="8" t="n"/>
      <c r="G171" s="8" t="n"/>
      <c r="H171" s="8" t="n"/>
      <c r="I171" s="8" t="n"/>
    </row>
    <row r="172">
      <c r="B172" s="8">
        <f>IF(E172="","","EV-"&amp;TEXT(ROW()-5,"000"))</f>
        <v/>
      </c>
      <c r="C172" s="8" t="n"/>
      <c r="D172" s="8" t="n"/>
      <c r="E172" s="8" t="n"/>
      <c r="F172" s="8" t="n"/>
      <c r="G172" s="8" t="n"/>
      <c r="H172" s="8" t="n"/>
      <c r="I172" s="8" t="n"/>
    </row>
    <row r="173">
      <c r="B173" s="8">
        <f>IF(E173="","","EV-"&amp;TEXT(ROW()-5,"000"))</f>
        <v/>
      </c>
      <c r="C173" s="8" t="n"/>
      <c r="D173" s="8" t="n"/>
      <c r="E173" s="8" t="n"/>
      <c r="F173" s="8" t="n"/>
      <c r="G173" s="8" t="n"/>
      <c r="H173" s="8" t="n"/>
      <c r="I173" s="8" t="n"/>
    </row>
    <row r="174">
      <c r="B174" s="8">
        <f>IF(E174="","","EV-"&amp;TEXT(ROW()-5,"000"))</f>
        <v/>
      </c>
      <c r="C174" s="8" t="n"/>
      <c r="D174" s="8" t="n"/>
      <c r="E174" s="8" t="n"/>
      <c r="F174" s="8" t="n"/>
      <c r="G174" s="8" t="n"/>
      <c r="H174" s="8" t="n"/>
      <c r="I174" s="8" t="n"/>
    </row>
    <row r="175">
      <c r="B175" s="8">
        <f>IF(E175="","","EV-"&amp;TEXT(ROW()-5,"000"))</f>
        <v/>
      </c>
      <c r="C175" s="8" t="n"/>
      <c r="D175" s="8" t="n"/>
      <c r="E175" s="8" t="n"/>
      <c r="F175" s="8" t="n"/>
      <c r="G175" s="8" t="n"/>
      <c r="H175" s="8" t="n"/>
      <c r="I175" s="8" t="n"/>
    </row>
    <row r="176">
      <c r="B176" s="8">
        <f>IF(E176="","","EV-"&amp;TEXT(ROW()-5,"000"))</f>
        <v/>
      </c>
      <c r="C176" s="8" t="n"/>
      <c r="D176" s="8" t="n"/>
      <c r="E176" s="8" t="n"/>
      <c r="F176" s="8" t="n"/>
      <c r="G176" s="8" t="n"/>
      <c r="H176" s="8" t="n"/>
      <c r="I176" s="8" t="n"/>
    </row>
    <row r="177">
      <c r="B177" s="8">
        <f>IF(E177="","","EV-"&amp;TEXT(ROW()-5,"000"))</f>
        <v/>
      </c>
      <c r="C177" s="8" t="n"/>
      <c r="D177" s="8" t="n"/>
      <c r="E177" s="8" t="n"/>
      <c r="F177" s="8" t="n"/>
      <c r="G177" s="8" t="n"/>
      <c r="H177" s="8" t="n"/>
      <c r="I177" s="8" t="n"/>
    </row>
    <row r="178">
      <c r="B178" s="8">
        <f>IF(E178="","","EV-"&amp;TEXT(ROW()-5,"000"))</f>
        <v/>
      </c>
      <c r="C178" s="8" t="n"/>
      <c r="D178" s="8" t="n"/>
      <c r="E178" s="8" t="n"/>
      <c r="F178" s="8" t="n"/>
      <c r="G178" s="8" t="n"/>
      <c r="H178" s="8" t="n"/>
      <c r="I178" s="8" t="n"/>
    </row>
    <row r="179">
      <c r="B179" s="8">
        <f>IF(E179="","","EV-"&amp;TEXT(ROW()-5,"000"))</f>
        <v/>
      </c>
      <c r="C179" s="8" t="n"/>
      <c r="D179" s="8" t="n"/>
      <c r="E179" s="8" t="n"/>
      <c r="F179" s="8" t="n"/>
      <c r="G179" s="8" t="n"/>
      <c r="H179" s="8" t="n"/>
      <c r="I179" s="8" t="n"/>
    </row>
    <row r="180">
      <c r="B180" s="8">
        <f>IF(E180="","","EV-"&amp;TEXT(ROW()-5,"000"))</f>
        <v/>
      </c>
      <c r="C180" s="8" t="n"/>
      <c r="D180" s="8" t="n"/>
      <c r="E180" s="8" t="n"/>
      <c r="F180" s="8" t="n"/>
      <c r="G180" s="8" t="n"/>
      <c r="H180" s="8" t="n"/>
      <c r="I180" s="8" t="n"/>
    </row>
    <row r="181">
      <c r="B181" s="8">
        <f>IF(E181="","","EV-"&amp;TEXT(ROW()-5,"000"))</f>
        <v/>
      </c>
      <c r="C181" s="8" t="n"/>
      <c r="D181" s="8" t="n"/>
      <c r="E181" s="8" t="n"/>
      <c r="F181" s="8" t="n"/>
      <c r="G181" s="8" t="n"/>
      <c r="H181" s="8" t="n"/>
      <c r="I181" s="8" t="n"/>
    </row>
    <row r="182">
      <c r="B182" s="8">
        <f>IF(E182="","","EV-"&amp;TEXT(ROW()-5,"000"))</f>
        <v/>
      </c>
      <c r="C182" s="8" t="n"/>
      <c r="D182" s="8" t="n"/>
      <c r="E182" s="8" t="n"/>
      <c r="F182" s="8" t="n"/>
      <c r="G182" s="8" t="n"/>
      <c r="H182" s="8" t="n"/>
      <c r="I182" s="8" t="n"/>
    </row>
    <row r="183">
      <c r="B183" s="8">
        <f>IF(E183="","","EV-"&amp;TEXT(ROW()-5,"000"))</f>
        <v/>
      </c>
      <c r="C183" s="8" t="n"/>
      <c r="D183" s="8" t="n"/>
      <c r="E183" s="8" t="n"/>
      <c r="F183" s="8" t="n"/>
      <c r="G183" s="8" t="n"/>
      <c r="H183" s="8" t="n"/>
      <c r="I183" s="8" t="n"/>
    </row>
    <row r="184">
      <c r="B184" s="8">
        <f>IF(E184="","","EV-"&amp;TEXT(ROW()-5,"000"))</f>
        <v/>
      </c>
      <c r="C184" s="8" t="n"/>
      <c r="D184" s="8" t="n"/>
      <c r="E184" s="8" t="n"/>
      <c r="F184" s="8" t="n"/>
      <c r="G184" s="8" t="n"/>
      <c r="H184" s="8" t="n"/>
      <c r="I184" s="8" t="n"/>
    </row>
    <row r="185">
      <c r="B185" s="8">
        <f>IF(E185="","","EV-"&amp;TEXT(ROW()-5,"000"))</f>
        <v/>
      </c>
      <c r="C185" s="8" t="n"/>
      <c r="D185" s="8" t="n"/>
      <c r="E185" s="8" t="n"/>
      <c r="F185" s="8" t="n"/>
      <c r="G185" s="8" t="n"/>
      <c r="H185" s="8" t="n"/>
      <c r="I185" s="8" t="n"/>
    </row>
    <row r="186">
      <c r="B186" s="8">
        <f>IF(E186="","","EV-"&amp;TEXT(ROW()-5,"000"))</f>
        <v/>
      </c>
      <c r="C186" s="8" t="n"/>
      <c r="D186" s="8" t="n"/>
      <c r="E186" s="8" t="n"/>
      <c r="F186" s="8" t="n"/>
      <c r="G186" s="8" t="n"/>
      <c r="H186" s="8" t="n"/>
      <c r="I186" s="8" t="n"/>
    </row>
    <row r="187">
      <c r="B187" s="8">
        <f>IF(E187="","","EV-"&amp;TEXT(ROW()-5,"000"))</f>
        <v/>
      </c>
      <c r="C187" s="8" t="n"/>
      <c r="D187" s="8" t="n"/>
      <c r="E187" s="8" t="n"/>
      <c r="F187" s="8" t="n"/>
      <c r="G187" s="8" t="n"/>
      <c r="H187" s="8" t="n"/>
      <c r="I187" s="8" t="n"/>
    </row>
    <row r="188">
      <c r="B188" s="8">
        <f>IF(E188="","","EV-"&amp;TEXT(ROW()-5,"000"))</f>
        <v/>
      </c>
      <c r="C188" s="8" t="n"/>
      <c r="D188" s="8" t="n"/>
      <c r="E188" s="8" t="n"/>
      <c r="F188" s="8" t="n"/>
      <c r="G188" s="8" t="n"/>
      <c r="H188" s="8" t="n"/>
      <c r="I188" s="8" t="n"/>
    </row>
    <row r="189">
      <c r="B189" s="8">
        <f>IF(E189="","","EV-"&amp;TEXT(ROW()-5,"000"))</f>
        <v/>
      </c>
      <c r="C189" s="8" t="n"/>
      <c r="D189" s="8" t="n"/>
      <c r="E189" s="8" t="n"/>
      <c r="F189" s="8" t="n"/>
      <c r="G189" s="8" t="n"/>
      <c r="H189" s="8" t="n"/>
      <c r="I189" s="8" t="n"/>
    </row>
    <row r="190">
      <c r="B190" s="8">
        <f>IF(E190="","","EV-"&amp;TEXT(ROW()-5,"000"))</f>
        <v/>
      </c>
      <c r="C190" s="8" t="n"/>
      <c r="D190" s="8" t="n"/>
      <c r="E190" s="8" t="n"/>
      <c r="F190" s="8" t="n"/>
      <c r="G190" s="8" t="n"/>
      <c r="H190" s="8" t="n"/>
      <c r="I190" s="8" t="n"/>
    </row>
    <row r="191">
      <c r="B191" s="8">
        <f>IF(E191="","","EV-"&amp;TEXT(ROW()-5,"000"))</f>
        <v/>
      </c>
      <c r="C191" s="8" t="n"/>
      <c r="D191" s="8" t="n"/>
      <c r="E191" s="8" t="n"/>
      <c r="F191" s="8" t="n"/>
      <c r="G191" s="8" t="n"/>
      <c r="H191" s="8" t="n"/>
      <c r="I191" s="8" t="n"/>
    </row>
    <row r="192">
      <c r="B192" s="8">
        <f>IF(E192="","","EV-"&amp;TEXT(ROW()-5,"000"))</f>
        <v/>
      </c>
      <c r="C192" s="8" t="n"/>
      <c r="D192" s="8" t="n"/>
      <c r="E192" s="8" t="n"/>
      <c r="F192" s="8" t="n"/>
      <c r="G192" s="8" t="n"/>
      <c r="H192" s="8" t="n"/>
      <c r="I192" s="8" t="n"/>
    </row>
    <row r="193">
      <c r="B193" s="8">
        <f>IF(E193="","","EV-"&amp;TEXT(ROW()-5,"000"))</f>
        <v/>
      </c>
      <c r="C193" s="8" t="n"/>
      <c r="D193" s="8" t="n"/>
      <c r="E193" s="8" t="n"/>
      <c r="F193" s="8" t="n"/>
      <c r="G193" s="8" t="n"/>
      <c r="H193" s="8" t="n"/>
      <c r="I193" s="8" t="n"/>
    </row>
    <row r="194">
      <c r="B194" s="8">
        <f>IF(E194="","","EV-"&amp;TEXT(ROW()-5,"000"))</f>
        <v/>
      </c>
      <c r="C194" s="8" t="n"/>
      <c r="D194" s="8" t="n"/>
      <c r="E194" s="8" t="n"/>
      <c r="F194" s="8" t="n"/>
      <c r="G194" s="8" t="n"/>
      <c r="H194" s="8" t="n"/>
      <c r="I194" s="8" t="n"/>
    </row>
    <row r="195">
      <c r="B195" s="8">
        <f>IF(E195="","","EV-"&amp;TEXT(ROW()-5,"000"))</f>
        <v/>
      </c>
      <c r="C195" s="8" t="n"/>
      <c r="D195" s="8" t="n"/>
      <c r="E195" s="8" t="n"/>
      <c r="F195" s="8" t="n"/>
      <c r="G195" s="8" t="n"/>
      <c r="H195" s="8" t="n"/>
      <c r="I195" s="8" t="n"/>
    </row>
    <row r="196">
      <c r="B196" s="8">
        <f>IF(E196="","","EV-"&amp;TEXT(ROW()-5,"000"))</f>
        <v/>
      </c>
      <c r="C196" s="8" t="n"/>
      <c r="D196" s="8" t="n"/>
      <c r="E196" s="8" t="n"/>
      <c r="F196" s="8" t="n"/>
      <c r="G196" s="8" t="n"/>
      <c r="H196" s="8" t="n"/>
      <c r="I196" s="8" t="n"/>
    </row>
    <row r="197">
      <c r="B197" s="8">
        <f>IF(E197="","","EV-"&amp;TEXT(ROW()-5,"000"))</f>
        <v/>
      </c>
      <c r="C197" s="8" t="n"/>
      <c r="D197" s="8" t="n"/>
      <c r="E197" s="8" t="n"/>
      <c r="F197" s="8" t="n"/>
      <c r="G197" s="8" t="n"/>
      <c r="H197" s="8" t="n"/>
      <c r="I197" s="8" t="n"/>
    </row>
    <row r="198">
      <c r="B198" s="8">
        <f>IF(E198="","","EV-"&amp;TEXT(ROW()-5,"000"))</f>
        <v/>
      </c>
      <c r="C198" s="8" t="n"/>
      <c r="D198" s="8" t="n"/>
      <c r="E198" s="8" t="n"/>
      <c r="F198" s="8" t="n"/>
      <c r="G198" s="8" t="n"/>
      <c r="H198" s="8" t="n"/>
      <c r="I198" s="8" t="n"/>
    </row>
    <row r="199">
      <c r="B199" s="8">
        <f>IF(E199="","","EV-"&amp;TEXT(ROW()-5,"000"))</f>
        <v/>
      </c>
      <c r="C199" s="8" t="n"/>
      <c r="D199" s="8" t="n"/>
      <c r="E199" s="8" t="n"/>
      <c r="F199" s="8" t="n"/>
      <c r="G199" s="8" t="n"/>
      <c r="H199" s="8" t="n"/>
      <c r="I199" s="8" t="n"/>
    </row>
    <row r="200">
      <c r="B200" s="8">
        <f>IF(E200="","","EV-"&amp;TEXT(ROW()-5,"000"))</f>
        <v/>
      </c>
      <c r="C200" s="8" t="n"/>
      <c r="D200" s="8" t="n"/>
      <c r="E200" s="8" t="n"/>
      <c r="F200" s="8" t="n"/>
      <c r="G200" s="8" t="n"/>
      <c r="H200" s="8" t="n"/>
      <c r="I200" s="8" t="n"/>
    </row>
    <row r="201">
      <c r="B201" s="8">
        <f>IF(E201="","","EV-"&amp;TEXT(ROW()-5,"000"))</f>
        <v/>
      </c>
      <c r="C201" s="8" t="n"/>
      <c r="D201" s="8" t="n"/>
      <c r="E201" s="8" t="n"/>
      <c r="F201" s="8" t="n"/>
      <c r="G201" s="8" t="n"/>
      <c r="H201" s="8" t="n"/>
      <c r="I201" s="8" t="n"/>
    </row>
    <row r="202">
      <c r="B202" s="8">
        <f>IF(E202="","","EV-"&amp;TEXT(ROW()-5,"000"))</f>
        <v/>
      </c>
      <c r="C202" s="8" t="n"/>
      <c r="D202" s="8" t="n"/>
      <c r="E202" s="8" t="n"/>
      <c r="F202" s="8" t="n"/>
      <c r="G202" s="8" t="n"/>
      <c r="H202" s="8" t="n"/>
      <c r="I202" s="8" t="n"/>
    </row>
    <row r="203">
      <c r="B203" s="8">
        <f>IF(E203="","","EV-"&amp;TEXT(ROW()-5,"000"))</f>
        <v/>
      </c>
      <c r="C203" s="8" t="n"/>
      <c r="D203" s="8" t="n"/>
      <c r="E203" s="8" t="n"/>
      <c r="F203" s="8" t="n"/>
      <c r="G203" s="8" t="n"/>
      <c r="H203" s="8" t="n"/>
      <c r="I203" s="8" t="n"/>
    </row>
    <row r="204">
      <c r="B204" s="8">
        <f>IF(E204="","","EV-"&amp;TEXT(ROW()-5,"000"))</f>
        <v/>
      </c>
      <c r="C204" s="8" t="n"/>
      <c r="D204" s="8" t="n"/>
      <c r="E204" s="8" t="n"/>
      <c r="F204" s="8" t="n"/>
      <c r="G204" s="8" t="n"/>
      <c r="H204" s="8" t="n"/>
      <c r="I204" s="8" t="n"/>
    </row>
    <row r="205">
      <c r="B205" s="8">
        <f>IF(E205="","","EV-"&amp;TEXT(ROW()-5,"000"))</f>
        <v/>
      </c>
      <c r="C205" s="8" t="n"/>
      <c r="D205" s="8" t="n"/>
      <c r="E205" s="8" t="n"/>
      <c r="F205" s="8" t="n"/>
      <c r="G205" s="8" t="n"/>
      <c r="H205" s="8" t="n"/>
      <c r="I205" s="8"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s>
  <sheetData>
    <row r="1">
      <c r="A1" s="1" t="inlineStr">
        <is>
          <t>↑</t>
        </is>
      </c>
      <c r="B1" s="2" t="inlineStr">
        <is>
          <t>End-2026 target status assessment and reporting</t>
        </is>
      </c>
    </row>
    <row r="2">
      <c r="B2" s="3" t="inlineStr">
        <is>
          <t>Issues log</t>
        </is>
      </c>
    </row>
    <row r="4">
      <c r="B4" s="6" t="inlineStr">
        <is>
          <t>#</t>
        </is>
      </c>
      <c r="C4" s="6" t="inlineStr">
        <is>
          <t>Date raised</t>
        </is>
      </c>
      <c r="D4" s="6" t="inlineStr">
        <is>
          <t>Issue / question</t>
        </is>
      </c>
      <c r="E4" s="6" t="inlineStr">
        <is>
          <t>Impact</t>
        </is>
      </c>
      <c r="F4" s="6" t="inlineStr">
        <is>
          <t>Ref / unit</t>
        </is>
      </c>
      <c r="G4" s="6" t="inlineStr">
        <is>
          <t>Owner</t>
        </is>
      </c>
      <c r="H4" s="6" t="inlineStr">
        <is>
          <t>Proposed action</t>
        </is>
      </c>
      <c r="I4" s="6" t="inlineStr">
        <is>
          <t>Status</t>
        </is>
      </c>
    </row>
    <row r="5">
      <c r="B5" s="8" t="n">
        <v>1</v>
      </c>
      <c r="C5" s="44" t="n">
        <v>46300</v>
      </c>
      <c r="D5" s="8" t="inlineStr">
        <is>
          <t>Climate resilience maturity (CL3(a)) and Estate &amp; infrastructure indicators – confirm owner and request with Gerard.</t>
        </is>
      </c>
      <c r="E5" s="8" t="inlineStr"/>
      <c r="F5" s="8" t="inlineStr">
        <is>
          <t>CL3(a); EI1(a)–(d)</t>
        </is>
      </c>
      <c r="G5" s="8" t="inlineStr">
        <is>
          <t>Stefanus</t>
        </is>
      </c>
      <c r="H5" s="8" t="inlineStr">
        <is>
          <t>Meet Gerard</t>
        </is>
      </c>
      <c r="I5" s="8" t="inlineStr">
        <is>
          <t>Open</t>
        </is>
      </c>
    </row>
    <row r="6">
      <c r="B6" s="8" t="n">
        <v>2</v>
      </c>
      <c r="C6" s="44" t="n">
        <v>46300</v>
      </c>
      <c r="D6" s="8" t="inlineStr">
        <is>
          <t>Confirm whether CGOP, CDEP and CDSS structures have changed since the 2025 master spreadsheet stakeholder mapping.</t>
        </is>
      </c>
      <c r="E6" s="8" t="inlineStr"/>
      <c r="F6" s="8" t="inlineStr">
        <is>
          <t>Stakeholder map</t>
        </is>
      </c>
      <c r="G6" s="8" t="inlineStr">
        <is>
          <t>Stefanus</t>
        </is>
      </c>
      <c r="H6" s="8" t="inlineStr">
        <is>
          <t>Confirm with team</t>
        </is>
      </c>
      <c r="I6" s="8" t="inlineStr">
        <is>
          <t>Open</t>
        </is>
      </c>
    </row>
    <row r="7">
      <c r="B7" s="8" t="n">
        <v>3</v>
      </c>
      <c r="C7" s="44" t="n">
        <v>46300</v>
      </c>
      <c r="D7" s="8" t="inlineStr">
        <is>
          <t>Business Services split into CIOG (AI) and ESG (nature &amp; biodiversity, waste &amp; circular economy, part of quant. climate leadership) – confirm contacts.</t>
        </is>
      </c>
      <c r="E7" s="8" t="inlineStr"/>
      <c r="F7" s="8" t="inlineStr">
        <is>
          <t>CIOG; ESG</t>
        </is>
      </c>
      <c r="G7" s="8" t="inlineStr">
        <is>
          <t>TBC</t>
        </is>
      </c>
      <c r="H7" s="8" t="inlineStr">
        <is>
          <t>Confirm contacts</t>
        </is>
      </c>
      <c r="I7" s="8" t="inlineStr">
        <is>
          <t>Open</t>
        </is>
      </c>
    </row>
    <row r="8">
      <c r="B8" s="8" t="n">
        <v>4</v>
      </c>
      <c r="C8" s="44" t="n">
        <v>46300</v>
      </c>
      <c r="D8" s="8" t="inlineStr">
        <is>
          <t>Procurement sits with CFOG (RP1(a) procurement case studies routed to CFOG – Procurement although the Qual sheet names no stakeholder); estate planning centralised in CI&amp;S – requests issued centrally, not to faculties.</t>
        </is>
      </c>
      <c r="E8" s="8" t="inlineStr"/>
      <c r="F8" s="8" t="inlineStr">
        <is>
          <t>CFOG; CI&amp;S</t>
        </is>
      </c>
      <c r="G8" s="8" t="inlineStr">
        <is>
          <t>—</t>
        </is>
      </c>
      <c r="H8" s="8" t="inlineStr">
        <is>
          <t>Noted</t>
        </is>
      </c>
      <c r="I8" s="8" t="inlineStr">
        <is>
          <t>Closed</t>
        </is>
      </c>
    </row>
    <row r="9">
      <c r="B9" s="8" t="n">
        <v>5</v>
      </c>
      <c r="C9" s="44" t="n">
        <v>46300</v>
      </c>
      <c r="D9" s="8" t="inlineStr">
        <is>
          <t>Chancellery units reported separately, as SR25: AC&amp;M, MRE, GCE, Education, SaSS and Indigenous each have their own request and master tab. Alumni (EE1(d)) asked of SaSS only.</t>
        </is>
      </c>
      <c r="E9" s="8" t="inlineStr"/>
      <c r="F9" s="8" t="inlineStr">
        <is>
          <t>Stakeholder map</t>
        </is>
      </c>
      <c r="G9" s="8" t="inlineStr">
        <is>
          <t>Stefanus</t>
        </is>
      </c>
      <c r="H9" s="8" t="inlineStr">
        <is>
          <t>Confirm contacts</t>
        </is>
      </c>
      <c r="I9" s="8" t="inlineStr">
        <is>
          <t>Closed</t>
        </is>
      </c>
    </row>
    <row r="10">
      <c r="B10" s="8" t="n">
        <v>6</v>
      </c>
      <c r="C10" s="44" t="n">
        <v>46300</v>
      </c>
      <c r="D10" s="8" t="inlineStr">
        <is>
          <t>Faculty requests cut down after ABP walkthrough: EE1(a)+(c) merged; CL2(a)/(c) to AC&amp;M only; TR1(b)–(d) and TR3(a)/(c)/(d) to MRE only; EN1(d) not asked of faculties; EE1(d) to SaSS only. Wattle Fellowship to be asked directly (not tracked in master).</t>
        </is>
      </c>
      <c r="E10" s="8" t="inlineStr"/>
      <c r="F10" s="8" t="inlineStr">
        <is>
          <t>Faculties</t>
        </is>
      </c>
      <c r="G10" s="8" t="inlineStr">
        <is>
          <t>Stefanus</t>
        </is>
      </c>
      <c r="H10" s="8" t="inlineStr">
        <is>
          <t>Confirm with team; apply to other faculties</t>
        </is>
      </c>
      <c r="I10" s="8" t="inlineStr">
        <is>
          <t>Open</t>
        </is>
      </c>
    </row>
    <row r="11">
      <c r="B11" s="8" t="n">
        <v>7</v>
      </c>
      <c r="C11" s="44" t="n">
        <v>46300</v>
      </c>
      <c r="D11" s="8" t="inlineStr">
        <is>
          <t>Legal &amp; Risk asked for climate resilience maturity CL3(a), following SR25 (8a(i)/(ii): University Risk 16 Climate Change; flood emergency response plans). CL3(a) is also with CI&amp;S (Gerard) – agree who leads.</t>
        </is>
      </c>
      <c r="E11" s="8" t="inlineStr"/>
      <c r="F11" s="8" t="inlineStr">
        <is>
          <t>CL3(a); L&amp;R; CI&amp;S</t>
        </is>
      </c>
      <c r="G11" s="8" t="inlineStr">
        <is>
          <t>Stefanus</t>
        </is>
      </c>
      <c r="H11" s="8" t="inlineStr">
        <is>
          <t>Confirm with Gerard</t>
        </is>
      </c>
      <c r="I11" s="8" t="inlineStr">
        <is>
          <t>Open</t>
        </is>
      </c>
    </row>
    <row r="12">
      <c r="B12" s="8" t="n">
        <v>8</v>
      </c>
      <c r="C12" s="44" t="n">
        <v>46300</v>
      </c>
      <c r="D12" s="8" t="inlineStr">
        <is>
          <t>TR2(b) 'Documented progress of strategic initiatives, incl. Impact Accelerators' reuses the TR2(d) case-study wording and has no stakeholder in the Qual sheet – left as-is.</t>
        </is>
      </c>
      <c r="E12" s="8" t="inlineStr"/>
      <c r="F12" s="8" t="inlineStr">
        <is>
          <t>TR2(b)</t>
        </is>
      </c>
      <c r="G12" s="8" t="inlineStr">
        <is>
          <t>TBC</t>
        </is>
      </c>
      <c r="H12" s="8" t="inlineStr">
        <is>
          <t>Review wording/owner</t>
        </is>
      </c>
      <c r="I12" s="8" t="inlineStr">
        <is>
          <t>Open</t>
        </is>
      </c>
    </row>
    <row r="13">
      <c r="B13" s="8" t="n">
        <v>9</v>
      </c>
      <c r="C13" s="44" t="n">
        <v>46300</v>
      </c>
      <c r="D13" s="8" t="inlineStr">
        <is>
          <t>Quantitative-only rows (no stakeholder in the Qual sheet) removed from the requirements matrix and moved to '2. Quant coverage'; Databook gaps requested in Tab 4 of the owning central unit's request.</t>
        </is>
      </c>
      <c r="E13" s="8" t="inlineStr"/>
      <c r="F13" s="8" t="inlineStr">
        <is>
          <t>TR2(b); CL1(a)-(b); CL2(b); NB1(a); CE1-2; RP2; RI1(a)</t>
        </is>
      </c>
      <c r="G13" s="8" t="inlineStr">
        <is>
          <t>Stefanus</t>
        </is>
      </c>
      <c r="H13" s="8" t="inlineStr">
        <is>
          <t>Confirm owners and Databook coverage with Chris</t>
        </is>
      </c>
      <c r="I13" s="8" t="inlineStr">
        <is>
          <t>Open</t>
        </is>
      </c>
    </row>
    <row r="14">
      <c r="B14" s="8" t="n">
        <v>10</v>
      </c>
      <c r="C14" s="44" t="n">
        <v>46300</v>
      </c>
      <c r="D14" s="8" t="inlineStr">
        <is>
          <t>Target status rating (Met/Partially met/Not met) retained pending revamp of the traffic-light framework.</t>
        </is>
      </c>
      <c r="E14" s="8" t="inlineStr"/>
      <c r="F14" s="8" t="inlineStr">
        <is>
          <t>All</t>
        </is>
      </c>
      <c r="G14" s="8" t="inlineStr">
        <is>
          <t>Director, Sustainability</t>
        </is>
      </c>
      <c r="H14" s="8" t="inlineStr">
        <is>
          <t>Update templates once agreed</t>
        </is>
      </c>
      <c r="I14" s="8" t="inlineStr">
        <is>
          <t>Open</t>
        </is>
      </c>
    </row>
    <row r="15">
      <c r="B15" s="8" t="n">
        <v>11</v>
      </c>
      <c r="C15" s="44" t="n">
        <v>46300</v>
      </c>
      <c r="D15" s="8" t="inlineStr">
        <is>
          <t>Timeline updated to the team plan: requests issued W1 Nov, responses and stories due 15 Dec 2026, first review W3 Dec, follow-up W3–W4 Dec, consolidation W4 Dec. Databook figures given by 15 Dec are provisional; final figures confirmed Jan–Feb.</t>
        </is>
      </c>
      <c r="E15" s="8" t="inlineStr"/>
      <c r="F15" s="8" t="inlineStr">
        <is>
          <t>All</t>
        </is>
      </c>
      <c r="G15" s="8" t="inlineStr">
        <is>
          <t>Stefanus</t>
        </is>
      </c>
      <c r="H15" s="8" t="inlineStr">
        <is>
          <t>Confirm exact issue date and CDSS contact</t>
        </is>
      </c>
      <c r="I15" s="8" t="inlineStr">
        <is>
          <t>Open</t>
        </is>
      </c>
    </row>
    <row r="16">
      <c r="B16" s="8" t="n">
        <v>12</v>
      </c>
      <c r="C16" s="44" t="n">
        <v>46300</v>
      </c>
      <c r="D16" s="8" t="inlineStr">
        <is>
          <t>20 indicators are requested from each faculty (SR25 sent 10). Monitor burden in pilot.</t>
        </is>
      </c>
      <c r="E16" s="8" t="inlineStr"/>
      <c r="F16" s="8" t="inlineStr">
        <is>
          <t>Faculties</t>
        </is>
      </c>
      <c r="G16" s="8" t="inlineStr">
        <is>
          <t>TBC</t>
        </is>
      </c>
      <c r="H16" s="8" t="inlineStr">
        <is>
          <t>Review after pilot</t>
        </is>
      </c>
      <c r="I16" s="8" t="inlineStr">
        <is>
          <t>Open</t>
        </is>
      </c>
    </row>
    <row r="17">
      <c r="B17" s="8" t="n"/>
      <c r="C17" s="8" t="n"/>
      <c r="D17" s="8" t="n"/>
      <c r="E17" s="8" t="n"/>
      <c r="F17" s="8" t="n"/>
      <c r="G17" s="8" t="n"/>
      <c r="H17" s="8" t="n"/>
      <c r="I17" s="8" t="n"/>
    </row>
    <row r="18">
      <c r="B18" s="8" t="n"/>
      <c r="C18" s="8" t="n"/>
      <c r="D18" s="8" t="n"/>
      <c r="E18" s="8" t="n"/>
      <c r="F18" s="8" t="n"/>
      <c r="G18" s="8" t="n"/>
      <c r="H18" s="8" t="n"/>
      <c r="I18" s="8" t="n"/>
    </row>
    <row r="19">
      <c r="B19" s="8" t="n"/>
      <c r="C19" s="8" t="n"/>
      <c r="D19" s="8" t="n"/>
      <c r="E19" s="8" t="n"/>
      <c r="F19" s="8" t="n"/>
      <c r="G19" s="8" t="n"/>
      <c r="H19" s="8" t="n"/>
      <c r="I19" s="8" t="n"/>
    </row>
    <row r="20">
      <c r="B20" s="8" t="n"/>
      <c r="C20" s="8" t="n"/>
      <c r="D20" s="8" t="n"/>
      <c r="E20" s="8" t="n"/>
      <c r="F20" s="8" t="n"/>
      <c r="G20" s="8" t="n"/>
      <c r="H20" s="8" t="n"/>
      <c r="I20" s="8" t="n"/>
    </row>
    <row r="21">
      <c r="B21" s="8" t="n"/>
      <c r="C21" s="8" t="n"/>
      <c r="D21" s="8" t="n"/>
      <c r="E21" s="8" t="n"/>
      <c r="F21" s="8" t="n"/>
      <c r="G21" s="8" t="n"/>
      <c r="H21" s="8" t="n"/>
      <c r="I21" s="8" t="n"/>
    </row>
    <row r="22">
      <c r="B22" s="8" t="n"/>
      <c r="C22" s="8" t="n"/>
      <c r="D22" s="8" t="n"/>
      <c r="E22" s="8" t="n"/>
      <c r="F22" s="8" t="n"/>
      <c r="G22" s="8" t="n"/>
      <c r="H22" s="8" t="n"/>
      <c r="I22" s="8" t="n"/>
    </row>
    <row r="23">
      <c r="B23" s="8" t="n"/>
      <c r="C23" s="8" t="n"/>
      <c r="D23" s="8" t="n"/>
      <c r="E23" s="8" t="n"/>
      <c r="F23" s="8" t="n"/>
      <c r="G23" s="8" t="n"/>
      <c r="H23" s="8" t="n"/>
      <c r="I23" s="8" t="n"/>
    </row>
    <row r="24">
      <c r="B24" s="8" t="n"/>
      <c r="C24" s="8" t="n"/>
      <c r="D24" s="8" t="n"/>
      <c r="E24" s="8" t="n"/>
      <c r="F24" s="8" t="n"/>
      <c r="G24" s="8" t="n"/>
      <c r="H24" s="8" t="n"/>
      <c r="I24" s="8" t="n"/>
    </row>
    <row r="25">
      <c r="B25" s="8" t="n"/>
      <c r="C25" s="8" t="n"/>
      <c r="D25" s="8" t="n"/>
      <c r="E25" s="8" t="n"/>
      <c r="F25" s="8" t="n"/>
      <c r="G25" s="8" t="n"/>
      <c r="H25" s="8" t="n"/>
      <c r="I25" s="8" t="n"/>
    </row>
    <row r="26">
      <c r="B26" s="8" t="n"/>
      <c r="C26" s="8" t="n"/>
      <c r="D26" s="8" t="n"/>
      <c r="E26" s="8" t="n"/>
      <c r="F26" s="8" t="n"/>
      <c r="G26" s="8" t="n"/>
      <c r="H26" s="8" t="n"/>
      <c r="I26" s="8" t="n"/>
    </row>
    <row r="27">
      <c r="B27" s="8" t="n"/>
      <c r="C27" s="8" t="n"/>
      <c r="D27" s="8" t="n"/>
      <c r="E27" s="8" t="n"/>
      <c r="F27" s="8" t="n"/>
      <c r="G27" s="8" t="n"/>
      <c r="H27" s="8" t="n"/>
      <c r="I27" s="8" t="n"/>
    </row>
    <row r="28">
      <c r="B28" s="8" t="n"/>
      <c r="C28" s="8" t="n"/>
      <c r="D28" s="8" t="n"/>
      <c r="E28" s="8" t="n"/>
      <c r="F28" s="8" t="n"/>
      <c r="G28" s="8" t="n"/>
      <c r="H28" s="8" t="n"/>
      <c r="I28" s="8" t="n"/>
    </row>
    <row r="29">
      <c r="B29" s="8" t="n"/>
      <c r="C29" s="8" t="n"/>
      <c r="D29" s="8" t="n"/>
      <c r="E29" s="8" t="n"/>
      <c r="F29" s="8" t="n"/>
      <c r="G29" s="8" t="n"/>
      <c r="H29" s="8" t="n"/>
      <c r="I29" s="8" t="n"/>
    </row>
    <row r="30">
      <c r="B30" s="8" t="n"/>
      <c r="C30" s="8" t="n"/>
      <c r="D30" s="8" t="n"/>
      <c r="E30" s="8" t="n"/>
      <c r="F30" s="8" t="n"/>
      <c r="G30" s="8" t="n"/>
      <c r="H30" s="8" t="n"/>
      <c r="I30" s="8" t="n"/>
    </row>
    <row r="31">
      <c r="B31" s="8" t="n"/>
      <c r="C31" s="8" t="n"/>
      <c r="D31" s="8" t="n"/>
      <c r="E31" s="8" t="n"/>
      <c r="F31" s="8" t="n"/>
      <c r="G31" s="8" t="n"/>
      <c r="H31" s="8" t="n"/>
      <c r="I31" s="8" t="n"/>
    </row>
    <row r="32">
      <c r="B32" s="8" t="n"/>
      <c r="C32" s="8" t="n"/>
      <c r="D32" s="8" t="n"/>
      <c r="E32" s="8" t="n"/>
      <c r="F32" s="8" t="n"/>
      <c r="G32" s="8" t="n"/>
      <c r="H32" s="8" t="n"/>
      <c r="I32" s="8" t="n"/>
    </row>
    <row r="33">
      <c r="B33" s="8" t="n"/>
      <c r="C33" s="8" t="n"/>
      <c r="D33" s="8" t="n"/>
      <c r="E33" s="8" t="n"/>
      <c r="F33" s="8" t="n"/>
      <c r="G33" s="8" t="n"/>
      <c r="H33" s="8" t="n"/>
      <c r="I33" s="8" t="n"/>
    </row>
    <row r="34">
      <c r="B34" s="8" t="n"/>
      <c r="C34" s="8" t="n"/>
      <c r="D34" s="8" t="n"/>
      <c r="E34" s="8" t="n"/>
      <c r="F34" s="8" t="n"/>
      <c r="G34" s="8" t="n"/>
      <c r="H34" s="8" t="n"/>
      <c r="I34" s="8" t="n"/>
    </row>
    <row r="35">
      <c r="B35" s="8" t="n"/>
      <c r="C35" s="8" t="n"/>
      <c r="D35" s="8" t="n"/>
      <c r="E35" s="8" t="n"/>
      <c r="F35" s="8" t="n"/>
      <c r="G35" s="8" t="n"/>
      <c r="H35" s="8" t="n"/>
      <c r="I35" s="8" t="n"/>
    </row>
    <row r="36">
      <c r="B36" s="8" t="n"/>
      <c r="C36" s="8" t="n"/>
      <c r="D36" s="8" t="n"/>
      <c r="E36" s="8" t="n"/>
      <c r="F36" s="8" t="n"/>
      <c r="G36" s="8" t="n"/>
      <c r="H36" s="8" t="n"/>
      <c r="I36" s="8" t="n"/>
    </row>
    <row r="37">
      <c r="B37" s="8" t="n"/>
      <c r="C37" s="8" t="n"/>
      <c r="D37" s="8" t="n"/>
      <c r="E37" s="8" t="n"/>
      <c r="F37" s="8" t="n"/>
      <c r="G37" s="8" t="n"/>
      <c r="H37" s="8" t="n"/>
      <c r="I37" s="8" t="n"/>
    </row>
    <row r="38">
      <c r="B38" s="8" t="n"/>
      <c r="C38" s="8" t="n"/>
      <c r="D38" s="8" t="n"/>
      <c r="E38" s="8" t="n"/>
      <c r="F38" s="8" t="n"/>
      <c r="G38" s="8" t="n"/>
      <c r="H38" s="8" t="n"/>
      <c r="I38" s="8" t="n"/>
    </row>
    <row r="39">
      <c r="B39" s="8" t="n"/>
      <c r="C39" s="8" t="n"/>
      <c r="D39" s="8" t="n"/>
      <c r="E39" s="8" t="n"/>
      <c r="F39" s="8" t="n"/>
      <c r="G39" s="8" t="n"/>
      <c r="H39" s="8" t="n"/>
      <c r="I39" s="8"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B1:L13"/>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c r="L1" t="inlineStr">
        <is>
          <t>Priority area</t>
        </is>
      </c>
    </row>
    <row r="2">
      <c r="B2" t="inlineStr">
        <is>
          <t>Please select from dropdown</t>
        </is>
      </c>
      <c r="C2" t="inlineStr">
        <is>
          <t>Yes</t>
        </is>
      </c>
      <c r="D2" t="inlineStr">
        <is>
          <t>Not sent</t>
        </is>
      </c>
      <c r="E2" t="inlineStr">
        <is>
          <t>Yes</t>
        </is>
      </c>
      <c r="G2" t="inlineStr">
        <is>
          <t>Met or exceeded</t>
        </is>
      </c>
      <c r="H2" t="n">
        <v>3</v>
      </c>
      <c r="I2" t="n">
        <v>1</v>
      </c>
      <c r="L2" t="inlineStr">
        <is>
          <t>Exceptional education</t>
        </is>
      </c>
    </row>
    <row r="3">
      <c r="B3" t="inlineStr">
        <is>
          <t>Met or exceeded</t>
        </is>
      </c>
      <c r="C3" t="inlineStr">
        <is>
          <t>No</t>
        </is>
      </c>
      <c r="D3" t="inlineStr">
        <is>
          <t>Sent</t>
        </is>
      </c>
      <c r="E3" t="inlineStr">
        <is>
          <t>No</t>
        </is>
      </c>
      <c r="G3" t="inlineStr">
        <is>
          <t>Partially met</t>
        </is>
      </c>
      <c r="H3" t="n">
        <v>2</v>
      </c>
      <c r="I3" t="n">
        <v>1</v>
      </c>
      <c r="L3" t="inlineStr">
        <is>
          <t>Transformational research</t>
        </is>
      </c>
    </row>
    <row r="4">
      <c r="B4" t="inlineStr">
        <is>
          <t>Partially met</t>
        </is>
      </c>
      <c r="C4" t="inlineStr">
        <is>
          <t>Partially – see comments</t>
        </is>
      </c>
      <c r="D4" t="inlineStr">
        <is>
          <t>1:1 meeting</t>
        </is>
      </c>
      <c r="E4" t="inlineStr">
        <is>
          <t>TBC</t>
        </is>
      </c>
      <c r="G4" t="inlineStr">
        <is>
          <t>Not met</t>
        </is>
      </c>
      <c r="H4" t="n">
        <v>1</v>
      </c>
      <c r="I4" t="n">
        <v>1</v>
      </c>
      <c r="L4" t="inlineStr">
        <is>
          <t>Climate leadership</t>
        </is>
      </c>
    </row>
    <row r="5">
      <c r="B5" t="inlineStr">
        <is>
          <t>Not met</t>
        </is>
      </c>
      <c r="D5" t="inlineStr">
        <is>
          <t>Received</t>
        </is>
      </c>
      <c r="G5" t="inlineStr">
        <is>
          <t>Not yet started</t>
        </is>
      </c>
      <c r="H5" t="n">
        <v>0</v>
      </c>
      <c r="I5" t="n">
        <v>1</v>
      </c>
      <c r="L5" t="inlineStr">
        <is>
          <t>Nature and biodiversity</t>
        </is>
      </c>
    </row>
    <row r="6">
      <c r="B6" t="inlineStr">
        <is>
          <t>Not yet started</t>
        </is>
      </c>
      <c r="D6" t="inlineStr">
        <is>
          <t>First review</t>
        </is>
      </c>
      <c r="L6" t="inlineStr">
        <is>
          <t>Responsible AI</t>
        </is>
      </c>
    </row>
    <row r="7">
      <c r="B7" t="inlineStr">
        <is>
          <t>Not applicable</t>
        </is>
      </c>
      <c r="D7" t="inlineStr">
        <is>
          <t>Follow-up</t>
        </is>
      </c>
      <c r="L7" t="inlineStr">
        <is>
          <t>Estate and infrastructure</t>
        </is>
      </c>
    </row>
    <row r="8">
      <c r="D8" t="inlineStr">
        <is>
          <t>Complete</t>
        </is>
      </c>
      <c r="L8" t="inlineStr">
        <is>
          <t>Circular economy</t>
        </is>
      </c>
    </row>
    <row r="9">
      <c r="D9" t="inlineStr">
        <is>
          <t>Not required</t>
        </is>
      </c>
      <c r="L9" t="inlineStr">
        <is>
          <t>Responsible procurement</t>
        </is>
      </c>
    </row>
    <row r="10">
      <c r="L10" t="inlineStr">
        <is>
          <t>Modern slavery and human rights</t>
        </is>
      </c>
    </row>
    <row r="11">
      <c r="L11" t="inlineStr">
        <is>
          <t>Responsible investments</t>
        </is>
      </c>
    </row>
    <row r="12">
      <c r="L12" t="inlineStr">
        <is>
          <t>Enablers</t>
        </is>
      </c>
    </row>
    <row r="13">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2026-10-07T02:03:14Z</dcterms:created>
  <dcterms:modified xmlns:dcterms="http://purl.org/dc/terms/" xmlns:xsi="http://www.w3.org/2001/XMLSchema-instance" xsi:type="dcterms:W3CDTF">2026-10-07T02:03:34Z</dcterms:modified>
</cp:coreProperties>
</file>