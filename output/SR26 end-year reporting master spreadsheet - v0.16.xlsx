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summary'!$B$10:$AC$200</definedName>
    <definedName name="_xlnm._FilterDatabase" localSheetId="20" hidden="1">'T1. Manual target review'!$B$7:$R$274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6" borderId="0" applyAlignment="1" pivotButton="0" quotePrefix="0" xfId="0">
      <alignment horizontal="center" vertical="center" wrapText="1"/>
    </xf>
    <xf numFmtId="0" fontId="22" fillId="16"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6"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v0.16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60" customHeight="1">
      <c r="B7" s="4" t="inlineStr">
        <is>
          <t>Key dates (TBC)</t>
        </is>
      </c>
      <c r="C7" s="5"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64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SR26 sustainability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by 15 Dec, final Jan–Feb)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by 15 Dec, final Jan–Feb)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by 15 Dec, final Jan–Feb)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by 15 Dec, final Jan–Feb)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by 15 Dec, final Jan–Feb)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by 15 Dec, final Jan–Feb)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by 15 Dec, final Jan–Feb)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by 15 Dec, final Jan–Feb)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SR26 sustainability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xSplit="8" ySplit="6" topLeftCell="I7" activePane="bottomRight" state="frozen"/>
      <selection pane="topRigh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45" customHeight="1">
      <c r="H3" t="inlineStr">
        <is>
          <t>SST contact (SR25 – confirm) &gt;&gt;</t>
        </is>
      </c>
      <c r="I3" s="22" t="inlineStr">
        <is>
          <t>ABP Gerard; Arts Rose; FBE Katie; SCI Katie</t>
        </is>
      </c>
      <c r="J3" s="22" t="inlineStr">
        <is>
          <t>Director</t>
        </is>
      </c>
      <c r="K3" s="22" t="inlineStr">
        <is>
          <t>Gerard and Davina</t>
        </is>
      </c>
      <c r="L3" s="22" t="inlineStr">
        <is>
          <t>Director</t>
        </is>
      </c>
      <c r="M3" s="22" t="inlineStr">
        <is>
          <t>Chris</t>
        </is>
      </c>
      <c r="N3" s="22" t="inlineStr">
        <is>
          <t>Chris</t>
        </is>
      </c>
      <c r="O3" s="22" t="inlineStr">
        <is>
          <t>All</t>
        </is>
      </c>
      <c r="P3" s="22" t="inlineStr">
        <is>
          <t>TBC</t>
        </is>
      </c>
      <c r="Q3" s="22" t="inlineStr">
        <is>
          <t>Gerard</t>
        </is>
      </c>
      <c r="R3" s="22" t="inlineStr">
        <is>
          <t>Director</t>
        </is>
      </c>
      <c r="S3" s="22" t="inlineStr">
        <is>
          <t>Director</t>
        </is>
      </c>
      <c r="T3" s="22" t="inlineStr">
        <is>
          <t>Rose</t>
        </is>
      </c>
      <c r="U3" s="22" t="inlineStr">
        <is>
          <t>Gerard</t>
        </is>
      </c>
      <c r="V3" s="22" t="inlineStr">
        <is>
          <t>Katie</t>
        </is>
      </c>
      <c r="W3" s="22" t="inlineStr">
        <is>
          <t>Rose</t>
        </is>
      </c>
      <c r="X3" s="22" t="inlineStr">
        <is>
          <t>Gerard</t>
        </is>
      </c>
      <c r="Y3" s="22" t="inlineStr">
        <is>
          <t>All</t>
        </is>
      </c>
    </row>
    <row r="4">
      <c r="H4" t="inlineStr">
        <is>
          <t>Portfolio / Faculty &gt;&gt;</t>
        </is>
      </c>
      <c r="I4" s="22" t="inlineStr">
        <is>
          <t>Faculty (consolidated)</t>
        </is>
      </c>
      <c r="J4" s="22" t="inlineStr">
        <is>
          <t>COO portfolio (consolidated)</t>
        </is>
      </c>
      <c r="K4" s="22" t="inlineStr">
        <is>
          <t>COO portfolio</t>
        </is>
      </c>
      <c r="L4" s="22" t="inlineStr">
        <is>
          <t>COO portfolio</t>
        </is>
      </c>
      <c r="M4" s="22" t="inlineStr">
        <is>
          <t>COO portfolio</t>
        </is>
      </c>
      <c r="N4" s="22" t="inlineStr">
        <is>
          <t>COO portfolio</t>
        </is>
      </c>
      <c r="O4" s="22" t="inlineStr">
        <is>
          <t>COO portfolio</t>
        </is>
      </c>
      <c r="P4" s="22" t="inlineStr">
        <is>
          <t>COO portfolio</t>
        </is>
      </c>
      <c r="Q4" s="22" t="inlineStr">
        <is>
          <t>COO portfolio</t>
        </is>
      </c>
      <c r="R4" s="22" t="inlineStr">
        <is>
          <t>Chancellery (consolidated)</t>
        </is>
      </c>
      <c r="S4" s="22" t="inlineStr">
        <is>
          <t>Chancellery</t>
        </is>
      </c>
      <c r="T4" s="22" t="inlineStr">
        <is>
          <t>Chancellery</t>
        </is>
      </c>
      <c r="U4" s="22" t="inlineStr">
        <is>
          <t>Chancellery</t>
        </is>
      </c>
      <c r="V4" s="22" t="inlineStr">
        <is>
          <t>Chancellery</t>
        </is>
      </c>
      <c r="W4" s="22" t="inlineStr">
        <is>
          <t>Chancellery</t>
        </is>
      </c>
      <c r="X4" s="22" t="inlineStr">
        <is>
          <t>Chancellery</t>
        </is>
      </c>
      <c r="Y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(ABP, ARTS, FBE, SCI)</t>
        </is>
      </c>
      <c r="J6" s="24" t="inlineStr">
        <is>
          <t>COO portfolio (all)</t>
        </is>
      </c>
      <c r="K6" s="25" t="inlineStr">
        <is>
          <t>CI&amp;S – Estate Planning &amp; Development</t>
        </is>
      </c>
      <c r="L6" s="25" t="inlineStr">
        <is>
          <t>CI&amp;S – Sustainability Strategy</t>
        </is>
      </c>
      <c r="M6" s="25" t="inlineStr">
        <is>
          <t>CFOG – Procurement</t>
        </is>
      </c>
      <c r="N6" s="25" t="inlineStr">
        <is>
          <t>CFOG – Treasury &amp; Investments</t>
        </is>
      </c>
      <c r="O6" s="25" t="inlineStr">
        <is>
          <t>ESG – Campus Operations &amp; Sustainability Delivery</t>
        </is>
      </c>
      <c r="P6" s="25" t="inlineStr">
        <is>
          <t>CIOG – Responsible AI &amp; digital</t>
        </is>
      </c>
      <c r="Q6" s="25" t="inlineStr">
        <is>
          <t>Legal &amp; Risk – Risk &amp; resilience</t>
        </is>
      </c>
      <c r="R6" s="24" t="inlineStr">
        <is>
          <t>Chancellery (all)</t>
        </is>
      </c>
      <c r="S6" s="25" t="inlineStr">
        <is>
          <t>MRE – Research</t>
        </is>
      </c>
      <c r="T6" s="25" t="inlineStr">
        <is>
          <t>AC&amp;M – Advancement, Communication and Marketing</t>
        </is>
      </c>
      <c r="U6" s="25" t="inlineStr">
        <is>
          <t>GCE – Global, Culture and Engagement</t>
        </is>
      </c>
      <c r="V6" s="25" t="inlineStr">
        <is>
          <t>Education – Chancellery Education</t>
        </is>
      </c>
      <c r="W6" s="25" t="inlineStr">
        <is>
          <t>SaSS – Student and Scholarly Services</t>
        </is>
      </c>
      <c r="X6" s="25" t="inlineStr">
        <is>
          <t>Indigenous – Chancellery Indigenous</t>
        </is>
      </c>
      <c r="Y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R</t>
        </is>
      </c>
      <c r="J10" s="30" t="inlineStr">
        <is>
          <t>A and R</t>
        </is>
      </c>
      <c r="K10" s="30" t="n"/>
      <c r="L10" s="30" t="inlineStr">
        <is>
          <t>R</t>
        </is>
      </c>
      <c r="M10" s="30" t="n"/>
      <c r="N10" s="30" t="n"/>
      <c r="O10" s="30" t="n"/>
      <c r="P10" s="30" t="n"/>
      <c r="Q10" s="30" t="n"/>
      <c r="R10" s="30" t="inlineStr">
        <is>
          <t>A and R</t>
        </is>
      </c>
      <c r="S10" s="30" t="n"/>
      <c r="T10" s="30" t="n"/>
      <c r="U10" s="30" t="n"/>
      <c r="V10" s="30" t="inlineStr">
        <is>
          <t>R</t>
        </is>
      </c>
      <c r="W10" s="30" t="n"/>
      <c r="X10" s="30" t="n"/>
      <c r="Y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R</t>
        </is>
      </c>
      <c r="J11" s="30" t="inlineStr">
        <is>
          <t>A and R</t>
        </is>
      </c>
      <c r="K11" s="30" t="n"/>
      <c r="L11" s="30" t="inlineStr">
        <is>
          <t>R</t>
        </is>
      </c>
      <c r="M11" s="30" t="n"/>
      <c r="N11" s="30" t="n"/>
      <c r="O11" s="30" t="n"/>
      <c r="P11" s="30" t="n"/>
      <c r="Q11" s="30" t="n"/>
      <c r="R11" s="30" t="inlineStr">
        <is>
          <t>A and R</t>
        </is>
      </c>
      <c r="S11" s="30" t="n"/>
      <c r="T11" s="30" t="n"/>
      <c r="U11" s="30" t="n"/>
      <c r="V11" s="30" t="inlineStr">
        <is>
          <t>R</t>
        </is>
      </c>
      <c r="W11" s="30" t="n"/>
      <c r="X11" s="30" t="n"/>
      <c r="Y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inlineStr">
        <is>
          <t>A and R</t>
        </is>
      </c>
      <c r="K12" s="30" t="n"/>
      <c r="L12" s="30" t="inlineStr">
        <is>
          <t>R</t>
        </is>
      </c>
      <c r="M12" s="30" t="n"/>
      <c r="N12" s="30" t="n"/>
      <c r="O12" s="30" t="n"/>
      <c r="P12" s="30" t="n"/>
      <c r="Q12" s="30" t="n"/>
      <c r="R12" s="30" t="inlineStr">
        <is>
          <t>A and R</t>
        </is>
      </c>
      <c r="S12" s="30" t="n"/>
      <c r="T12" s="30" t="n"/>
      <c r="U12" s="30" t="n"/>
      <c r="V12" s="30" t="n"/>
      <c r="W12" s="30" t="inlineStr">
        <is>
          <t>R</t>
        </is>
      </c>
      <c r="X12" s="30" t="n"/>
      <c r="Y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inlineStr">
        <is>
          <t>A and R</t>
        </is>
      </c>
      <c r="S13" s="30" t="n"/>
      <c r="T13" s="30" t="n"/>
      <c r="U13" s="30" t="n"/>
      <c r="V13" s="30" t="n"/>
      <c r="W13" s="30" t="inlineStr">
        <is>
          <t>R</t>
        </is>
      </c>
      <c r="X13" s="30" t="n"/>
      <c r="Y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R</t>
        </is>
      </c>
      <c r="J16" s="30" t="inlineStr">
        <is>
          <t>A and R</t>
        </is>
      </c>
      <c r="K16" s="30" t="n"/>
      <c r="L16" s="30" t="inlineStr">
        <is>
          <t>R</t>
        </is>
      </c>
      <c r="M16" s="30" t="n"/>
      <c r="N16" s="30" t="n"/>
      <c r="O16" s="30" t="n"/>
      <c r="P16" s="30" t="n"/>
      <c r="Q16" s="30" t="n"/>
      <c r="R16" s="30" t="n"/>
      <c r="S16" s="30" t="n"/>
      <c r="T16" s="30" t="n"/>
      <c r="U16" s="30" t="n"/>
      <c r="V16" s="30" t="n"/>
      <c r="W16" s="30" t="n"/>
      <c r="X16" s="30" t="n"/>
      <c r="Y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inlineStr">
        <is>
          <t>A and R</t>
        </is>
      </c>
      <c r="S17" s="30" t="inlineStr">
        <is>
          <t>R</t>
        </is>
      </c>
      <c r="T17" s="30" t="n"/>
      <c r="U17" s="30" t="n"/>
      <c r="V17" s="30" t="n"/>
      <c r="W17" s="30" t="n"/>
      <c r="X17" s="30" t="n"/>
      <c r="Y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inlineStr">
        <is>
          <t>A and R</t>
        </is>
      </c>
      <c r="S18" s="30" t="inlineStr">
        <is>
          <t>R</t>
        </is>
      </c>
      <c r="T18" s="30" t="n"/>
      <c r="U18" s="30" t="n"/>
      <c r="V18" s="30" t="n"/>
      <c r="W18" s="30" t="n"/>
      <c r="X18" s="30" t="n"/>
      <c r="Y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inlineStr">
        <is>
          <t>A and R</t>
        </is>
      </c>
      <c r="S19" s="30" t="inlineStr">
        <is>
          <t>R</t>
        </is>
      </c>
      <c r="T19" s="30" t="n"/>
      <c r="U19" s="30" t="n"/>
      <c r="V19" s="30" t="n"/>
      <c r="W19" s="30" t="n"/>
      <c r="X19" s="30" t="n"/>
      <c r="Y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R</t>
        </is>
      </c>
      <c r="J21" s="30" t="n"/>
      <c r="K21" s="30" t="n"/>
      <c r="L21" s="30" t="n"/>
      <c r="M21" s="30" t="n"/>
      <c r="N21" s="30" t="n"/>
      <c r="O21" s="30" t="n"/>
      <c r="P21" s="30" t="n"/>
      <c r="Q21" s="30" t="n"/>
      <c r="R21" s="30" t="inlineStr">
        <is>
          <t>A and R</t>
        </is>
      </c>
      <c r="S21" s="30" t="n"/>
      <c r="T21" s="30" t="inlineStr">
        <is>
          <t>R</t>
        </is>
      </c>
      <c r="U21" s="30" t="n"/>
      <c r="V21" s="30" t="n"/>
      <c r="W21" s="30" t="n"/>
      <c r="X21" s="30" t="n"/>
      <c r="Y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inlineStr">
        <is>
          <t>A and R</t>
        </is>
      </c>
      <c r="S22" s="30" t="inlineStr">
        <is>
          <t>R (quant)</t>
        </is>
      </c>
      <c r="T22" s="30" t="n"/>
      <c r="U22" s="30" t="n"/>
      <c r="V22" s="30" t="n"/>
      <c r="W22" s="30" t="n"/>
      <c r="X22" s="30" t="n"/>
      <c r="Y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inlineStr">
        <is>
          <t>A and R</t>
        </is>
      </c>
      <c r="S23" s="30" t="inlineStr">
        <is>
          <t>R</t>
        </is>
      </c>
      <c r="T23" s="30" t="n"/>
      <c r="U23" s="30" t="n"/>
      <c r="V23" s="30" t="n"/>
      <c r="W23" s="30" t="n"/>
      <c r="X23" s="30" t="n"/>
      <c r="Y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R</t>
        </is>
      </c>
      <c r="J24" s="30" t="inlineStr">
        <is>
          <t>A and R</t>
        </is>
      </c>
      <c r="K24" s="30" t="n"/>
      <c r="L24" s="30" t="inlineStr">
        <is>
          <t>R</t>
        </is>
      </c>
      <c r="M24" s="30" t="n"/>
      <c r="N24" s="30" t="n"/>
      <c r="O24" s="30" t="n"/>
      <c r="P24" s="30" t="n"/>
      <c r="Q24" s="30" t="n"/>
      <c r="R24" s="30" t="n"/>
      <c r="S24" s="30" t="n"/>
      <c r="T24" s="30" t="n"/>
      <c r="U24" s="30" t="n"/>
      <c r="V24" s="30" t="n"/>
      <c r="W24" s="30" t="n"/>
      <c r="X24" s="30" t="n"/>
      <c r="Y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inlineStr">
        <is>
          <t>A and R</t>
        </is>
      </c>
      <c r="S26" s="30" t="inlineStr">
        <is>
          <t>R</t>
        </is>
      </c>
      <c r="T26" s="30" t="n"/>
      <c r="U26" s="30" t="n"/>
      <c r="V26" s="30" t="n"/>
      <c r="W26" s="30" t="n"/>
      <c r="X26" s="30" t="n"/>
      <c r="Y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R</t>
        </is>
      </c>
      <c r="J27" s="30" t="inlineStr">
        <is>
          <t>A and R</t>
        </is>
      </c>
      <c r="K27" s="30" t="n"/>
      <c r="L27" s="30" t="inlineStr">
        <is>
          <t>R</t>
        </is>
      </c>
      <c r="M27" s="30" t="inlineStr">
        <is>
          <t>R</t>
        </is>
      </c>
      <c r="N27" s="30" t="n"/>
      <c r="O27" s="30" t="n"/>
      <c r="P27" s="30" t="n"/>
      <c r="Q27" s="30" t="n"/>
      <c r="R27" s="30" t="inlineStr">
        <is>
          <t>A and R</t>
        </is>
      </c>
      <c r="S27" s="30" t="inlineStr">
        <is>
          <t>R (quant)</t>
        </is>
      </c>
      <c r="T27" s="30" t="n"/>
      <c r="U27" s="30" t="n"/>
      <c r="V27" s="30" t="n"/>
      <c r="W27" s="30" t="n"/>
      <c r="X27" s="30" t="n"/>
      <c r="Y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inlineStr">
        <is>
          <t>A and R</t>
        </is>
      </c>
      <c r="S28" s="30" t="inlineStr">
        <is>
          <t>R</t>
        </is>
      </c>
      <c r="T28" s="30" t="n"/>
      <c r="U28" s="30" t="n"/>
      <c r="V28" s="30" t="n"/>
      <c r="W28" s="30" t="n"/>
      <c r="X28" s="30" t="n"/>
      <c r="Y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inlineStr">
        <is>
          <t>A and R</t>
        </is>
      </c>
      <c r="S29" s="30" t="inlineStr">
        <is>
          <t>R</t>
        </is>
      </c>
      <c r="T29" s="30" t="n"/>
      <c r="U29" s="30" t="n"/>
      <c r="V29" s="30" t="n"/>
      <c r="W29" s="30" t="n"/>
      <c r="X29" s="30" t="n"/>
      <c r="Y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inlineStr">
        <is>
          <t>A and R</t>
        </is>
      </c>
      <c r="K33" s="30" t="n"/>
      <c r="L33" s="30" t="n"/>
      <c r="M33" s="30" t="n"/>
      <c r="N33" s="30" t="n"/>
      <c r="O33" s="30" t="inlineStr">
        <is>
          <t>R (quant)</t>
        </is>
      </c>
      <c r="P33" s="30" t="n"/>
      <c r="Q33" s="30" t="n"/>
      <c r="R33" s="30" t="n"/>
      <c r="S33" s="30" t="n"/>
      <c r="T33" s="30" t="n"/>
      <c r="U33" s="30" t="n"/>
      <c r="V33" s="30" t="n"/>
      <c r="W33" s="30" t="n"/>
      <c r="X33" s="30" t="n"/>
      <c r="Y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inlineStr">
        <is>
          <t>A and R</t>
        </is>
      </c>
      <c r="K34" s="30" t="n"/>
      <c r="L34" s="30" t="n"/>
      <c r="M34" s="30" t="n"/>
      <c r="N34" s="30" t="n"/>
      <c r="O34" s="30" t="inlineStr">
        <is>
          <t>R (quant)</t>
        </is>
      </c>
      <c r="P34" s="30" t="n"/>
      <c r="Q34" s="30" t="n"/>
      <c r="R34" s="30" t="n"/>
      <c r="S34" s="30" t="n"/>
      <c r="T34" s="30" t="n"/>
      <c r="U34" s="30" t="n"/>
      <c r="V34" s="30" t="n"/>
      <c r="W34" s="30" t="n"/>
      <c r="X34" s="30" t="n"/>
      <c r="Y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inlineStr">
        <is>
          <t>A and R</t>
        </is>
      </c>
      <c r="K35" s="30" t="n"/>
      <c r="L35" s="30" t="inlineStr">
        <is>
          <t>R</t>
        </is>
      </c>
      <c r="M35" s="30" t="n"/>
      <c r="N35" s="30" t="n"/>
      <c r="O35" s="30" t="n"/>
      <c r="P35" s="30" t="n"/>
      <c r="Q35" s="30" t="n"/>
      <c r="R35" s="30" t="n"/>
      <c r="S35" s="30" t="n"/>
      <c r="T35" s="30" t="n"/>
      <c r="U35" s="30" t="n"/>
      <c r="V35" s="30" t="n"/>
      <c r="W35" s="30" t="n"/>
      <c r="X35" s="30" t="n"/>
      <c r="Y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inlineStr">
        <is>
          <t>A and R</t>
        </is>
      </c>
      <c r="S37" s="30" t="n"/>
      <c r="T37" s="30" t="inlineStr">
        <is>
          <t>R</t>
        </is>
      </c>
      <c r="U37" s="30" t="n"/>
      <c r="V37" s="30" t="n"/>
      <c r="W37" s="30" t="n"/>
      <c r="X37" s="30" t="n"/>
      <c r="Y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inlineStr">
        <is>
          <t>A and R</t>
        </is>
      </c>
      <c r="S39" s="30" t="n"/>
      <c r="T39" s="30" t="inlineStr">
        <is>
          <t>R</t>
        </is>
      </c>
      <c r="U39" s="30" t="n"/>
      <c r="V39" s="30" t="n"/>
      <c r="W39" s="30" t="n"/>
      <c r="X39" s="30" t="n"/>
      <c r="Y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inlineStr">
        <is>
          <t>A and R</t>
        </is>
      </c>
      <c r="K41" s="30" t="inlineStr">
        <is>
          <t>R</t>
        </is>
      </c>
      <c r="L41" s="30" t="n"/>
      <c r="M41" s="30" t="n"/>
      <c r="N41" s="30" t="n"/>
      <c r="O41" s="30" t="n"/>
      <c r="P41" s="30" t="n"/>
      <c r="Q41" s="30" t="inlineStr">
        <is>
          <t>R</t>
        </is>
      </c>
      <c r="R41" s="30" t="n"/>
      <c r="S41" s="30" t="n"/>
      <c r="T41" s="30" t="n"/>
      <c r="U41" s="30" t="n"/>
      <c r="V41" s="30" t="n"/>
      <c r="W41" s="30" t="n"/>
      <c r="X41" s="30" t="n"/>
      <c r="Y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inlineStr">
        <is>
          <t>A and R</t>
        </is>
      </c>
      <c r="K44" s="30" t="n"/>
      <c r="L44" s="30" t="n"/>
      <c r="M44" s="30" t="n"/>
      <c r="N44" s="30" t="n"/>
      <c r="O44" s="30" t="inlineStr">
        <is>
          <t>R (quant)</t>
        </is>
      </c>
      <c r="P44" s="30" t="n"/>
      <c r="Q44" s="30" t="n"/>
      <c r="R44" s="30" t="n"/>
      <c r="S44" s="30" t="n"/>
      <c r="T44" s="30" t="n"/>
      <c r="U44" s="30" t="n"/>
      <c r="V44" s="30" t="n"/>
      <c r="W44" s="30" t="n"/>
      <c r="X44" s="30" t="n"/>
      <c r="Y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inlineStr">
        <is>
          <t>A and R</t>
        </is>
      </c>
      <c r="K45" s="30" t="n"/>
      <c r="L45" s="30" t="n"/>
      <c r="M45" s="30" t="n"/>
      <c r="N45" s="30" t="n"/>
      <c r="O45" s="30" t="inlineStr">
        <is>
          <t>R</t>
        </is>
      </c>
      <c r="P45" s="30" t="n"/>
      <c r="Q45" s="30" t="n"/>
      <c r="R45" s="30" t="n"/>
      <c r="S45" s="30" t="n"/>
      <c r="T45" s="30" t="n"/>
      <c r="U45" s="30" t="n"/>
      <c r="V45" s="30" t="n"/>
      <c r="W45" s="30" t="n"/>
      <c r="X45" s="30" t="n"/>
      <c r="Y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inlineStr">
        <is>
          <t>A and R</t>
        </is>
      </c>
      <c r="K46" s="30" t="n"/>
      <c r="L46" s="30" t="n"/>
      <c r="M46" s="30" t="n"/>
      <c r="N46" s="30" t="n"/>
      <c r="O46" s="30" t="inlineStr">
        <is>
          <t>R</t>
        </is>
      </c>
      <c r="P46" s="30" t="n"/>
      <c r="Q46" s="30" t="n"/>
      <c r="R46" s="30" t="n"/>
      <c r="S46" s="30" t="n"/>
      <c r="T46" s="30" t="n"/>
      <c r="U46" s="30" t="n"/>
      <c r="V46" s="30" t="n"/>
      <c r="W46" s="30" t="n"/>
      <c r="X46" s="30" t="n"/>
      <c r="Y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inlineStr">
        <is>
          <t>A and R</t>
        </is>
      </c>
      <c r="K47" s="30" t="n"/>
      <c r="L47" s="30" t="n"/>
      <c r="M47" s="30" t="n"/>
      <c r="N47" s="30" t="n"/>
      <c r="O47" s="30" t="inlineStr">
        <is>
          <t>R</t>
        </is>
      </c>
      <c r="P47" s="30" t="n"/>
      <c r="Q47" s="30" t="n"/>
      <c r="R47" s="30" t="n"/>
      <c r="S47" s="30" t="n"/>
      <c r="T47" s="30" t="n"/>
      <c r="U47" s="30" t="n"/>
      <c r="V47" s="30" t="n"/>
      <c r="W47" s="30" t="n"/>
      <c r="X47" s="30" t="n"/>
      <c r="Y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inlineStr">
        <is>
          <t>A and R</t>
        </is>
      </c>
      <c r="S49" s="30" t="inlineStr">
        <is>
          <t>R</t>
        </is>
      </c>
      <c r="T49" s="30" t="n"/>
      <c r="U49" s="30" t="n"/>
      <c r="V49" s="30" t="n"/>
      <c r="W49" s="30" t="n"/>
      <c r="X49" s="30" t="n"/>
      <c r="Y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inlineStr">
        <is>
          <t>A and R</t>
        </is>
      </c>
      <c r="K50" s="30" t="n"/>
      <c r="L50" s="30" t="n"/>
      <c r="M50" s="30" t="n"/>
      <c r="N50" s="30" t="n"/>
      <c r="O50" s="30" t="inlineStr">
        <is>
          <t>R</t>
        </is>
      </c>
      <c r="P50" s="30" t="n"/>
      <c r="Q50" s="30" t="n"/>
      <c r="R50" s="30" t="n"/>
      <c r="S50" s="30" t="n"/>
      <c r="T50" s="30" t="n"/>
      <c r="U50" s="30" t="n"/>
      <c r="V50" s="30" t="n"/>
      <c r="W50" s="30" t="n"/>
      <c r="X50" s="30" t="n"/>
      <c r="Y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inlineStr">
        <is>
          <t>A and R</t>
        </is>
      </c>
      <c r="K51" s="30" t="n"/>
      <c r="L51" s="30" t="n"/>
      <c r="M51" s="30" t="inlineStr">
        <is>
          <t>R</t>
        </is>
      </c>
      <c r="N51" s="30" t="n"/>
      <c r="O51" s="30" t="inlineStr">
        <is>
          <t>R</t>
        </is>
      </c>
      <c r="P51" s="30" t="n"/>
      <c r="Q51" s="30" t="n"/>
      <c r="R51" s="30" t="n"/>
      <c r="S51" s="30" t="n"/>
      <c r="T51" s="30" t="n"/>
      <c r="U51" s="30" t="n"/>
      <c r="V51" s="30" t="n"/>
      <c r="W51" s="30" t="n"/>
      <c r="X51" s="30" t="n"/>
      <c r="Y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inlineStr">
        <is>
          <t>A and R</t>
        </is>
      </c>
      <c r="K54" s="30" t="n"/>
      <c r="L54" s="30" t="inlineStr">
        <is>
          <t>R</t>
        </is>
      </c>
      <c r="M54" s="30" t="n"/>
      <c r="N54" s="30" t="n"/>
      <c r="O54" s="30" t="n"/>
      <c r="P54" s="30" t="inlineStr">
        <is>
          <t>R</t>
        </is>
      </c>
      <c r="Q54" s="30" t="n"/>
      <c r="R54" s="30" t="n"/>
      <c r="S54" s="30" t="n"/>
      <c r="T54" s="30" t="n"/>
      <c r="U54" s="30" t="n"/>
      <c r="V54" s="30" t="n"/>
      <c r="W54" s="30" t="n"/>
      <c r="X54" s="30" t="n"/>
      <c r="Y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inlineStr">
        <is>
          <t>A and R</t>
        </is>
      </c>
      <c r="K55" s="30" t="n"/>
      <c r="L55" s="30" t="inlineStr">
        <is>
          <t>R</t>
        </is>
      </c>
      <c r="M55" s="30" t="n"/>
      <c r="N55" s="30" t="n"/>
      <c r="O55" s="30" t="n"/>
      <c r="P55" s="30" t="inlineStr">
        <is>
          <t>R</t>
        </is>
      </c>
      <c r="Q55" s="30" t="n"/>
      <c r="R55" s="30" t="n"/>
      <c r="S55" s="30" t="n"/>
      <c r="T55" s="30" t="n"/>
      <c r="U55" s="30" t="n"/>
      <c r="V55" s="30" t="n"/>
      <c r="W55" s="30" t="n"/>
      <c r="X55" s="30" t="n"/>
      <c r="Y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inlineStr">
        <is>
          <t>A and R</t>
        </is>
      </c>
      <c r="K59" s="30" t="inlineStr">
        <is>
          <t>R</t>
        </is>
      </c>
      <c r="L59" s="30" t="n"/>
      <c r="M59" s="30" t="n"/>
      <c r="N59" s="30" t="n"/>
      <c r="O59" s="30" t="n"/>
      <c r="P59" s="30" t="n"/>
      <c r="Q59" s="30" t="n"/>
      <c r="R59" s="30" t="n"/>
      <c r="S59" s="30" t="n"/>
      <c r="T59" s="30" t="n"/>
      <c r="U59" s="30" t="n"/>
      <c r="V59" s="30" t="n"/>
      <c r="W59" s="30" t="n"/>
      <c r="X59" s="30" t="n"/>
      <c r="Y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inlineStr">
        <is>
          <t>A and R</t>
        </is>
      </c>
      <c r="K60" s="30" t="inlineStr">
        <is>
          <t>R</t>
        </is>
      </c>
      <c r="L60" s="30" t="n"/>
      <c r="M60" s="30" t="n"/>
      <c r="N60" s="30" t="n"/>
      <c r="O60" s="30" t="n"/>
      <c r="P60" s="30" t="n"/>
      <c r="Q60" s="30" t="n"/>
      <c r="R60" s="30" t="n"/>
      <c r="S60" s="30" t="n"/>
      <c r="T60" s="30" t="n"/>
      <c r="U60" s="30" t="n"/>
      <c r="V60" s="30" t="n"/>
      <c r="W60" s="30" t="n"/>
      <c r="X60" s="30" t="n"/>
      <c r="Y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inlineStr">
        <is>
          <t>A and R</t>
        </is>
      </c>
      <c r="K61" s="30" t="inlineStr">
        <is>
          <t>R</t>
        </is>
      </c>
      <c r="L61" s="30" t="n"/>
      <c r="M61" s="30" t="n"/>
      <c r="N61" s="30" t="n"/>
      <c r="O61" s="30" t="n"/>
      <c r="P61" s="30" t="n"/>
      <c r="Q61" s="30" t="n"/>
      <c r="R61" s="30" t="n"/>
      <c r="S61" s="30" t="n"/>
      <c r="T61" s="30" t="n"/>
      <c r="U61" s="30" t="n"/>
      <c r="V61" s="30" t="n"/>
      <c r="W61" s="30" t="n"/>
      <c r="X61" s="30" t="n"/>
      <c r="Y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inlineStr">
        <is>
          <t>A and R</t>
        </is>
      </c>
      <c r="K62" s="30" t="inlineStr">
        <is>
          <t>R</t>
        </is>
      </c>
      <c r="L62" s="30" t="n"/>
      <c r="M62" s="30" t="n"/>
      <c r="N62" s="30" t="n"/>
      <c r="O62" s="30" t="n"/>
      <c r="P62" s="30" t="n"/>
      <c r="Q62" s="30" t="n"/>
      <c r="R62" s="30" t="n"/>
      <c r="S62" s="30" t="n"/>
      <c r="T62" s="30" t="n"/>
      <c r="U62" s="30" t="n"/>
      <c r="V62" s="30" t="n"/>
      <c r="W62" s="30" t="n"/>
      <c r="X62" s="30" t="n"/>
      <c r="Y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inlineStr">
        <is>
          <t>A and R</t>
        </is>
      </c>
      <c r="K65" s="30" t="n"/>
      <c r="L65" s="30" t="n"/>
      <c r="M65" s="30" t="n"/>
      <c r="N65" s="30" t="n"/>
      <c r="O65" s="30" t="inlineStr">
        <is>
          <t>R (quant)</t>
        </is>
      </c>
      <c r="P65" s="30" t="n"/>
      <c r="Q65" s="30" t="n"/>
      <c r="R65" s="30" t="n"/>
      <c r="S65" s="30" t="n"/>
      <c r="T65" s="30" t="n"/>
      <c r="U65" s="30" t="n"/>
      <c r="V65" s="30" t="n"/>
      <c r="W65" s="30" t="n"/>
      <c r="X65" s="30" t="n"/>
      <c r="Y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inlineStr">
        <is>
          <t>A and R</t>
        </is>
      </c>
      <c r="K67" s="30" t="n"/>
      <c r="L67" s="30" t="n"/>
      <c r="M67" s="30" t="n"/>
      <c r="N67" s="30" t="n"/>
      <c r="O67" s="30" t="inlineStr">
        <is>
          <t>R (quant)</t>
        </is>
      </c>
      <c r="P67" s="30" t="n"/>
      <c r="Q67" s="30" t="n"/>
      <c r="R67" s="30" t="n"/>
      <c r="S67" s="30" t="n"/>
      <c r="T67" s="30" t="n"/>
      <c r="U67" s="30" t="n"/>
      <c r="V67" s="30" t="n"/>
      <c r="W67" s="30" t="n"/>
      <c r="X67" s="30" t="n"/>
      <c r="Y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inlineStr">
        <is>
          <t>A and R</t>
        </is>
      </c>
      <c r="K70" s="30" t="n"/>
      <c r="L70" s="30" t="n"/>
      <c r="M70" s="30" t="inlineStr">
        <is>
          <t>R</t>
        </is>
      </c>
      <c r="N70" s="30" t="n"/>
      <c r="O70" s="30" t="n"/>
      <c r="P70" s="30" t="n"/>
      <c r="Q70" s="30" t="n"/>
      <c r="R70" s="30" t="n"/>
      <c r="S70" s="30" t="n"/>
      <c r="T70" s="30" t="n"/>
      <c r="U70" s="30" t="n"/>
      <c r="V70" s="30" t="n"/>
      <c r="W70" s="30" t="n"/>
      <c r="X70" s="30" t="n"/>
      <c r="Y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inlineStr">
        <is>
          <t>A and R</t>
        </is>
      </c>
      <c r="K72" s="30" t="n"/>
      <c r="L72" s="30" t="n"/>
      <c r="M72" s="30" t="inlineStr">
        <is>
          <t>R (quant)</t>
        </is>
      </c>
      <c r="N72" s="30" t="n"/>
      <c r="O72" s="30" t="n"/>
      <c r="P72" s="30" t="n"/>
      <c r="Q72" s="30" t="n"/>
      <c r="R72" s="30" t="n"/>
      <c r="S72" s="30" t="n"/>
      <c r="T72" s="30" t="n"/>
      <c r="U72" s="30" t="n"/>
      <c r="V72" s="30" t="n"/>
      <c r="W72" s="30" t="n"/>
      <c r="X72" s="30" t="n"/>
      <c r="Y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inlineStr">
        <is>
          <t>A and R</t>
        </is>
      </c>
      <c r="K73" s="30" t="n"/>
      <c r="L73" s="30" t="n"/>
      <c r="M73" s="30" t="inlineStr">
        <is>
          <t>R (quant)</t>
        </is>
      </c>
      <c r="N73" s="30" t="n"/>
      <c r="O73" s="30" t="n"/>
      <c r="P73" s="30" t="n"/>
      <c r="Q73" s="30" t="n"/>
      <c r="R73" s="30" t="n"/>
      <c r="S73" s="30" t="n"/>
      <c r="T73" s="30" t="n"/>
      <c r="U73" s="30" t="n"/>
      <c r="V73" s="30" t="n"/>
      <c r="W73" s="30" t="n"/>
      <c r="X73" s="30" t="n"/>
      <c r="Y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inlineStr">
        <is>
          <t>A and R</t>
        </is>
      </c>
      <c r="K76" s="30" t="n"/>
      <c r="L76" s="30" t="inlineStr">
        <is>
          <t>R</t>
        </is>
      </c>
      <c r="M76" s="30" t="inlineStr">
        <is>
          <t>R</t>
        </is>
      </c>
      <c r="N76" s="30" t="n"/>
      <c r="O76" s="30" t="n"/>
      <c r="P76" s="30" t="n"/>
      <c r="Q76" s="30" t="n"/>
      <c r="R76" s="30" t="n"/>
      <c r="S76" s="30" t="n"/>
      <c r="T76" s="30" t="n"/>
      <c r="U76" s="30" t="n"/>
      <c r="V76" s="30" t="n"/>
      <c r="W76" s="30" t="n"/>
      <c r="X76" s="30" t="n"/>
      <c r="Y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inlineStr">
        <is>
          <t>A and R</t>
        </is>
      </c>
      <c r="K79" s="30" t="n"/>
      <c r="L79" s="30" t="n"/>
      <c r="M79" s="30" t="n"/>
      <c r="N79" s="30" t="inlineStr">
        <is>
          <t>R (quant)</t>
        </is>
      </c>
      <c r="O79" s="30" t="n"/>
      <c r="P79" s="30" t="n"/>
      <c r="Q79" s="30" t="n"/>
      <c r="R79" s="30" t="n"/>
      <c r="S79" s="30" t="n"/>
      <c r="T79" s="30" t="n"/>
      <c r="U79" s="30" t="n"/>
      <c r="V79" s="30" t="n"/>
      <c r="W79" s="30" t="n"/>
      <c r="X79" s="30" t="n"/>
      <c r="Y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inlineStr">
        <is>
          <t>A and R</t>
        </is>
      </c>
      <c r="K80" s="30" t="n"/>
      <c r="L80" s="30" t="inlineStr">
        <is>
          <t>R</t>
        </is>
      </c>
      <c r="M80" s="30" t="n"/>
      <c r="N80" s="30" t="inlineStr">
        <is>
          <t>R</t>
        </is>
      </c>
      <c r="O80" s="30" t="n"/>
      <c r="P80" s="30" t="n"/>
      <c r="Q80" s="30" t="n"/>
      <c r="R80" s="30" t="n"/>
      <c r="S80" s="30" t="n"/>
      <c r="T80" s="30" t="n"/>
      <c r="U80" s="30" t="n"/>
      <c r="V80" s="30" t="n"/>
      <c r="W80" s="30" t="n"/>
      <c r="X80" s="30" t="n"/>
      <c r="Y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R</t>
        </is>
      </c>
      <c r="J84" s="30" t="n"/>
      <c r="K84" s="30" t="n"/>
      <c r="L84" s="30" t="n"/>
      <c r="M84" s="30" t="n"/>
      <c r="N84" s="30" t="n"/>
      <c r="O84" s="30" t="n"/>
      <c r="P84" s="30" t="n"/>
      <c r="Q84" s="30" t="n"/>
      <c r="R84" s="30" t="inlineStr">
        <is>
          <t>A and R</t>
        </is>
      </c>
      <c r="S84" s="30" t="n"/>
      <c r="T84" s="30" t="n"/>
      <c r="U84" s="30" t="inlineStr">
        <is>
          <t>R</t>
        </is>
      </c>
      <c r="V84" s="30" t="n"/>
      <c r="W84" s="30" t="n"/>
      <c r="X84" s="30" t="inlineStr">
        <is>
          <t>R</t>
        </is>
      </c>
      <c r="Y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R</t>
        </is>
      </c>
      <c r="J85" s="30" t="inlineStr">
        <is>
          <t>A and R</t>
        </is>
      </c>
      <c r="K85" s="30" t="inlineStr">
        <is>
          <t>R (quant)</t>
        </is>
      </c>
      <c r="L85" s="30" t="inlineStr">
        <is>
          <t>R</t>
        </is>
      </c>
      <c r="M85" s="30" t="n"/>
      <c r="N85" s="30" t="n"/>
      <c r="O85" s="30" t="n"/>
      <c r="P85" s="30" t="n"/>
      <c r="Q85" s="30" t="n"/>
      <c r="R85" s="30" t="n"/>
      <c r="S85" s="30" t="n"/>
      <c r="T85" s="30" t="n"/>
      <c r="U85" s="30" t="n"/>
      <c r="V85" s="30" t="n"/>
      <c r="W85" s="30" t="n"/>
      <c r="X85" s="30" t="n"/>
      <c r="Y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R</t>
        </is>
      </c>
      <c r="J86" s="30" t="inlineStr">
        <is>
          <t>A and R</t>
        </is>
      </c>
      <c r="K86" s="30" t="n"/>
      <c r="L86" s="30" t="inlineStr">
        <is>
          <t>R</t>
        </is>
      </c>
      <c r="M86" s="30" t="inlineStr">
        <is>
          <t>R</t>
        </is>
      </c>
      <c r="N86" s="30" t="n"/>
      <c r="O86" s="30" t="inlineStr">
        <is>
          <t>R</t>
        </is>
      </c>
      <c r="P86" s="30" t="inlineStr">
        <is>
          <t>R</t>
        </is>
      </c>
      <c r="Q86" s="30" t="n"/>
      <c r="R86" s="30" t="inlineStr">
        <is>
          <t>A and R</t>
        </is>
      </c>
      <c r="S86" s="30" t="n"/>
      <c r="T86" s="30" t="inlineStr">
        <is>
          <t>R</t>
        </is>
      </c>
      <c r="U86" s="30" t="inlineStr">
        <is>
          <t>R</t>
        </is>
      </c>
      <c r="V86" s="30" t="inlineStr">
        <is>
          <t>R</t>
        </is>
      </c>
      <c r="W86" s="30" t="n"/>
      <c r="X86" s="30" t="n"/>
      <c r="Y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inlineStr">
        <is>
          <t>A and R</t>
        </is>
      </c>
      <c r="K87" s="30" t="n"/>
      <c r="L87" s="30" t="inlineStr">
        <is>
          <t>R</t>
        </is>
      </c>
      <c r="M87" s="30" t="inlineStr">
        <is>
          <t>R</t>
        </is>
      </c>
      <c r="N87" s="30" t="n"/>
      <c r="O87" s="30" t="inlineStr">
        <is>
          <t>R</t>
        </is>
      </c>
      <c r="P87" s="30" t="inlineStr">
        <is>
          <t>R</t>
        </is>
      </c>
      <c r="Q87" s="30" t="n"/>
      <c r="R87" s="30" t="n"/>
      <c r="S87" s="30" t="n"/>
      <c r="T87" s="30" t="n"/>
      <c r="U87" s="30" t="n"/>
      <c r="V87" s="30" t="n"/>
      <c r="W87" s="30" t="n"/>
      <c r="X87" s="30" t="n"/>
      <c r="Y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SR26 sustainability reporting</t>
        </is>
      </c>
    </row>
    <row r="2">
      <c r="B2" s="3" t="inlineStr">
        <is>
          <t>4. Request tracker</t>
        </is>
      </c>
    </row>
    <row r="4">
      <c r="B4" s="31" t="inlineStr">
        <is>
          <t>Summary</t>
        </is>
      </c>
    </row>
    <row r="5">
      <c r="C5" s="32" t="inlineStr">
        <is>
          <t>Not sent</t>
        </is>
      </c>
      <c r="E5" s="32" t="inlineStr">
        <is>
          <t>Sent</t>
        </is>
      </c>
      <c r="G5" s="32" t="inlineStr">
        <is>
          <t>1:1 meeting</t>
        </is>
      </c>
      <c r="I5" s="32" t="inlineStr">
        <is>
          <t>Received</t>
        </is>
      </c>
      <c r="L5" s="32" t="inlineStr">
        <is>
          <t>Response rate</t>
        </is>
      </c>
      <c r="N5" s="32" t="inlineStr">
        <is>
          <t>Rows owner-confirmed</t>
        </is>
      </c>
    </row>
    <row r="6">
      <c r="C6">
        <f>COUNTIF($N$10:$N$26,"Not sent")</f>
        <v/>
      </c>
      <c r="E6">
        <f>COUNTIF($N$10:$N$26,"Sent")</f>
        <v/>
      </c>
      <c r="G6">
        <f>COUNTIF($N$10:$N$26,"1:1 meeting")</f>
        <v/>
      </c>
      <c r="I6">
        <f>COUNTIF($N$10:$N$26,"Received")</f>
        <v/>
      </c>
      <c r="L6" s="43">
        <f>IFERROR((COUNTIF($N$10:$N$26,"Received")+COUNTIF($N$10:$N$26,"First review")+COUNTIF($N$10:$N$26,"Follow-up")+COUNTIF($N$10:$N$26,"Complete"))/(COUNTA($N$10:$N$26)-COUNTIF($N$10:$N$26,"Not required")),0)</f>
        <v/>
      </c>
      <c r="N6">
        <f>SUM($M$10:$M$26)&amp;" / "&amp;SUM($F$10:$F$26)</f>
        <v/>
      </c>
    </row>
    <row r="7">
      <c r="C7" s="32" t="inlineStr">
        <is>
          <t>First review</t>
        </is>
      </c>
      <c r="E7" s="32" t="inlineStr">
        <is>
          <t>Follow-up</t>
        </is>
      </c>
      <c r="G7" s="32" t="inlineStr">
        <is>
          <t>Complete</t>
        </is>
      </c>
      <c r="I7" s="32" t="inlineStr">
        <is>
          <t>Not required</t>
        </is>
      </c>
    </row>
    <row r="8">
      <c r="C8">
        <f>COUNTIF($N$10:$N$26,"First review")</f>
        <v/>
      </c>
      <c r="E8">
        <f>COUNTIF($N$10:$N$26,"Follow-up")</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Optional 1:1 meeting (date)</t>
        </is>
      </c>
      <c r="L9" s="6" t="inlineStr">
        <is>
          <t>Rows answered (auto)</t>
        </is>
      </c>
      <c r="M9" s="6" t="inlineStr">
        <is>
          <t>Owner confirmed rows (auto)</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SR26 sustainability reporting request.xlsx</t>
        </is>
      </c>
      <c r="H10" s="44" t="n"/>
      <c r="I10" s="44" t="n">
        <v>46371</v>
      </c>
      <c r="J10" s="44">
        <f>IF(I10="","",I10-7)</f>
        <v/>
      </c>
      <c r="K10" s="44" t="inlineStr"/>
      <c r="L10" s="8">
        <f>SUMPRODUCT(--((LEN('Faculties'!$L$10:$L$19)+LEN('Faculties'!$M$10:$M$19))&gt;0))</f>
        <v/>
      </c>
      <c r="M10" s="8">
        <f>COUNTIF('Faculties'!$P$10:$P$19,"Yes")</f>
        <v/>
      </c>
      <c r="N10" s="8" t="inlineStr">
        <is>
          <t>Not sent</t>
        </is>
      </c>
      <c r="O10" s="8">
        <f>IF(OR(I10="",L10&gt;=F10),"",MAX(0,TODAY()-I10))</f>
        <v/>
      </c>
      <c r="P10" s="8" t="inlineStr"/>
    </row>
    <row r="11">
      <c r="B11" s="8" t="inlineStr">
        <is>
          <t>F2</t>
        </is>
      </c>
      <c r="C11" s="8" t="inlineStr">
        <is>
          <t>Faculty</t>
        </is>
      </c>
      <c r="D11" s="8" t="inlineStr">
        <is>
          <t>ARTS – Faculty of Arts</t>
        </is>
      </c>
      <c r="E11" s="8" t="inlineStr">
        <is>
          <t>TBC</t>
        </is>
      </c>
      <c r="F11" s="8" t="n">
        <v>9</v>
      </c>
      <c r="G11" s="8" t="inlineStr">
        <is>
          <t>ARTS - SR26 sustainability reporting request.xlsx</t>
        </is>
      </c>
      <c r="H11" s="44" t="n"/>
      <c r="I11" s="44" t="n">
        <v>46371</v>
      </c>
      <c r="J11" s="44">
        <f>IF(I11="","",I11-7)</f>
        <v/>
      </c>
      <c r="K11" s="44" t="inlineStr"/>
      <c r="L11" s="8">
        <f>SUMPRODUCT(--((LEN('Faculties'!$L$26:$L$35)+LEN('Faculties'!$M$26:$M$35))&gt;0))</f>
        <v/>
      </c>
      <c r="M11" s="8">
        <f>COUNTIF('Faculties'!$P$26:$P$35,"Yes")</f>
        <v/>
      </c>
      <c r="N11" s="8" t="inlineStr">
        <is>
          <t>Not sent</t>
        </is>
      </c>
      <c r="O11" s="8">
        <f>IF(OR(I11="",L11&gt;=F11),"",MAX(0,TODAY()-I11))</f>
        <v/>
      </c>
      <c r="P11" s="8" t="inlineStr"/>
    </row>
    <row r="12">
      <c r="B12" s="8" t="inlineStr">
        <is>
          <t>F3</t>
        </is>
      </c>
      <c r="C12" s="8" t="inlineStr">
        <is>
          <t>Faculty</t>
        </is>
      </c>
      <c r="D12" s="8" t="inlineStr">
        <is>
          <t>FBE – Faculty of Business and Economics</t>
        </is>
      </c>
      <c r="E12" s="8" t="inlineStr">
        <is>
          <t>TBC</t>
        </is>
      </c>
      <c r="F12" s="8" t="n">
        <v>9</v>
      </c>
      <c r="G12" s="8" t="inlineStr">
        <is>
          <t>FBE - SR26 sustainability reporting request.xlsx</t>
        </is>
      </c>
      <c r="H12" s="44" t="n"/>
      <c r="I12" s="44" t="n">
        <v>46371</v>
      </c>
      <c r="J12" s="44">
        <f>IF(I12="","",I12-7)</f>
        <v/>
      </c>
      <c r="K12" s="44" t="inlineStr"/>
      <c r="L12" s="8">
        <f>SUMPRODUCT(--((LEN('Faculties'!$L$42:$L$51)+LEN('Faculties'!$M$42:$M$51))&gt;0))</f>
        <v/>
      </c>
      <c r="M12" s="8">
        <f>COUNTIF('Faculties'!$P$42:$P$51,"Yes")</f>
        <v/>
      </c>
      <c r="N12" s="8" t="inlineStr">
        <is>
          <t>Not sent</t>
        </is>
      </c>
      <c r="O12" s="8">
        <f>IF(OR(I12="",L12&gt;=F12),"",MAX(0,TODAY()-I12))</f>
        <v/>
      </c>
      <c r="P12" s="8" t="inlineStr"/>
    </row>
    <row r="13">
      <c r="B13" s="8" t="inlineStr">
        <is>
          <t>F4</t>
        </is>
      </c>
      <c r="C13" s="8" t="inlineStr">
        <is>
          <t>Faculty</t>
        </is>
      </c>
      <c r="D13" s="8" t="inlineStr">
        <is>
          <t>SCI – Faculty of Science</t>
        </is>
      </c>
      <c r="E13" s="8" t="inlineStr">
        <is>
          <t>TBC</t>
        </is>
      </c>
      <c r="F13" s="8" t="n">
        <v>9</v>
      </c>
      <c r="G13" s="8" t="inlineStr">
        <is>
          <t>SCI - SR26 sustainability reporting request.xlsx</t>
        </is>
      </c>
      <c r="H13" s="44" t="n"/>
      <c r="I13" s="44" t="n">
        <v>46371</v>
      </c>
      <c r="J13" s="44">
        <f>IF(I13="","",I13-7)</f>
        <v/>
      </c>
      <c r="K13" s="44" t="inlineStr"/>
      <c r="L13" s="8">
        <f>SUMPRODUCT(--((LEN('Faculties'!$L$58:$L$67)+LEN('Faculties'!$M$58:$M$67))&gt;0))</f>
        <v/>
      </c>
      <c r="M13" s="8">
        <f>COUNTIF('Faculties'!$P$58:$P$67,"Yes")</f>
        <v/>
      </c>
      <c r="N13" s="8" t="inlineStr">
        <is>
          <t>Not sent</t>
        </is>
      </c>
      <c r="O13" s="8">
        <f>IF(OR(I13="",L13&gt;=F13),"",MAX(0,TODAY()-I13))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SR26 sustainability reporting request.xlsx</t>
        </is>
      </c>
      <c r="H14" s="44" t="n"/>
      <c r="I14" s="44" t="n">
        <v>46371</v>
      </c>
      <c r="J14" s="44">
        <f>IF(I14="","",I14-7)</f>
        <v/>
      </c>
      <c r="K14" s="44" t="inlineStr"/>
      <c r="L14" s="8">
        <f>SUMPRODUCT(--((LEN('CI&amp;S'!$L$10:$L$15)+LEN('CI&amp;S'!$M$10:$M$15))&gt;0))</f>
        <v/>
      </c>
      <c r="M14" s="8">
        <f>COUNTIF('CI&amp;S'!$P$10:$P$15,"Yes")</f>
        <v/>
      </c>
      <c r="N14" s="8" t="inlineStr">
        <is>
          <t>Not sent</t>
        </is>
      </c>
      <c r="O14" s="8">
        <f>IF(OR(I14="",L14&gt;=F14),"",MAX(0,TODAY()-I14))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SR26 sustainability reporting request.xlsx</t>
        </is>
      </c>
      <c r="H15" s="44" t="n"/>
      <c r="I15" s="44" t="n">
        <v>46371</v>
      </c>
      <c r="J15" s="44">
        <f>IF(I15="","",I15-7)</f>
        <v/>
      </c>
      <c r="K15" s="44" t="inlineStr"/>
      <c r="L15" s="8">
        <f>SUMPRODUCT(--((LEN('CI&amp;S'!$L$22:$L$36)+LEN('CI&amp;S'!$M$22:$M$36))&gt;0))</f>
        <v/>
      </c>
      <c r="M15" s="8">
        <f>COUNTIF('CI&amp;S'!$P$22:$P$36,"Yes")</f>
        <v/>
      </c>
      <c r="N15" s="8" t="inlineStr">
        <is>
          <t>Not sent</t>
        </is>
      </c>
      <c r="O15" s="8">
        <f>IF(OR(I15="",L15&gt;=F15),"",MAX(0,TODAY()-I15))</f>
        <v/>
      </c>
      <c r="P15" s="8" t="inlineStr"/>
    </row>
    <row r="16">
      <c r="B16" s="8" t="inlineStr">
        <is>
          <t>C3</t>
        </is>
      </c>
      <c r="C16" s="8" t="inlineStr">
        <is>
          <t>Central</t>
        </is>
      </c>
      <c r="D16" s="8" t="inlineStr">
        <is>
          <t>CFOG – Procurement</t>
        </is>
      </c>
      <c r="E16" s="8" t="inlineStr">
        <is>
          <t>TBC</t>
        </is>
      </c>
      <c r="F16" s="8" t="n">
        <v>6</v>
      </c>
      <c r="G16" s="8" t="inlineStr">
        <is>
          <t>CFOG - SR26 sustainability reporting request.xlsx</t>
        </is>
      </c>
      <c r="H16" s="44" t="n"/>
      <c r="I16" s="44" t="n">
        <v>46371</v>
      </c>
      <c r="J16" s="44">
        <f>IF(I16="","",I16-7)</f>
        <v/>
      </c>
      <c r="K16" s="44" t="inlineStr"/>
      <c r="L16" s="8">
        <f>SUMPRODUCT(--((LEN('CFOG'!$L$10:$L$16)+LEN('CFOG'!$M$10:$M$16))&gt;0))</f>
        <v/>
      </c>
      <c r="M16" s="8">
        <f>COUNTIF('CFOG'!$P$10:$P$16,"Yes")</f>
        <v/>
      </c>
      <c r="N16" s="8" t="inlineStr">
        <is>
          <t>Not sent</t>
        </is>
      </c>
      <c r="O16" s="8">
        <f>IF(OR(I16="",L16&gt;=F16),"",MAX(0,TODAY()-I16))</f>
        <v/>
      </c>
      <c r="P16" s="8" t="inlineStr"/>
    </row>
    <row r="17">
      <c r="B17" s="8" t="inlineStr">
        <is>
          <t>C4</t>
        </is>
      </c>
      <c r="C17" s="8" t="inlineStr">
        <is>
          <t>Central</t>
        </is>
      </c>
      <c r="D17" s="8" t="inlineStr">
        <is>
          <t>CFOG – Treasury &amp; Investments</t>
        </is>
      </c>
      <c r="E17" s="8" t="inlineStr">
        <is>
          <t>TBC</t>
        </is>
      </c>
      <c r="F17" s="8" t="n">
        <v>1</v>
      </c>
      <c r="G17" s="8" t="inlineStr">
        <is>
          <t>CFOG - SR26 sustainability reporting request.xlsx</t>
        </is>
      </c>
      <c r="H17" s="44" t="n"/>
      <c r="I17" s="44" t="n">
        <v>46371</v>
      </c>
      <c r="J17" s="44">
        <f>IF(I17="","",I17-7)</f>
        <v/>
      </c>
      <c r="K17" s="44" t="inlineStr"/>
      <c r="L17" s="8">
        <f>SUMPRODUCT(--((LEN('CFOG'!$L$23:$L$24)+LEN('CFOG'!$M$23:$M$24))&gt;0))</f>
        <v/>
      </c>
      <c r="M17" s="8">
        <f>COUNTIF('CFOG'!$P$23:$P$24,"Yes")</f>
        <v/>
      </c>
      <c r="N17" s="8" t="inlineStr">
        <is>
          <t>Not sent</t>
        </is>
      </c>
      <c r="O17" s="8">
        <f>IF(OR(I17="",L17&gt;=F17),"",MAX(0,TODAY()-I17))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SR26 sustainability reporting request.xlsx</t>
        </is>
      </c>
      <c r="H18" s="44" t="n"/>
      <c r="I18" s="44" t="n">
        <v>46371</v>
      </c>
      <c r="J18" s="44">
        <f>IF(I18="","",I18-7)</f>
        <v/>
      </c>
      <c r="K18" s="44" t="inlineStr"/>
      <c r="L18" s="8">
        <f>SUMPRODUCT(--((LEN('ESG'!$L$10:$L$17)+LEN('ESG'!$M$10:$M$17))&gt;0))</f>
        <v/>
      </c>
      <c r="M18" s="8">
        <f>COUNTIF('ESG'!$P$10:$P$17,"Yes")</f>
        <v/>
      </c>
      <c r="N18" s="8" t="inlineStr">
        <is>
          <t>Not sent</t>
        </is>
      </c>
      <c r="O18" s="8">
        <f>IF(OR(I18="",L18&gt;=F18),"",MAX(0,TODAY()-I18))</f>
        <v/>
      </c>
      <c r="P18" s="8" t="inlineStr"/>
    </row>
    <row r="19">
      <c r="B19" s="8" t="inlineStr">
        <is>
          <t>C6</t>
        </is>
      </c>
      <c r="C19" s="8" t="inlineStr">
        <is>
          <t>Central</t>
        </is>
      </c>
      <c r="D19" s="8" t="inlineStr">
        <is>
          <t>CIOG – Responsible AI &amp; digital</t>
        </is>
      </c>
      <c r="E19" s="8" t="inlineStr">
        <is>
          <t>TBC</t>
        </is>
      </c>
      <c r="F19" s="8" t="n">
        <v>4</v>
      </c>
      <c r="G19" s="8" t="inlineStr">
        <is>
          <t>CIOG - SR26 sustainability reporting request.xlsx</t>
        </is>
      </c>
      <c r="H19" s="44" t="n"/>
      <c r="I19" s="44" t="n">
        <v>46371</v>
      </c>
      <c r="J19" s="44">
        <f>IF(I19="","",I19-7)</f>
        <v/>
      </c>
      <c r="K19" s="44" t="inlineStr"/>
      <c r="L19" s="8">
        <f>SUMPRODUCT(--((LEN('CIOG'!$L$10:$L$14)+LEN('CIOG'!$M$10:$M$14))&gt;0))</f>
        <v/>
      </c>
      <c r="M19" s="8">
        <f>COUNTIF('CIOG'!$P$10:$P$14,"Yes")</f>
        <v/>
      </c>
      <c r="N19" s="8" t="inlineStr">
        <is>
          <t>Not sent</t>
        </is>
      </c>
      <c r="O19" s="8">
        <f>IF(OR(I19="",L19&gt;=F19),"",MAX(0,TODAY()-I19))</f>
        <v/>
      </c>
      <c r="P19" s="8" t="inlineStr"/>
    </row>
    <row r="20">
      <c r="B20" s="8" t="inlineStr">
        <is>
          <t>C7</t>
        </is>
      </c>
      <c r="C20" s="8" t="inlineStr">
        <is>
          <t>Central</t>
        </is>
      </c>
      <c r="D20" s="8" t="inlineStr">
        <is>
          <t>MRE – Research (incl. MBI – TBC)</t>
        </is>
      </c>
      <c r="E20" s="8" t="inlineStr">
        <is>
          <t>TBC</t>
        </is>
      </c>
      <c r="F20" s="8" t="n">
        <v>8</v>
      </c>
      <c r="G20" s="8" t="inlineStr">
        <is>
          <t>MRE - SR26 sustainability reporting request.xlsx</t>
        </is>
      </c>
      <c r="H20" s="44" t="n"/>
      <c r="I20" s="44" t="n">
        <v>46371</v>
      </c>
      <c r="J20" s="44">
        <f>IF(I20="","",I20-7)</f>
        <v/>
      </c>
      <c r="K20" s="44" t="inlineStr"/>
      <c r="L20" s="8">
        <f>SUMPRODUCT(--((LEN('MRE'!$L$10:$L$18)+LEN('MRE'!$M$10:$M$18))&gt;0))</f>
        <v/>
      </c>
      <c r="M20" s="8">
        <f>COUNTIF('MRE'!$P$10:$P$18,"Yes")</f>
        <v/>
      </c>
      <c r="N20" s="8" t="inlineStr">
        <is>
          <t>Not sent</t>
        </is>
      </c>
      <c r="O20" s="8">
        <f>IF(OR(I20="",L20&gt;=F20),"",MAX(0,TODAY()-I20))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SR26 sustainability reporting request.xlsx</t>
        </is>
      </c>
      <c r="H21" s="44" t="n"/>
      <c r="I21" s="44" t="n">
        <v>46371</v>
      </c>
      <c r="J21" s="44">
        <f>IF(I21="","",I21-7)</f>
        <v/>
      </c>
      <c r="K21" s="44" t="inlineStr"/>
      <c r="L21" s="8">
        <f>SUMPRODUCT(--((LEN('AC&amp;M'!$L$10:$L$14)+LEN('AC&amp;M'!$M$10:$M$14))&gt;0))</f>
        <v/>
      </c>
      <c r="M21" s="8">
        <f>COUNTIF('AC&amp;M'!$P$10:$P$14,"Yes")</f>
        <v/>
      </c>
      <c r="N21" s="8" t="inlineStr">
        <is>
          <t>Not sent</t>
        </is>
      </c>
      <c r="O21" s="8">
        <f>IF(OR(I21="",L21&gt;=F21),"",MAX(0,TODAY()-I21))</f>
        <v/>
      </c>
      <c r="P21" s="8" t="inlineStr"/>
    </row>
    <row r="22">
      <c r="B22" s="8" t="inlineStr">
        <is>
          <t>C9</t>
        </is>
      </c>
      <c r="C22" s="8" t="inlineStr">
        <is>
          <t>Central</t>
        </is>
      </c>
      <c r="D22" s="8" t="inlineStr">
        <is>
          <t>GCE – Global, Culture and Engagement</t>
        </is>
      </c>
      <c r="E22" s="8" t="inlineStr">
        <is>
          <t>TBC</t>
        </is>
      </c>
      <c r="F22" s="8" t="n">
        <v>2</v>
      </c>
      <c r="G22" s="8" t="inlineStr">
        <is>
          <t>GCE - SR26 sustainability reporting request.xlsx</t>
        </is>
      </c>
      <c r="H22" s="44" t="n"/>
      <c r="I22" s="44" t="n">
        <v>46371</v>
      </c>
      <c r="J22" s="44">
        <f>IF(I22="","",I22-7)</f>
        <v/>
      </c>
      <c r="K22" s="44" t="inlineStr"/>
      <c r="L22" s="8">
        <f>SUMPRODUCT(--((LEN('GCE'!$L$10:$L$12)+LEN('GCE'!$M$10:$M$12))&gt;0))</f>
        <v/>
      </c>
      <c r="M22" s="8">
        <f>COUNTIF('GCE'!$P$10:$P$12,"Yes")</f>
        <v/>
      </c>
      <c r="N22" s="8" t="inlineStr">
        <is>
          <t>Not sent</t>
        </is>
      </c>
      <c r="O22" s="8">
        <f>IF(OR(I22="",L22&gt;=F22),"",MAX(0,TODAY()-I22))</f>
        <v/>
      </c>
      <c r="P22" s="8" t="inlineStr"/>
    </row>
    <row r="23">
      <c r="B23" s="8" t="inlineStr">
        <is>
          <t>C10</t>
        </is>
      </c>
      <c r="C23" s="8" t="inlineStr">
        <is>
          <t>Central</t>
        </is>
      </c>
      <c r="D23" s="8" t="inlineStr">
        <is>
          <t>Education – Chancellery Education</t>
        </is>
      </c>
      <c r="E23" s="8" t="inlineStr">
        <is>
          <t>TBC</t>
        </is>
      </c>
      <c r="F23" s="8" t="n">
        <v>3</v>
      </c>
      <c r="G23" s="8" t="inlineStr">
        <is>
          <t>Education - SR26 sustainability reporting request.xlsx</t>
        </is>
      </c>
      <c r="H23" s="44" t="n"/>
      <c r="I23" s="44" t="n">
        <v>46371</v>
      </c>
      <c r="J23" s="44">
        <f>IF(I23="","",I23-7)</f>
        <v/>
      </c>
      <c r="K23" s="44" t="inlineStr"/>
      <c r="L23" s="8">
        <f>SUMPRODUCT(--((LEN('Education'!$L$10:$L$13)+LEN('Education'!$M$10:$M$13))&gt;0))</f>
        <v/>
      </c>
      <c r="M23" s="8">
        <f>COUNTIF('Education'!$P$10:$P$13,"Yes")</f>
        <v/>
      </c>
      <c r="N23" s="8" t="inlineStr">
        <is>
          <t>Not sent</t>
        </is>
      </c>
      <c r="O23" s="8">
        <f>IF(OR(I23="",L23&gt;=F23),"",MAX(0,TODAY()-I23))</f>
        <v/>
      </c>
      <c r="P23" s="8" t="inlineStr"/>
    </row>
    <row r="24">
      <c r="B24" s="8" t="inlineStr">
        <is>
          <t>C11</t>
        </is>
      </c>
      <c r="C24" s="8" t="inlineStr">
        <is>
          <t>Central</t>
        </is>
      </c>
      <c r="D24" s="8" t="inlineStr">
        <is>
          <t>SaSS – Student and Scholarly Services</t>
        </is>
      </c>
      <c r="E24" s="8" t="inlineStr">
        <is>
          <t>TBC</t>
        </is>
      </c>
      <c r="F24" s="8" t="n">
        <v>2</v>
      </c>
      <c r="G24" s="8" t="inlineStr">
        <is>
          <t>SaSS - SR26 sustainability reporting request.xlsx</t>
        </is>
      </c>
      <c r="H24" s="44" t="n"/>
      <c r="I24" s="44" t="n">
        <v>46371</v>
      </c>
      <c r="J24" s="44">
        <f>IF(I24="","",I24-7)</f>
        <v/>
      </c>
      <c r="K24" s="44" t="inlineStr"/>
      <c r="L24" s="8">
        <f>SUMPRODUCT(--((LEN('SaSS'!$L$10:$L$12)+LEN('SaSS'!$M$10:$M$12))&gt;0))</f>
        <v/>
      </c>
      <c r="M24" s="8">
        <f>COUNTIF('SaSS'!$P$10:$P$12,"Yes")</f>
        <v/>
      </c>
      <c r="N24" s="8" t="inlineStr">
        <is>
          <t>Not sent</t>
        </is>
      </c>
      <c r="O24" s="8">
        <f>IF(OR(I24="",L24&gt;=F24),"",MAX(0,TODAY()-I24))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SR26 sustainability reporting request.xlsx</t>
        </is>
      </c>
      <c r="H25" s="44" t="n"/>
      <c r="I25" s="44" t="n">
        <v>46371</v>
      </c>
      <c r="J25" s="44">
        <f>IF(I25="","",I25-7)</f>
        <v/>
      </c>
      <c r="K25" s="44" t="inlineStr"/>
      <c r="L25" s="8">
        <f>SUMPRODUCT(--((LEN('Indigenous'!$L$10:$L$11)+LEN('Indigenous'!$M$10:$M$11))&gt;0))</f>
        <v/>
      </c>
      <c r="M25" s="8">
        <f>COUNTIF('Indigenous'!$P$10:$P$11,"Yes")</f>
        <v/>
      </c>
      <c r="N25" s="8" t="inlineStr">
        <is>
          <t>Not sent</t>
        </is>
      </c>
      <c r="O25" s="8">
        <f>IF(OR(I25="",L25&gt;=F25),"",MAX(0,TODAY()-I25))</f>
        <v/>
      </c>
      <c r="P25" s="8" t="inlineStr"/>
    </row>
    <row r="26">
      <c r="B26" s="8" t="inlineStr">
        <is>
          <t>C13</t>
        </is>
      </c>
      <c r="C26" s="8" t="inlineStr">
        <is>
          <t>Central</t>
        </is>
      </c>
      <c r="D26" s="8" t="inlineStr">
        <is>
          <t>Legal &amp; Risk – Risk &amp; resilience</t>
        </is>
      </c>
      <c r="E26" s="8" t="inlineStr">
        <is>
          <t>TBC</t>
        </is>
      </c>
      <c r="F26" s="8" t="n">
        <v>1</v>
      </c>
      <c r="G26" s="8" t="inlineStr">
        <is>
          <t>LandR - SR26 sustainability reporting request.xlsx</t>
        </is>
      </c>
      <c r="H26" s="44" t="n"/>
      <c r="I26" s="44" t="n">
        <v>46371</v>
      </c>
      <c r="J26" s="44">
        <f>IF(I26="","",I26-7)</f>
        <v/>
      </c>
      <c r="K26" s="44" t="inlineStr"/>
      <c r="L26" s="8">
        <f>SUMPRODUCT(--((LEN('L&amp;R'!$L$10:$L$11)+LEN('L&amp;R'!$M$10:$M$11))&gt;0))</f>
        <v/>
      </c>
      <c r="M26" s="8">
        <f>COUNTIF('L&amp;R'!$P$10:$P$11,"Yes")</f>
        <v/>
      </c>
      <c r="N26" s="8" t="inlineStr">
        <is>
          <t>Not sent</t>
        </is>
      </c>
      <c r="O26" s="8">
        <f>IF(OR(I26="",L26&gt;=F26),"",MAX(0,TODAY()-I26))</f>
        <v/>
      </c>
      <c r="P26" s="8"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6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Faculties</t>
        </is>
      </c>
    </row>
    <row r="3">
      <c r="B3" s="20" t="inlineStr">
        <is>
          <t>Consolidated responses – paste from returned request workbooks (identical column layout). Click [+] above Columns H–K for end-2025 responses.</t>
        </is>
      </c>
    </row>
    <row r="5">
      <c r="B5" s="45" t="inlineStr">
        <is>
          <t>1.1  ABP – Faculty of Architecture, Building and Planning</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10">
        <f>IF('[1]1. Reporting template'!L16="","",'[1]1. Reporting template'!L16)</f>
        <v/>
      </c>
      <c r="M10" s="10">
        <f>IF('[1]1. Reporting template'!M16="","",'[1]1. Reporting template'!M16)</f>
        <v/>
      </c>
      <c r="N10" s="10">
        <f>IF('[1]1. Reporting template'!N16="","",'[1]1. Reporting template'!N16)</f>
        <v/>
      </c>
      <c r="O10" s="10">
        <f>IF('[1]1. Reporting template'!O16="","",'[1]1. Reporting template'!O16)</f>
        <v/>
      </c>
      <c r="P10" s="10">
        <f>IF('[1]1. Reporting template'!P16="","",'[1]1. Reporting template'!P16)</f>
        <v/>
      </c>
      <c r="Q10" s="10">
        <f>IF('[1]1. Reporting template'!Q16="","",'[1]1. Reporting template'!Q16)</f>
        <v/>
      </c>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10">
        <f>IF('[1]1. Reporting template'!L17="","",'[1]1. Reporting template'!L17)</f>
        <v/>
      </c>
      <c r="M11" s="10">
        <f>IF('[1]1. Reporting template'!M17="","",'[1]1. Reporting template'!M17)</f>
        <v/>
      </c>
      <c r="N11" s="10">
        <f>IF('[1]1. Reporting template'!N17="","",'[1]1. Reporting template'!N17)</f>
        <v/>
      </c>
      <c r="O11" s="10">
        <f>IF('[1]1. Reporting template'!O17="","",'[1]1. Reporting template'!O17)</f>
        <v/>
      </c>
      <c r="P11" s="10">
        <f>IF('[1]1. Reporting template'!P17="","",'[1]1. Reporting template'!P17)</f>
        <v/>
      </c>
      <c r="Q11" s="10">
        <f>IF('[1]1. Reporting template'!Q17="","",'[1]1. Reporting template'!Q17)</f>
        <v/>
      </c>
    </row>
    <row r="12" ht="150" customHeight="1">
      <c r="B12" s="7" t="inlineStr">
        <is>
          <t>TR1(a)</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10">
        <f>IF('[1]1. Reporting template'!L18="","",'[1]1. Reporting template'!L18)</f>
        <v/>
      </c>
      <c r="M12" s="10">
        <f>IF('[1]1. Reporting template'!M18="","",'[1]1. Reporting template'!M18)</f>
        <v/>
      </c>
      <c r="N12" s="10">
        <f>IF('[1]1. Reporting template'!N18="","",'[1]1. Reporting template'!N18)</f>
        <v/>
      </c>
      <c r="O12" s="10">
        <f>IF('[1]1. Reporting template'!O18="","",'[1]1. Reporting template'!O18)</f>
        <v/>
      </c>
      <c r="P12" s="10">
        <f>IF('[1]1. Reporting template'!P18="","",'[1]1. Reporting template'!P18)</f>
        <v/>
      </c>
      <c r="Q12" s="10">
        <f>IF('[1]1. Reporting template'!Q18="","",'[1]1. Reporting template'!Q18)</f>
        <v/>
      </c>
    </row>
    <row r="13" ht="150" customHeight="1">
      <c r="B13" s="7" t="inlineStr">
        <is>
          <t>TR2(a)</t>
        </is>
      </c>
      <c r="C13" s="50" t="inlineStr">
        <is>
          <t>Transformational research</t>
        </is>
      </c>
      <c r="D13" s="50" t="inlineStr">
        <is>
          <t>Deliver high-quality research and partnerships that contribute to sustainability outcomes and demonstrable societal benefit.</t>
        </is>
      </c>
      <c r="E13" s="50"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10">
        <f>IF('[1]1. Reporting template'!L19="","",'[1]1. Reporting template'!L19)</f>
        <v/>
      </c>
      <c r="M13" s="10">
        <f>IF('[1]1. Reporting template'!M19="","",'[1]1. Reporting template'!M19)</f>
        <v/>
      </c>
      <c r="N13" s="10">
        <f>IF('[1]1. Reporting template'!N19="","",'[1]1. Reporting template'!N19)</f>
        <v/>
      </c>
      <c r="O13" s="10">
        <f>IF('[1]1. Reporting template'!O19="","",'[1]1. Reporting template'!O19)</f>
        <v/>
      </c>
      <c r="P13" s="10">
        <f>IF('[1]1. Reporting template'!P19="","",'[1]1. Reporting template'!P19)</f>
        <v/>
      </c>
      <c r="Q13" s="10">
        <f>IF('[1]1. Reporting template'!Q19="","",'[1]1. Reporting template'!Q19)</f>
        <v/>
      </c>
    </row>
    <row r="14" ht="150" customHeight="1">
      <c r="B14" s="7" t="inlineStr">
        <is>
          <t>TR2(d)</t>
        </is>
      </c>
      <c r="C14" s="50" t="inlineStr">
        <is>
          <t>Transformational research</t>
        </is>
      </c>
      <c r="D14" s="50" t="inlineStr">
        <is>
          <t>Deliver high-quality research and partnerships that contribute to sustainability outcomes and demonstrable societal benefit.</t>
        </is>
      </c>
      <c r="E14" s="50" t="inlineStr">
        <is>
          <t>Case-based evidence demonstrating how research has contributed to meaningful sustainability outcomes.</t>
        </is>
      </c>
      <c r="F14"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10">
        <f>IF('[1]1. Reporting template'!L20="","",'[1]1. Reporting template'!L20)</f>
        <v/>
      </c>
      <c r="M14" s="10">
        <f>IF('[1]1. Reporting template'!M20="","",'[1]1. Reporting template'!M20)</f>
        <v/>
      </c>
      <c r="N14" s="10">
        <f>IF('[1]1. Reporting template'!N20="","",'[1]1. Reporting template'!N20)</f>
        <v/>
      </c>
      <c r="O14" s="10">
        <f>IF('[1]1. Reporting template'!O20="","",'[1]1. Reporting template'!O20)</f>
        <v/>
      </c>
      <c r="P14" s="10">
        <f>IF('[1]1. Reporting template'!P20="","",'[1]1. Reporting template'!P20)</f>
        <v/>
      </c>
      <c r="Q14" s="10">
        <f>IF('[1]1. Reporting template'!Q20="","",'[1]1. Reporting template'!Q20)</f>
        <v/>
      </c>
    </row>
    <row r="15" ht="150" customHeight="1">
      <c r="B15" s="7" t="inlineStr">
        <is>
          <t>TR3(b)</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Demonstrated examples of more sustainable research practices in laboratories, fieldwork, procurement, travel or infrastructure use</t>
        </is>
      </c>
      <c r="F15"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10">
        <f>IF('[1]1. Reporting template'!L21="","",'[1]1. Reporting template'!L21)</f>
        <v/>
      </c>
      <c r="M15" s="10">
        <f>IF('[1]1. Reporting template'!M21="","",'[1]1. Reporting template'!M21)</f>
        <v/>
      </c>
      <c r="N15" s="10">
        <f>IF('[1]1. Reporting template'!N21="","",'[1]1. Reporting template'!N21)</f>
        <v/>
      </c>
      <c r="O15" s="10">
        <f>IF('[1]1. Reporting template'!O21="","",'[1]1. Reporting template'!O21)</f>
        <v/>
      </c>
      <c r="P15" s="10">
        <f>IF('[1]1. Reporting template'!P21="","",'[1]1. Reporting template'!P21)</f>
        <v/>
      </c>
      <c r="Q15" s="10">
        <f>IF('[1]1. Reporting template'!Q21="","",'[1]1. Reporting template'!Q21)</f>
        <v/>
      </c>
    </row>
    <row r="16" ht="150" customHeight="1">
      <c r="B16" s="7" t="inlineStr">
        <is>
          <t>EN1(a)</t>
        </is>
      </c>
      <c r="C16" s="50" t="inlineStr">
        <is>
          <t>Enablers</t>
        </is>
      </c>
      <c r="D16" s="50" t="inlineStr">
        <is>
          <t>Enablers</t>
        </is>
      </c>
      <c r="E16" s="50" t="inlineStr">
        <is>
          <t>Evidence of sustainability outcomes informed by Indigenous knowledges</t>
        </is>
      </c>
      <c r="F16"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10">
        <f>IF('[1]1. Reporting template'!L22="","",'[1]1. Reporting template'!L22)</f>
        <v/>
      </c>
      <c r="M16" s="10">
        <f>IF('[1]1. Reporting template'!M22="","",'[1]1. Reporting template'!M22)</f>
        <v/>
      </c>
      <c r="N16" s="10">
        <f>IF('[1]1. Reporting template'!N22="","",'[1]1. Reporting template'!N22)</f>
        <v/>
      </c>
      <c r="O16" s="10">
        <f>IF('[1]1. Reporting template'!O22="","",'[1]1. Reporting template'!O22)</f>
        <v/>
      </c>
      <c r="P16" s="10">
        <f>IF('[1]1. Reporting template'!P22="","",'[1]1. Reporting template'!P22)</f>
        <v/>
      </c>
      <c r="Q16" s="10">
        <f>IF('[1]1. Reporting template'!Q22="","",'[1]1. Reporting template'!Q22)</f>
        <v/>
      </c>
    </row>
    <row r="17" ht="150" customHeight="1">
      <c r="B17" s="7" t="inlineStr">
        <is>
          <t>EN1(b)</t>
        </is>
      </c>
      <c r="C17" s="50" t="inlineStr">
        <is>
          <t>Enablers</t>
        </is>
      </c>
      <c r="D17" s="50" t="inlineStr">
        <is>
          <t>Enablers</t>
        </is>
      </c>
      <c r="E17" s="50" t="inlineStr">
        <is>
          <t>Living laboratories enabling applied learning, research and operational sustainability outcomes</t>
        </is>
      </c>
      <c r="F17"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10">
        <f>IF('[1]1. Reporting template'!L23="","",'[1]1. Reporting template'!L23)</f>
        <v/>
      </c>
      <c r="M17" s="10">
        <f>IF('[1]1. Reporting template'!M23="","",'[1]1. Reporting template'!M23)</f>
        <v/>
      </c>
      <c r="N17" s="10">
        <f>IF('[1]1. Reporting template'!N23="","",'[1]1. Reporting template'!N23)</f>
        <v/>
      </c>
      <c r="O17" s="10">
        <f>IF('[1]1. Reporting template'!O23="","",'[1]1. Reporting template'!O23)</f>
        <v/>
      </c>
      <c r="P17" s="10">
        <f>IF('[1]1. Reporting template'!P23="","",'[1]1. Reporting template'!P23)</f>
        <v/>
      </c>
      <c r="Q17" s="10">
        <f>IF('[1]1. Reporting template'!Q23="","",'[1]1. Reporting template'!Q23)</f>
        <v/>
      </c>
    </row>
    <row r="18" ht="150" customHeight="1">
      <c r="B18" s="7" t="inlineStr">
        <is>
          <t>EN1(c)</t>
        </is>
      </c>
      <c r="C18" s="50" t="inlineStr">
        <is>
          <t>Enablers</t>
        </is>
      </c>
      <c r="D18" s="50" t="inlineStr">
        <is>
          <t>Enablers</t>
        </is>
      </c>
      <c r="E18" s="50" t="inlineStr">
        <is>
          <t>Coordinated internal engagement and external partnerships contributing to delivery of sustainability outcomes across priority areas.</t>
        </is>
      </c>
      <c r="F18"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10">
        <f>IF('[1]1. Reporting template'!L24="","",'[1]1. Reporting template'!L24)</f>
        <v/>
      </c>
      <c r="M18" s="10">
        <f>IF('[1]1. Reporting template'!M24="","",'[1]1. Reporting template'!M24)</f>
        <v/>
      </c>
      <c r="N18" s="10">
        <f>IF('[1]1. Reporting template'!N24="","",'[1]1. Reporting template'!N24)</f>
        <v/>
      </c>
      <c r="O18" s="10">
        <f>IF('[1]1. Reporting template'!O24="","",'[1]1. Reporting template'!O24)</f>
        <v/>
      </c>
      <c r="P18" s="10">
        <f>IF('[1]1. Reporting template'!P24="","",'[1]1. Reporting template'!P24)</f>
        <v/>
      </c>
      <c r="Q18" s="10">
        <f>IF('[1]1. Reporting template'!Q24="","",'[1]1. Reporting template'!Q24)</f>
        <v/>
      </c>
    </row>
    <row r="19"/>
    <row r="21">
      <c r="B21" s="45" t="inlineStr">
        <is>
          <t>1.2  ARTS – Faculty of Arts</t>
        </is>
      </c>
    </row>
    <row r="23">
      <c r="C23" s="46" t="inlineStr">
        <is>
          <t>Sustainability 2030 target and indicator</t>
        </is>
      </c>
      <c r="H23" s="46" t="inlineStr">
        <is>
          <t>SR25 response</t>
        </is>
      </c>
      <c r="L23" s="47"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8" t="inlineStr">
        <is>
          <t>OPTION 1:  Target-level reporting (Column D)</t>
        </is>
      </c>
      <c r="M24" s="48" t="inlineStr">
        <is>
          <t>OPTION 2:  Indicator level reporting (Column E/F)</t>
        </is>
      </c>
      <c r="N24" s="48" t="inlineStr">
        <is>
          <t>Supporting information/comments</t>
        </is>
      </c>
      <c r="O24" s="48" t="inlineStr">
        <is>
          <t>Data source and limitations</t>
        </is>
      </c>
      <c r="P24" s="48" t="inlineStr">
        <is>
          <t>Data owner confirms information is accurate</t>
        </is>
      </c>
      <c r="Q24" s="48" t="inlineStr">
        <is>
          <t>Confirmed by (name, role, date)</t>
        </is>
      </c>
    </row>
    <row r="25">
      <c r="B25" s="49" t="inlineStr"/>
      <c r="C25" s="49" t="inlineStr"/>
      <c r="D25" s="49" t="inlineStr"/>
      <c r="E25" s="49" t="inlineStr"/>
      <c r="F25" s="49" t="inlineStr"/>
      <c r="G25" s="49" t="inlineStr"/>
      <c r="H25" s="49" t="inlineStr"/>
      <c r="I25" s="49" t="inlineStr"/>
      <c r="J25" s="49" t="inlineStr"/>
      <c r="K25" s="49" t="inlineStr"/>
      <c r="L25" s="49" t="inlineStr">
        <is>
          <t>A general update on activities in relation to the overarching target (Column D)</t>
        </is>
      </c>
      <c r="M25" s="49" t="inlineStr">
        <is>
          <t>Data and commentary in direct response to the reporting request (Column F)</t>
        </is>
      </c>
      <c r="N25" s="49" t="inlineStr">
        <is>
          <t>Any additional information (e.g. links, images, documents)</t>
        </is>
      </c>
      <c r="O25" s="49" t="inlineStr">
        <is>
          <t>Where did this information come from (system, report, survey, person)? Note any gaps or limitations.</t>
        </is>
      </c>
      <c r="P25" s="49" t="inlineStr">
        <is>
          <t>Select 'Yes' to confirm the information provided is accurate and can be used for reporting</t>
        </is>
      </c>
      <c r="Q25" s="49" t="inlineStr">
        <is>
          <t>Name, role and date of the person confirming</t>
        </is>
      </c>
    </row>
    <row r="26" ht="150" customHeight="1">
      <c r="B26" s="7" t="inlineStr">
        <is>
          <t>EE1(a)</t>
        </is>
      </c>
      <c r="C26" s="50" t="inlineStr">
        <is>
          <t>Exceptional education</t>
        </is>
      </c>
      <c r="D26" s="50" t="inlineStr">
        <is>
          <t>Provide our students with learning experiences that help them build the knowledge, skills and relationships to lead change for sustainable societies.</t>
        </is>
      </c>
      <c r="E26" s="50" t="inlineStr">
        <is>
          <t>Evidence of innovative approaches to sustainability teaching and learning</t>
        </is>
      </c>
      <c r="F26"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row>
    <row r="27" ht="150" customHeight="1">
      <c r="B27" s="7" t="inlineStr">
        <is>
          <t>EE1(b)</t>
        </is>
      </c>
      <c r="C27" s="50" t="inlineStr">
        <is>
          <t>Exceptional education</t>
        </is>
      </c>
      <c r="D27" s="50" t="inlineStr">
        <is>
          <t>Provide our students with learning experiences that help them build the knowledge, skills and relationships to lead change for sustainable societies.</t>
        </is>
      </c>
      <c r="E27" s="50"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row>
    <row r="28" ht="150" customHeight="1">
      <c r="B28" s="7" t="inlineStr">
        <is>
          <t>TR1(a)</t>
        </is>
      </c>
      <c r="C28" s="50" t="inlineStr">
        <is>
          <t>Transformational research</t>
        </is>
      </c>
      <c r="D28" s="50" t="inlineStr">
        <is>
          <t>Utilise the expertise of the University’s researchers through mutually beneficial partnerships to help address the University’s operational sustainability challenges.</t>
        </is>
      </c>
      <c r="E28" s="50"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row>
    <row r="29" ht="150" customHeight="1">
      <c r="B29" s="7" t="inlineStr">
        <is>
          <t>TR2(a)</t>
        </is>
      </c>
      <c r="C29" s="50" t="inlineStr">
        <is>
          <t>Transformational research</t>
        </is>
      </c>
      <c r="D29" s="50" t="inlineStr">
        <is>
          <t>Deliver high-quality research and partnerships that contribute to sustainability outcomes and demonstrable societal benefit.</t>
        </is>
      </c>
      <c r="E29" s="50"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row>
    <row r="30" ht="150" customHeight="1">
      <c r="B30" s="7" t="inlineStr">
        <is>
          <t>TR2(d)</t>
        </is>
      </c>
      <c r="C30" s="50" t="inlineStr">
        <is>
          <t>Transformational research</t>
        </is>
      </c>
      <c r="D30" s="50" t="inlineStr">
        <is>
          <t>Deliver high-quality research and partnerships that contribute to sustainability outcomes and demonstrable societal benefit.</t>
        </is>
      </c>
      <c r="E30" s="50" t="inlineStr">
        <is>
          <t>Case-based evidence demonstrating how research has contributed to meaningful sustainability outcomes.</t>
        </is>
      </c>
      <c r="F30"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row>
    <row r="31" ht="150" customHeight="1">
      <c r="B31" s="7" t="inlineStr">
        <is>
          <t>TR3(b)</t>
        </is>
      </c>
      <c r="C31" s="50" t="inlineStr">
        <is>
          <t>Transformational research</t>
        </is>
      </c>
      <c r="D31" s="50" t="inlineStr">
        <is>
          <t>Embed sustainability within research systems, processes, capability and culture, so research is conducted responsibly, efficiently and with reduced environmental impact.</t>
        </is>
      </c>
      <c r="E31" s="50" t="inlineStr">
        <is>
          <t>Demonstrated examples of more sustainable research practices in laboratories, fieldwork, procurement, travel or infrastructure use</t>
        </is>
      </c>
      <c r="F31"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row>
    <row r="32" ht="150" customHeight="1">
      <c r="B32" s="7" t="inlineStr">
        <is>
          <t>EN1(a)</t>
        </is>
      </c>
      <c r="C32" s="50" t="inlineStr">
        <is>
          <t>Enablers</t>
        </is>
      </c>
      <c r="D32" s="50" t="inlineStr">
        <is>
          <t>Enablers</t>
        </is>
      </c>
      <c r="E32" s="50" t="inlineStr">
        <is>
          <t>Evidence of sustainability outcomes informed by Indigenous knowledges</t>
        </is>
      </c>
      <c r="F32"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row>
    <row r="35"/>
    <row r="37">
      <c r="B37" s="45" t="inlineStr">
        <is>
          <t>1.3  FBE – Faculty of Business and Economics</t>
        </is>
      </c>
    </row>
    <row r="39">
      <c r="C39" s="46" t="inlineStr">
        <is>
          <t>Sustainability 2030 target and indicator</t>
        </is>
      </c>
      <c r="H39" s="46" t="inlineStr">
        <is>
          <t>SR25 response</t>
        </is>
      </c>
      <c r="L39" s="47"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8" t="inlineStr">
        <is>
          <t>OPTION 1:  Target-level reporting (Column D)</t>
        </is>
      </c>
      <c r="M40" s="48" t="inlineStr">
        <is>
          <t>OPTION 2:  Indicator level reporting (Column E/F)</t>
        </is>
      </c>
      <c r="N40" s="48" t="inlineStr">
        <is>
          <t>Supporting information/comments</t>
        </is>
      </c>
      <c r="O40" s="48" t="inlineStr">
        <is>
          <t>Data source and limitations</t>
        </is>
      </c>
      <c r="P40" s="48" t="inlineStr">
        <is>
          <t>Data owner confirms information is accurate</t>
        </is>
      </c>
      <c r="Q40" s="48" t="inlineStr">
        <is>
          <t>Confirmed by (name, role, date)</t>
        </is>
      </c>
    </row>
    <row r="41">
      <c r="B41" s="49" t="inlineStr"/>
      <c r="C41" s="49" t="inlineStr"/>
      <c r="D41" s="49" t="inlineStr"/>
      <c r="E41" s="49" t="inlineStr"/>
      <c r="F41" s="49" t="inlineStr"/>
      <c r="G41" s="49" t="inlineStr"/>
      <c r="H41" s="49" t="inlineStr"/>
      <c r="I41" s="49" t="inlineStr"/>
      <c r="J41" s="49" t="inlineStr"/>
      <c r="K41" s="49" t="inlineStr"/>
      <c r="L41" s="49" t="inlineStr">
        <is>
          <t>A general update on activities in relation to the overarching target (Column D)</t>
        </is>
      </c>
      <c r="M41" s="49" t="inlineStr">
        <is>
          <t>Data and commentary in direct response to the reporting request (Column F)</t>
        </is>
      </c>
      <c r="N41" s="49" t="inlineStr">
        <is>
          <t>Any additional information (e.g. links, images, documents)</t>
        </is>
      </c>
      <c r="O41" s="49" t="inlineStr">
        <is>
          <t>Where did this information come from (system, report, survey, person)? Note any gaps or limitations.</t>
        </is>
      </c>
      <c r="P41" s="49" t="inlineStr">
        <is>
          <t>Select 'Yes' to confirm the information provided is accurate and can be used for reporting</t>
        </is>
      </c>
      <c r="Q41" s="49" t="inlineStr">
        <is>
          <t>Name, role and date of the person confirming</t>
        </is>
      </c>
    </row>
    <row r="42" ht="150" customHeight="1">
      <c r="B42" s="7" t="inlineStr">
        <is>
          <t>EE1(a)</t>
        </is>
      </c>
      <c r="C42" s="50" t="inlineStr">
        <is>
          <t>Exceptional education</t>
        </is>
      </c>
      <c r="D42" s="50" t="inlineStr">
        <is>
          <t>Provide our students with learning experiences that help them build the knowledge, skills and relationships to lead change for sustainable societies.</t>
        </is>
      </c>
      <c r="E42" s="50" t="inlineStr">
        <is>
          <t>Evidence of innovative approaches to sustainability teaching and learning</t>
        </is>
      </c>
      <c r="F42"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row>
    <row r="43" ht="150" customHeight="1">
      <c r="B43" s="7" t="inlineStr">
        <is>
          <t>EE1(b)</t>
        </is>
      </c>
      <c r="C43" s="50" t="inlineStr">
        <is>
          <t>Exceptional education</t>
        </is>
      </c>
      <c r="D43" s="50" t="inlineStr">
        <is>
          <t>Provide our students with learning experiences that help them build the knowledge, skills and relationships to lead change for sustainable societies.</t>
        </is>
      </c>
      <c r="E43" s="50"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row>
    <row r="44" ht="150" customHeight="1">
      <c r="B44" s="7" t="inlineStr">
        <is>
          <t>TR1(a)</t>
        </is>
      </c>
      <c r="C44" s="50" t="inlineStr">
        <is>
          <t>Transformational research</t>
        </is>
      </c>
      <c r="D44" s="50" t="inlineStr">
        <is>
          <t>Utilise the expertise of the University’s researchers through mutually beneficial partnerships to help address the University’s operational sustainability challenges.</t>
        </is>
      </c>
      <c r="E44" s="50"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row>
    <row r="45" ht="150" customHeight="1">
      <c r="B45" s="7" t="inlineStr">
        <is>
          <t>TR2(a)</t>
        </is>
      </c>
      <c r="C45" s="50" t="inlineStr">
        <is>
          <t>Transformational research</t>
        </is>
      </c>
      <c r="D45" s="50" t="inlineStr">
        <is>
          <t>Deliver high-quality research and partnerships that contribute to sustainability outcomes and demonstrable societal benefit.</t>
        </is>
      </c>
      <c r="E45" s="50"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row>
    <row r="46" ht="150" customHeight="1">
      <c r="B46" s="7" t="inlineStr">
        <is>
          <t>TR2(d)</t>
        </is>
      </c>
      <c r="C46" s="50" t="inlineStr">
        <is>
          <t>Transformational research</t>
        </is>
      </c>
      <c r="D46" s="50" t="inlineStr">
        <is>
          <t>Deliver high-quality research and partnerships that contribute to sustainability outcomes and demonstrable societal benefit.</t>
        </is>
      </c>
      <c r="E46" s="50" t="inlineStr">
        <is>
          <t>Case-based evidence demonstrating how research has contributed to meaningful sustainability outcomes.</t>
        </is>
      </c>
      <c r="F46"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row>
    <row r="47" ht="150" customHeight="1">
      <c r="B47" s="7" t="inlineStr">
        <is>
          <t>TR3(b)</t>
        </is>
      </c>
      <c r="C47" s="50" t="inlineStr">
        <is>
          <t>Transformational research</t>
        </is>
      </c>
      <c r="D47" s="50" t="inlineStr">
        <is>
          <t>Embed sustainability within research systems, processes, capability and culture, so research is conducted responsibly, efficiently and with reduced environmental impact.</t>
        </is>
      </c>
      <c r="E47" s="50" t="inlineStr">
        <is>
          <t>Demonstrated examples of more sustainable research practices in laboratories, fieldwork, procurement, travel or infrastructure use</t>
        </is>
      </c>
      <c r="F47"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row>
    <row r="48" ht="150" customHeight="1">
      <c r="B48" s="7" t="inlineStr">
        <is>
          <t>EN1(a)</t>
        </is>
      </c>
      <c r="C48" s="50" t="inlineStr">
        <is>
          <t>Enablers</t>
        </is>
      </c>
      <c r="D48" s="50" t="inlineStr">
        <is>
          <t>Enablers</t>
        </is>
      </c>
      <c r="E48" s="50" t="inlineStr">
        <is>
          <t>Evidence of sustainability outcomes informed by Indigenous knowledges</t>
        </is>
      </c>
      <c r="F48"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row>
    <row r="49" ht="150" customHeight="1">
      <c r="B49" s="7" t="inlineStr">
        <is>
          <t>EN1(b)</t>
        </is>
      </c>
      <c r="C49" s="50" t="inlineStr">
        <is>
          <t>Enablers</t>
        </is>
      </c>
      <c r="D49" s="50" t="inlineStr">
        <is>
          <t>Enablers</t>
        </is>
      </c>
      <c r="E49" s="50" t="inlineStr">
        <is>
          <t>Living laboratories enabling applied learning, research and operational sustainability outcomes</t>
        </is>
      </c>
      <c r="F49"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row>
    <row r="50" ht="150" customHeight="1">
      <c r="B50" s="7" t="inlineStr">
        <is>
          <t>EN1(c)</t>
        </is>
      </c>
      <c r="C50" s="50" t="inlineStr">
        <is>
          <t>Enablers</t>
        </is>
      </c>
      <c r="D50" s="50" t="inlineStr">
        <is>
          <t>Enablers</t>
        </is>
      </c>
      <c r="E50" s="50" t="inlineStr">
        <is>
          <t>Coordinated internal engagement and external partnerships contributing to delivery of sustainability outcomes across priority areas.</t>
        </is>
      </c>
      <c r="F50"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row>
    <row r="51"/>
    <row r="53">
      <c r="B53" s="45" t="inlineStr">
        <is>
          <t>1.4  SCI – Faculty of Science</t>
        </is>
      </c>
    </row>
    <row r="55">
      <c r="C55" s="46" t="inlineStr">
        <is>
          <t>Sustainability 2030 target and indicator</t>
        </is>
      </c>
      <c r="H55" s="46" t="inlineStr">
        <is>
          <t>SR25 response</t>
        </is>
      </c>
      <c r="L55" s="47"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8" t="inlineStr">
        <is>
          <t>OPTION 1:  Target-level reporting (Column D)</t>
        </is>
      </c>
      <c r="M56" s="48" t="inlineStr">
        <is>
          <t>OPTION 2:  Indicator level reporting (Column E/F)</t>
        </is>
      </c>
      <c r="N56" s="48" t="inlineStr">
        <is>
          <t>Supporting information/comments</t>
        </is>
      </c>
      <c r="O56" s="48" t="inlineStr">
        <is>
          <t>Data source and limitations</t>
        </is>
      </c>
      <c r="P56" s="48" t="inlineStr">
        <is>
          <t>Data owner confirms information is accurate</t>
        </is>
      </c>
      <c r="Q56" s="48" t="inlineStr">
        <is>
          <t>Confirmed by (name, role, date)</t>
        </is>
      </c>
    </row>
    <row r="57">
      <c r="B57" s="49" t="inlineStr"/>
      <c r="C57" s="49" t="inlineStr"/>
      <c r="D57" s="49" t="inlineStr"/>
      <c r="E57" s="49" t="inlineStr"/>
      <c r="F57" s="49" t="inlineStr"/>
      <c r="G57" s="49" t="inlineStr"/>
      <c r="H57" s="49" t="inlineStr"/>
      <c r="I57" s="49" t="inlineStr"/>
      <c r="J57" s="49" t="inlineStr"/>
      <c r="K57" s="49" t="inlineStr"/>
      <c r="L57" s="49" t="inlineStr">
        <is>
          <t>A general update on activities in relation to the overarching target (Column D)</t>
        </is>
      </c>
      <c r="M57" s="49" t="inlineStr">
        <is>
          <t>Data and commentary in direct response to the reporting request (Column F)</t>
        </is>
      </c>
      <c r="N57" s="49" t="inlineStr">
        <is>
          <t>Any additional information (e.g. links, images, documents)</t>
        </is>
      </c>
      <c r="O57" s="49" t="inlineStr">
        <is>
          <t>Where did this information come from (system, report, survey, person)? Note any gaps or limitations.</t>
        </is>
      </c>
      <c r="P57" s="49" t="inlineStr">
        <is>
          <t>Select 'Yes' to confirm the information provided is accurate and can be used for reporting</t>
        </is>
      </c>
      <c r="Q57" s="49" t="inlineStr">
        <is>
          <t>Name, role and date of the person confirming</t>
        </is>
      </c>
    </row>
    <row r="58" ht="150" customHeight="1">
      <c r="B58" s="7" t="inlineStr">
        <is>
          <t>EE1(a)</t>
        </is>
      </c>
      <c r="C58" s="50" t="inlineStr">
        <is>
          <t>Exceptional education</t>
        </is>
      </c>
      <c r="D58" s="50" t="inlineStr">
        <is>
          <t>Provide our students with learning experiences that help them build the knowledge, skills and relationships to lead change for sustainable societies.</t>
        </is>
      </c>
      <c r="E58" s="50" t="inlineStr">
        <is>
          <t>Evidence of innovative approaches to sustainability teaching and learning</t>
        </is>
      </c>
      <c r="F58"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row>
    <row r="59" ht="150" customHeight="1">
      <c r="B59" s="7" t="inlineStr">
        <is>
          <t>EE1(b)</t>
        </is>
      </c>
      <c r="C59" s="50" t="inlineStr">
        <is>
          <t>Exceptional education</t>
        </is>
      </c>
      <c r="D59" s="50" t="inlineStr">
        <is>
          <t>Provide our students with learning experiences that help them build the knowledge, skills and relationships to lead change for sustainable societies.</t>
        </is>
      </c>
      <c r="E59" s="50"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row>
    <row r="60" ht="150" customHeight="1">
      <c r="B60" s="7" t="inlineStr">
        <is>
          <t>TR1(a)</t>
        </is>
      </c>
      <c r="C60" s="50" t="inlineStr">
        <is>
          <t>Transformational research</t>
        </is>
      </c>
      <c r="D60" s="50" t="inlineStr">
        <is>
          <t>Utilise the expertise of the University’s researchers through mutually beneficial partnerships to help address the University’s operational sustainability challenges.</t>
        </is>
      </c>
      <c r="E60" s="50"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row>
    <row r="61" ht="150" customHeight="1">
      <c r="B61" s="7" t="inlineStr">
        <is>
          <t>TR2(a)</t>
        </is>
      </c>
      <c r="C61" s="50" t="inlineStr">
        <is>
          <t>Transformational research</t>
        </is>
      </c>
      <c r="D61" s="50" t="inlineStr">
        <is>
          <t>Deliver high-quality research and partnerships that contribute to sustainability outcomes and demonstrable societal benefit.</t>
        </is>
      </c>
      <c r="E61" s="50"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row>
    <row r="62" ht="150" customHeight="1">
      <c r="B62" s="7" t="inlineStr">
        <is>
          <t>TR2(d)</t>
        </is>
      </c>
      <c r="C62" s="50" t="inlineStr">
        <is>
          <t>Transformational research</t>
        </is>
      </c>
      <c r="D62" s="50" t="inlineStr">
        <is>
          <t>Deliver high-quality research and partnerships that contribute to sustainability outcomes and demonstrable societal benefit.</t>
        </is>
      </c>
      <c r="E62" s="50" t="inlineStr">
        <is>
          <t>Case-based evidence demonstrating how research has contributed to meaningful sustainability outcomes.</t>
        </is>
      </c>
      <c r="F62"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row>
    <row r="63" ht="150" customHeight="1">
      <c r="B63" s="7" t="inlineStr">
        <is>
          <t>TR3(b)</t>
        </is>
      </c>
      <c r="C63" s="50" t="inlineStr">
        <is>
          <t>Transformational research</t>
        </is>
      </c>
      <c r="D63" s="50" t="inlineStr">
        <is>
          <t>Embed sustainability within research systems, processes, capability and culture, so research is conducted responsibly, efficiently and with reduced environmental impact.</t>
        </is>
      </c>
      <c r="E63" s="50" t="inlineStr">
        <is>
          <t>Demonstrated examples of more sustainable research practices in laboratories, fieldwork, procurement, travel or infrastructure use</t>
        </is>
      </c>
      <c r="F63"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row>
    <row r="64" ht="150" customHeight="1">
      <c r="B64" s="7" t="inlineStr">
        <is>
          <t>EN1(a)</t>
        </is>
      </c>
      <c r="C64" s="50" t="inlineStr">
        <is>
          <t>Enablers</t>
        </is>
      </c>
      <c r="D64" s="50" t="inlineStr">
        <is>
          <t>Enablers</t>
        </is>
      </c>
      <c r="E64" s="50" t="inlineStr">
        <is>
          <t>Evidence of sustainability outcomes informed by Indigenous knowledges</t>
        </is>
      </c>
      <c r="F64"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row>
    <row r="65" ht="150" customHeight="1">
      <c r="B65" s="7" t="inlineStr">
        <is>
          <t>EN1(b)</t>
        </is>
      </c>
      <c r="C65" s="50" t="inlineStr">
        <is>
          <t>Enablers</t>
        </is>
      </c>
      <c r="D65" s="50" t="inlineStr">
        <is>
          <t>Enablers</t>
        </is>
      </c>
      <c r="E65" s="50" t="inlineStr">
        <is>
          <t>Living laboratories enabling applied learning, research and operational sustainability outcomes</t>
        </is>
      </c>
      <c r="F65"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row>
    <row r="66" ht="150" customHeight="1">
      <c r="B66" s="7" t="inlineStr">
        <is>
          <t>EN1(c)</t>
        </is>
      </c>
      <c r="C66" s="50" t="inlineStr">
        <is>
          <t>Enablers</t>
        </is>
      </c>
      <c r="D66" s="50" t="inlineStr">
        <is>
          <t>Enablers</t>
        </is>
      </c>
      <c r="E66" s="50" t="inlineStr">
        <is>
          <t>Coordinated internal engagement and external partnerships contributing to delivery of sustainability outcomes across priority areas.</t>
        </is>
      </c>
      <c r="F66"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row>
    <row r="67"/>
  </sheetData>
  <mergeCells count="8">
    <mergeCell ref="L7:Q7"/>
    <mergeCell ref="C7:G7"/>
    <mergeCell ref="L23:Q23"/>
    <mergeCell ref="C55:G55"/>
    <mergeCell ref="L39:Q39"/>
    <mergeCell ref="C23:G23"/>
    <mergeCell ref="C39:G39"/>
    <mergeCell ref="L55:Q55"/>
  </mergeCells>
  <dataValidations count="4">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5" t="inlineStr">
        <is>
          <t>1.1  CI&amp;S – Estate Planning &amp; Development (TBC: confirm with Gerard)</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row>
    <row r="11" ht="150" customHeight="1">
      <c r="B11" s="7" t="inlineStr">
        <is>
          <t>EI1(a)</t>
        </is>
      </c>
      <c r="C11" s="50" t="inlineStr">
        <is>
          <t>Estate and infrastructure</t>
        </is>
      </c>
      <c r="D11" s="50" t="inlineStr">
        <is>
          <t>Integrate environmental sustainability in the way that the University achieves strategic and operational objectives for our estate and infrastructure.</t>
        </is>
      </c>
      <c r="E11" s="50"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row>
    <row r="12" ht="150" customHeight="1">
      <c r="B12" s="7" t="inlineStr">
        <is>
          <t>EI1(b)</t>
        </is>
      </c>
      <c r="C12" s="50" t="inlineStr">
        <is>
          <t>Estate and infrastructure</t>
        </is>
      </c>
      <c r="D12" s="50" t="inlineStr">
        <is>
          <t>Integrate environmental sustainability in the way that the University achieves strategic and operational objectives for our estate and infrastructure.</t>
        </is>
      </c>
      <c r="E12" s="50"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row>
    <row r="13" ht="150" customHeight="1">
      <c r="B13" s="7" t="inlineStr">
        <is>
          <t>EI1(c)</t>
        </is>
      </c>
      <c r="C13" s="50" t="inlineStr">
        <is>
          <t>Estate and infrastructure</t>
        </is>
      </c>
      <c r="D13" s="50" t="inlineStr">
        <is>
          <t>Integrate environmental sustainability in the way that the University achieves strategic and operational objectives for our estate and infrastructure.</t>
        </is>
      </c>
      <c r="E13" s="50"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row>
    <row r="14" ht="150" customHeight="1">
      <c r="B14" s="7" t="inlineStr">
        <is>
          <t>EI1(d)</t>
        </is>
      </c>
      <c r="C14" s="50" t="inlineStr">
        <is>
          <t>Estate and infrastructure</t>
        </is>
      </c>
      <c r="D14" s="50" t="inlineStr">
        <is>
          <t>Integrate environmental sustainability in the way that the University achieves strategic and operational objectives for our estate and infrastructure.</t>
        </is>
      </c>
      <c r="E14" s="50"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row>
    <row r="15"/>
    <row r="17">
      <c r="B17" s="45" t="inlineStr">
        <is>
          <t>1.2  CI&amp;S – Sustainability Strategy (incl. CLLAP)</t>
        </is>
      </c>
    </row>
    <row r="19">
      <c r="C19" s="46" t="inlineStr">
        <is>
          <t>Sustainability 2030 target and indicator</t>
        </is>
      </c>
      <c r="H19" s="46" t="inlineStr">
        <is>
          <t>SR25 response</t>
        </is>
      </c>
      <c r="L19" s="47"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8" t="inlineStr">
        <is>
          <t>OPTION 1:  Target-level reporting (Column D)</t>
        </is>
      </c>
      <c r="M20" s="48" t="inlineStr">
        <is>
          <t>OPTION 2:  Indicator level reporting (Column E/F)</t>
        </is>
      </c>
      <c r="N20" s="48" t="inlineStr">
        <is>
          <t>Supporting information/comments</t>
        </is>
      </c>
      <c r="O20" s="48" t="inlineStr">
        <is>
          <t>Data source and limitations</t>
        </is>
      </c>
      <c r="P20" s="48" t="inlineStr">
        <is>
          <t>Data owner confirms information is accurate</t>
        </is>
      </c>
      <c r="Q20" s="48" t="inlineStr">
        <is>
          <t>Confirmed by (name, role, date)</t>
        </is>
      </c>
    </row>
    <row r="21">
      <c r="B21" s="49" t="inlineStr"/>
      <c r="C21" s="49" t="inlineStr"/>
      <c r="D21" s="49" t="inlineStr"/>
      <c r="E21" s="49" t="inlineStr"/>
      <c r="F21" s="49" t="inlineStr"/>
      <c r="G21" s="49" t="inlineStr"/>
      <c r="H21" s="49" t="inlineStr"/>
      <c r="I21" s="49" t="inlineStr"/>
      <c r="J21" s="49" t="inlineStr"/>
      <c r="K21" s="49" t="inlineStr"/>
      <c r="L21" s="49" t="inlineStr">
        <is>
          <t>A general update on activities in relation to the overarching target (Column D)</t>
        </is>
      </c>
      <c r="M21" s="49" t="inlineStr">
        <is>
          <t>Data and commentary in direct response to the reporting request (Column F)</t>
        </is>
      </c>
      <c r="N21" s="49" t="inlineStr">
        <is>
          <t>Any additional information (e.g. links, images, documents)</t>
        </is>
      </c>
      <c r="O21" s="49" t="inlineStr">
        <is>
          <t>Where did this information come from (system, report, survey, person)? Note any gaps or limitations.</t>
        </is>
      </c>
      <c r="P21" s="49" t="inlineStr">
        <is>
          <t>Select 'Yes' to confirm the information provided is accurate and can be used for reporting</t>
        </is>
      </c>
      <c r="Q21" s="49" t="inlineStr">
        <is>
          <t>Name, role and date of the person confirming</t>
        </is>
      </c>
    </row>
    <row r="22" ht="150" customHeight="1">
      <c r="B22" s="7" t="inlineStr">
        <is>
          <t>EE1(a)</t>
        </is>
      </c>
      <c r="C22" s="50" t="inlineStr">
        <is>
          <t>Exceptional education</t>
        </is>
      </c>
      <c r="D22" s="50" t="inlineStr">
        <is>
          <t>Provide our students with learning experiences that help them build the knowledge, skills and relationships to lead change for sustainable societies.</t>
        </is>
      </c>
      <c r="E22" s="50"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row>
    <row r="23" ht="150" customHeight="1">
      <c r="B23" s="7" t="inlineStr">
        <is>
          <t>EE1(b)</t>
        </is>
      </c>
      <c r="C23" s="50" t="inlineStr">
        <is>
          <t>Exceptional education</t>
        </is>
      </c>
      <c r="D23" s="50" t="inlineStr">
        <is>
          <t>Provide our students with learning experiences that help them build the knowledge, skills and relationships to lead change for sustainable societies.</t>
        </is>
      </c>
      <c r="E23" s="50"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row>
    <row r="24" ht="150" customHeight="1">
      <c r="B24" s="7" t="inlineStr">
        <is>
          <t>EE1(c)</t>
        </is>
      </c>
      <c r="C24" s="50" t="inlineStr">
        <is>
          <t>Exceptional education</t>
        </is>
      </c>
      <c r="D24" s="50" t="inlineStr">
        <is>
          <t>Provide our students with learning experiences that help them build the knowledge, skills and relationships to lead change for sustainable societies.</t>
        </is>
      </c>
      <c r="E24" s="50"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row>
    <row r="25" ht="150" customHeight="1">
      <c r="B25" s="7" t="inlineStr">
        <is>
          <t>TR1(a)</t>
        </is>
      </c>
      <c r="C25" s="50" t="inlineStr">
        <is>
          <t>Transformational research</t>
        </is>
      </c>
      <c r="D25" s="50" t="inlineStr">
        <is>
          <t>Utilise the expertise of the University’s researchers through mutually beneficial partnerships to help address the University’s operational sustainability challenges.</t>
        </is>
      </c>
      <c r="E25" s="50"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row>
    <row r="26" ht="150" customHeight="1">
      <c r="B26" s="7" t="inlineStr">
        <is>
          <t>TR2(d)</t>
        </is>
      </c>
      <c r="C26" s="50" t="inlineStr">
        <is>
          <t>Transformational research</t>
        </is>
      </c>
      <c r="D26" s="50" t="inlineStr">
        <is>
          <t>Deliver high-quality research and partnerships that contribute to sustainability outcomes and demonstrable societal benefit.</t>
        </is>
      </c>
      <c r="E26" s="50"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row>
    <row r="27" ht="150" customHeight="1">
      <c r="B27" s="7" t="inlineStr">
        <is>
          <t>TR3(b)</t>
        </is>
      </c>
      <c r="C27" s="50" t="inlineStr">
        <is>
          <t>Transformational research</t>
        </is>
      </c>
      <c r="D27" s="50" t="inlineStr">
        <is>
          <t>Embed sustainability within research systems, processes, capability and culture, so research is conducted responsibly, efficiently and with reduced environmental impact.</t>
        </is>
      </c>
      <c r="E27" s="50"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row>
    <row r="28" ht="150" customHeight="1">
      <c r="B28" s="7" t="inlineStr">
        <is>
          <t>CL1(c)</t>
        </is>
      </c>
      <c r="C28" s="50" t="inlineStr">
        <is>
          <t>Climate leadership</t>
        </is>
      </c>
      <c r="D28" s="50"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0"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row>
    <row r="29" ht="150" customHeight="1">
      <c r="B29" s="7" t="inlineStr">
        <is>
          <t>AI1(a)</t>
        </is>
      </c>
      <c r="C29" s="50" t="inlineStr">
        <is>
          <t>Responsible AI</t>
        </is>
      </c>
      <c r="D29" s="50" t="inlineStr">
        <is>
          <t>Improve understanding of our sustainability-related risks and opportunities of AI technologies by 2028.</t>
        </is>
      </c>
      <c r="E29" s="50"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row>
    <row r="30" ht="150" customHeight="1">
      <c r="B30" s="7" t="inlineStr">
        <is>
          <t>AI1(b)</t>
        </is>
      </c>
      <c r="C30" s="50" t="inlineStr">
        <is>
          <t>Responsible AI</t>
        </is>
      </c>
      <c r="D30" s="50" t="inlineStr">
        <is>
          <t>Improve understanding of our sustainability-related risks and opportunities of AI technologies by 2028.</t>
        </is>
      </c>
      <c r="E30" s="50"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row>
    <row r="31" ht="150" customHeight="1">
      <c r="B31" s="7" t="inlineStr">
        <is>
          <t>MS1(a)</t>
        </is>
      </c>
      <c r="C31" s="50" t="inlineStr">
        <is>
          <t>Modern slavery and human rights</t>
        </is>
      </c>
      <c r="D31" s="50" t="inlineStr">
        <is>
          <t>Manage our approach to modern slavery and human rights-related risks and opportunities.</t>
        </is>
      </c>
      <c r="E31" s="50"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row>
    <row r="32" ht="150" customHeight="1">
      <c r="B32" s="7" t="inlineStr">
        <is>
          <t>RI1(b)</t>
        </is>
      </c>
      <c r="C32" s="50" t="inlineStr">
        <is>
          <t>Responsible investments</t>
        </is>
      </c>
      <c r="D32" s="50" t="inlineStr">
        <is>
          <t>Achieve net zero financed emissions for the University’s investment portfolio by 2050.</t>
        </is>
      </c>
      <c r="E32" s="50"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row>
    <row r="35" ht="150" customHeight="1">
      <c r="B35" s="7" t="inlineStr">
        <is>
          <t>EN1(d)</t>
        </is>
      </c>
      <c r="C35" s="50" t="inlineStr">
        <is>
          <t>Enablers</t>
        </is>
      </c>
      <c r="D35" s="50" t="inlineStr">
        <is>
          <t>Enablers</t>
        </is>
      </c>
      <c r="E35" s="50"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5" t="inlineStr">
        <is>
          <t>1.1  CFOG – Procurement</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TR3(b)</t>
        </is>
      </c>
      <c r="C10" s="50" t="inlineStr">
        <is>
          <t>Transformational research</t>
        </is>
      </c>
      <c r="D10" s="50" t="inlineStr">
        <is>
          <t>Embed sustainability within research systems, processes, capability and culture, so research is conducted responsibly, efficiently and with reduced environmental impact.</t>
        </is>
      </c>
      <c r="E10" s="50"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row>
    <row r="11" ht="150" customHeight="1">
      <c r="B11" s="7" t="inlineStr">
        <is>
          <t>NB2(c)</t>
        </is>
      </c>
      <c r="C11" s="50" t="inlineStr">
        <is>
          <t>Nature and biodiversity</t>
        </is>
      </c>
      <c r="D11" s="50" t="inlineStr">
        <is>
          <t>Improve our understanding of our supply chain impacts on nature.</t>
        </is>
      </c>
      <c r="E11" s="50"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row>
    <row r="12" ht="150" customHeight="1">
      <c r="B12" s="7" t="inlineStr">
        <is>
          <t>RP1(a)</t>
        </is>
      </c>
      <c r="C12" s="50" t="inlineStr">
        <is>
          <t>Responsible procurement</t>
        </is>
      </c>
      <c r="D12" s="50" t="inlineStr">
        <is>
          <t>Strengthen our ethical and sustainable procurement approach.</t>
        </is>
      </c>
      <c r="E12" s="50" t="inlineStr">
        <is>
          <t>Case studies of maturity improvement related to responsible procurement process and systems.</t>
        </is>
      </c>
      <c r="F12" s="8"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row>
    <row r="13" ht="150" customHeight="1">
      <c r="B13" s="7" t="inlineStr">
        <is>
          <t>MS1(a)</t>
        </is>
      </c>
      <c r="C13" s="50" t="inlineStr">
        <is>
          <t>Modern slavery and human rights</t>
        </is>
      </c>
      <c r="D13" s="50" t="inlineStr">
        <is>
          <t>Manage our approach to modern slavery and human rights-related risks and opportunities.</t>
        </is>
      </c>
      <c r="E13" s="50" t="inlineStr">
        <is>
          <t>Annual progress reporting via the Modern Slavery Statement</t>
        </is>
      </c>
      <c r="F13" s="8" t="inlineStr">
        <is>
          <t>In end-2025 reporting your area reported on the related SP2030 target 11c(i)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row>
    <row r="14" ht="150" customHeight="1">
      <c r="B14" s="7" t="inlineStr">
        <is>
          <t>EN1(c)</t>
        </is>
      </c>
      <c r="C14" s="50" t="inlineStr">
        <is>
          <t>Enablers</t>
        </is>
      </c>
      <c r="D14" s="50" t="inlineStr">
        <is>
          <t>Enablers</t>
        </is>
      </c>
      <c r="E14" s="50"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row>
    <row r="15" ht="150" customHeight="1">
      <c r="B15" s="7" t="inlineStr">
        <is>
          <t>EN1(d)</t>
        </is>
      </c>
      <c r="C15" s="50" t="inlineStr">
        <is>
          <t>Enablers</t>
        </is>
      </c>
      <c r="D15" s="50" t="inlineStr">
        <is>
          <t>Enablers</t>
        </is>
      </c>
      <c r="E15" s="50"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row>
    <row r="16"/>
    <row r="18">
      <c r="B18" s="45" t="inlineStr">
        <is>
          <t>1.2  CFOG – Treasury &amp; Investments</t>
        </is>
      </c>
    </row>
    <row r="20">
      <c r="C20" s="46" t="inlineStr">
        <is>
          <t>Sustainability 2030 target and indicator</t>
        </is>
      </c>
      <c r="H20" s="46" t="inlineStr">
        <is>
          <t>SR25 response</t>
        </is>
      </c>
      <c r="L20" s="47"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8" t="inlineStr">
        <is>
          <t>OPTION 1:  Target-level reporting (Column D)</t>
        </is>
      </c>
      <c r="M21" s="48" t="inlineStr">
        <is>
          <t>OPTION 2:  Indicator level reporting (Column E/F)</t>
        </is>
      </c>
      <c r="N21" s="48" t="inlineStr">
        <is>
          <t>Supporting information/comments</t>
        </is>
      </c>
      <c r="O21" s="48" t="inlineStr">
        <is>
          <t>Data source and limitations</t>
        </is>
      </c>
      <c r="P21" s="48" t="inlineStr">
        <is>
          <t>Data owner confirms information is accurate</t>
        </is>
      </c>
      <c r="Q21" s="48" t="inlineStr">
        <is>
          <t>Confirmed by (name, role, date)</t>
        </is>
      </c>
    </row>
    <row r="22">
      <c r="B22" s="49" t="inlineStr"/>
      <c r="C22" s="49" t="inlineStr"/>
      <c r="D22" s="49" t="inlineStr"/>
      <c r="E22" s="49" t="inlineStr"/>
      <c r="F22" s="49" t="inlineStr"/>
      <c r="G22" s="49" t="inlineStr"/>
      <c r="H22" s="49" t="inlineStr"/>
      <c r="I22" s="49" t="inlineStr"/>
      <c r="J22" s="49" t="inlineStr"/>
      <c r="K22" s="49" t="inlineStr"/>
      <c r="L22" s="49" t="inlineStr">
        <is>
          <t>A general update on activities in relation to the overarching target (Column D)</t>
        </is>
      </c>
      <c r="M22" s="49" t="inlineStr">
        <is>
          <t>Data and commentary in direct response to the reporting request (Column F)</t>
        </is>
      </c>
      <c r="N22" s="49" t="inlineStr">
        <is>
          <t>Any additional information (e.g. links, images, documents)</t>
        </is>
      </c>
      <c r="O22" s="49" t="inlineStr">
        <is>
          <t>Where did this information come from (system, report, survey, person)? Note any gaps or limitations.</t>
        </is>
      </c>
      <c r="P22" s="49" t="inlineStr">
        <is>
          <t>Select 'Yes' to confirm the information provided is accurate and can be used for reporting</t>
        </is>
      </c>
      <c r="Q22" s="49" t="inlineStr">
        <is>
          <t>Name, role and date of the person confirming</t>
        </is>
      </c>
    </row>
    <row r="23" ht="150" customHeight="1">
      <c r="B23" s="7" t="inlineStr">
        <is>
          <t>RI1(b)</t>
        </is>
      </c>
      <c r="C23" s="50" t="inlineStr">
        <is>
          <t>Responsible investments</t>
        </is>
      </c>
      <c r="D23" s="50" t="inlineStr">
        <is>
          <t>Achieve net zero financed emissions for the University’s investment portfolio by 2050.</t>
        </is>
      </c>
      <c r="E23" s="50"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5" t="inlineStr">
        <is>
          <t>1.1  ESG – Campus Operations &amp; Sustainability Delivery</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NB1(b)</t>
        </is>
      </c>
      <c r="C10" s="50" t="inlineStr">
        <is>
          <t>Nature and biodiversity</t>
        </is>
      </c>
      <c r="D10" s="50" t="inlineStr">
        <is>
          <t>Achieve an increase of biodiversity relative to defined baseline years for each campus.</t>
        </is>
      </c>
      <c r="E10" s="50" t="inlineStr">
        <is>
          <t>Size, health and diversity of remnant vegetation at the Dookie and Creswick campuses</t>
        </is>
      </c>
      <c r="F10" s="8" t="inlineStr">
        <is>
          <t>In end-2025 reporting your area reported on the related SP2030 target 9a(ii)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row>
    <row r="11" ht="150" customHeight="1">
      <c r="B11" s="7" t="inlineStr">
        <is>
          <t>NB1(c)</t>
        </is>
      </c>
      <c r="C11" s="50" t="inlineStr">
        <is>
          <t>Nature and biodiversity</t>
        </is>
      </c>
      <c r="D11" s="50" t="inlineStr">
        <is>
          <t>Achieve an increase of biodiversity relative to defined baseline years for each campus.</t>
        </is>
      </c>
      <c r="E11" s="50" t="inlineStr">
        <is>
          <t>Defined quality measurement framework</t>
        </is>
      </c>
      <c r="F11" s="8" t="inlineStr">
        <is>
          <t>In end-2025 reporting your area reported on the related SP2030 target 9a(i)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row>
    <row r="12" ht="150" customHeight="1">
      <c r="B12" s="7" t="inlineStr">
        <is>
          <t>NB1(d)</t>
        </is>
      </c>
      <c r="C12" s="50" t="inlineStr">
        <is>
          <t>Nature and biodiversity</t>
        </is>
      </c>
      <c r="D12" s="50" t="inlineStr">
        <is>
          <t>Achieve an increase of biodiversity relative to defined baseline years for each campus.</t>
        </is>
      </c>
      <c r="E12" s="50"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row>
    <row r="13" ht="150" customHeight="1">
      <c r="B13" s="7" t="inlineStr">
        <is>
          <t>NB2(b)</t>
        </is>
      </c>
      <c r="C13" s="50" t="inlineStr">
        <is>
          <t>Nature and biodiversity</t>
        </is>
      </c>
      <c r="D13" s="50" t="inlineStr">
        <is>
          <t>Improve our understanding of our supply chain impacts on nature.</t>
        </is>
      </c>
      <c r="E13" s="50"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row>
    <row r="14" ht="150" customHeight="1">
      <c r="B14" s="7" t="inlineStr">
        <is>
          <t>NB2(c)</t>
        </is>
      </c>
      <c r="C14" s="50" t="inlineStr">
        <is>
          <t>Nature and biodiversity</t>
        </is>
      </c>
      <c r="D14" s="50" t="inlineStr">
        <is>
          <t>Improve our understanding of our supply chain impacts on nature.</t>
        </is>
      </c>
      <c r="E14" s="50"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row>
    <row r="15" ht="150" customHeight="1">
      <c r="B15" s="7" t="inlineStr">
        <is>
          <t>EN1(c)</t>
        </is>
      </c>
      <c r="C15" s="50" t="inlineStr">
        <is>
          <t>Enablers</t>
        </is>
      </c>
      <c r="D15" s="50" t="inlineStr">
        <is>
          <t>Enablers</t>
        </is>
      </c>
      <c r="E15" s="50" t="inlineStr">
        <is>
          <t>Coordinated internal engagement and external partnerships contributing to delivery of sustainability outcomes across priority areas.</t>
        </is>
      </c>
      <c r="F15" s="8"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row>
    <row r="16" ht="150" customHeight="1">
      <c r="B16" s="7" t="inlineStr">
        <is>
          <t>EN1(d)</t>
        </is>
      </c>
      <c r="C16" s="50" t="inlineStr">
        <is>
          <t>Enablers</t>
        </is>
      </c>
      <c r="D16" s="50" t="inlineStr">
        <is>
          <t>Enablers</t>
        </is>
      </c>
      <c r="E16" s="50"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5" t="inlineStr">
        <is>
          <t>1.1  CIOG – Responsible AI &amp; digital</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AI1(a)</t>
        </is>
      </c>
      <c r="C10" s="50" t="inlineStr">
        <is>
          <t>Responsible AI</t>
        </is>
      </c>
      <c r="D10" s="50" t="inlineStr">
        <is>
          <t>Improve understanding of our sustainability-related risks and opportunities of AI technologies by 2028.</t>
        </is>
      </c>
      <c r="E10" s="50"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row>
    <row r="11" ht="150" customHeight="1">
      <c r="B11" s="7" t="inlineStr">
        <is>
          <t>AI1(b)</t>
        </is>
      </c>
      <c r="C11" s="50" t="inlineStr">
        <is>
          <t>Responsible AI</t>
        </is>
      </c>
      <c r="D11" s="50" t="inlineStr">
        <is>
          <t>Improve understanding of our sustainability-related risks and opportunities of AI technologies by 2028.</t>
        </is>
      </c>
      <c r="E11" s="50"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row>
    <row r="13" ht="150" customHeight="1">
      <c r="B13" s="7" t="inlineStr">
        <is>
          <t>EN1(d)</t>
        </is>
      </c>
      <c r="C13" s="50" t="inlineStr">
        <is>
          <t>Enablers</t>
        </is>
      </c>
      <c r="D13" s="50" t="inlineStr">
        <is>
          <t>Enablers</t>
        </is>
      </c>
      <c r="E13" s="50"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5" t="inlineStr">
        <is>
          <t>1.1  MRE – Research (incl. MBI – TBC)</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TR1(b)</t>
        </is>
      </c>
      <c r="C10" s="50" t="inlineStr">
        <is>
          <t>Transformational research</t>
        </is>
      </c>
      <c r="D10" s="50" t="inlineStr">
        <is>
          <t>Utilise the expertise of the University’s researchers through mutually beneficial partnerships to help address the University’s operational sustainability challenges.</t>
        </is>
      </c>
      <c r="E10" s="50"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row>
    <row r="11" ht="150" customHeight="1">
      <c r="B11" s="7" t="inlineStr">
        <is>
          <t>TR1(c)</t>
        </is>
      </c>
      <c r="C11" s="50" t="inlineStr">
        <is>
          <t>Transformational research</t>
        </is>
      </c>
      <c r="D11" s="50" t="inlineStr">
        <is>
          <t>Utilise the expertise of the University’s researchers through mutually beneficial partnerships to help address the University’s operational sustainability challenges.</t>
        </is>
      </c>
      <c r="E11" s="50"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row>
    <row r="12" ht="150" customHeight="1">
      <c r="B12" s="7" t="inlineStr">
        <is>
          <t>TR1(d)</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row>
    <row r="13" ht="150" customHeight="1">
      <c r="B13" s="7" t="inlineStr">
        <is>
          <t>TR2(c)</t>
        </is>
      </c>
      <c r="C13" s="50" t="inlineStr">
        <is>
          <t>Transformational research</t>
        </is>
      </c>
      <c r="D13" s="50" t="inlineStr">
        <is>
          <t>Deliver high-quality research and partnerships that contribute to sustainability outcomes and demonstrable societal benefit.</t>
        </is>
      </c>
      <c r="E13" s="50" t="inlineStr">
        <is>
          <t>Expert-reviewed summary of sustainability-related research outputs, outcomes and influence using available institutional evidence sources</t>
        </is>
      </c>
      <c r="F13" s="8" t="inlineStr">
        <is>
          <t>In end-2025 reporting your area reported on the related SP2030 target 5b(iii)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row>
    <row r="14" ht="150" customHeight="1">
      <c r="B14" s="7" t="inlineStr">
        <is>
          <t>TR3(a)</t>
        </is>
      </c>
      <c r="C14" s="50" t="inlineStr">
        <is>
          <t>Transformational research</t>
        </is>
      </c>
      <c r="D14" s="50" t="inlineStr">
        <is>
          <t>Embed sustainability within research systems, processes, capability and culture, so research is conducted responsibly, efficiently and with reduced environmental impact.</t>
        </is>
      </c>
      <c r="E14" s="50" t="inlineStr">
        <is>
          <t>Evidence that sustainability considerations are integrated into relevant research systems, planning processes, guidance, training, induction or support services</t>
        </is>
      </c>
      <c r="F14" s="8"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row>
    <row r="15" ht="150" customHeight="1">
      <c r="B15" s="7" t="inlineStr">
        <is>
          <t>TR3(c)</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row>
    <row r="16" ht="150" customHeight="1">
      <c r="B16" s="7" t="inlineStr">
        <is>
          <t>TR3(d)</t>
        </is>
      </c>
      <c r="C16" s="50" t="inlineStr">
        <is>
          <t>Transformational research</t>
        </is>
      </c>
      <c r="D16" s="50" t="inlineStr">
        <is>
          <t>Embed sustainability within research systems, processes, capability and culture, so research is conducted responsibly, efficiently and with reduced environmental impact.</t>
        </is>
      </c>
      <c r="E16" s="50"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row>
    <row r="17" ht="150" customHeight="1">
      <c r="B17" s="7" t="inlineStr">
        <is>
          <t>NB2(a)</t>
        </is>
      </c>
      <c r="C17" s="50" t="inlineStr">
        <is>
          <t>Nature and biodiversity</t>
        </is>
      </c>
      <c r="D17" s="50" t="inlineStr">
        <is>
          <t>Improve our understanding of our supply chain impacts on nature.</t>
        </is>
      </c>
      <c r="E17" s="50"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5" t="inlineStr">
        <is>
          <t>1.1  AC&amp;M – Advancement, Communication and Marketing</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TR2(a)</t>
        </is>
      </c>
      <c r="C10" s="50" t="inlineStr">
        <is>
          <t>Transformational research</t>
        </is>
      </c>
      <c r="D10" s="50" t="inlineStr">
        <is>
          <t>Deliver high-quality research and partnerships that contribute to sustainability outcomes and demonstrable societal benefit.</t>
        </is>
      </c>
      <c r="E10" s="50"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row>
    <row r="11" ht="150" customHeight="1">
      <c r="B11" s="7" t="inlineStr">
        <is>
          <t>CL2(a)</t>
        </is>
      </c>
      <c r="C11" s="50" t="inlineStr">
        <is>
          <t>Climate leadership</t>
        </is>
      </c>
      <c r="D11" s="50" t="inlineStr">
        <is>
          <t>Develop understanding of our research and education programs that contribute to accelerating global decarbonisation and our own climate transition.</t>
        </is>
      </c>
      <c r="E11" s="50"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row>
    <row r="12" ht="150" customHeight="1">
      <c r="B12" s="7" t="inlineStr">
        <is>
          <t>CL2(c)</t>
        </is>
      </c>
      <c r="C12" s="50" t="inlineStr">
        <is>
          <t>Climate leadership</t>
        </is>
      </c>
      <c r="D12" s="50" t="inlineStr">
        <is>
          <t>Develop understanding of our research and education programs that contribute to accelerating global decarbonisation and our own climate transition.</t>
        </is>
      </c>
      <c r="E12" s="50" t="inlineStr">
        <is>
          <t>Ongoing communications that evidence the University’s climate action, research and learning to inform policy, sector and community decarbonisation efforts.</t>
        </is>
      </c>
      <c r="F12" s="8"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row>
    <row r="13" ht="150" customHeight="1">
      <c r="B13" s="7" t="inlineStr">
        <is>
          <t>EN1(c)</t>
        </is>
      </c>
      <c r="C13" s="50" t="inlineStr">
        <is>
          <t>Enablers</t>
        </is>
      </c>
      <c r="D13" s="50" t="inlineStr">
        <is>
          <t>Enablers</t>
        </is>
      </c>
      <c r="E13" s="50" t="inlineStr">
        <is>
          <t>Coordinated internal engagement and external partnerships contributing to delivery of sustainability outcomes across priority areas.</t>
        </is>
      </c>
      <c r="F13" s="8"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5" t="inlineStr">
        <is>
          <t>1.1  GCE – Global, Culture and Engagement</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row>
    <row r="11" ht="150" customHeight="1">
      <c r="B11" s="7" t="inlineStr">
        <is>
          <t>EN1(c)</t>
        </is>
      </c>
      <c r="C11" s="50" t="inlineStr">
        <is>
          <t>Enablers</t>
        </is>
      </c>
      <c r="D11" s="50" t="inlineStr">
        <is>
          <t>Enablers</t>
        </is>
      </c>
      <c r="E11" s="50" t="inlineStr">
        <is>
          <t>Coordinated internal engagement and external partnerships contributing to delivery of sustainability outcomes across priority areas.</t>
        </is>
      </c>
      <c r="F11" s="8"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Chancellery Education</t>
        </is>
      </c>
    </row>
    <row r="3">
      <c r="B3" s="20" t="inlineStr">
        <is>
          <t>Consolidated responses – paste from returned request workbooks (identical column layout). Click [+] above Columns H–K for end-2025 responses.</t>
        </is>
      </c>
    </row>
    <row r="5">
      <c r="B5" s="45" t="inlineStr">
        <is>
          <t>1.1  Education – Chancellery Education</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5" t="inlineStr">
        <is>
          <t>1.1  SaSS – Student and Scholarly Services</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EE1(c)</t>
        </is>
      </c>
      <c r="C10" s="50" t="inlineStr">
        <is>
          <t>Exceptional education</t>
        </is>
      </c>
      <c r="D10" s="50" t="inlineStr">
        <is>
          <t>Provide our students with learning experiences that help them build the knowledge, skills and relationships to lead change for sustainable societies.</t>
        </is>
      </c>
      <c r="E10" s="50" t="inlineStr">
        <is>
          <t>Evidence of sustainability focused experiential and co curricular learning (eg Wattle Fellowship; Melbourne Plus)</t>
        </is>
      </c>
      <c r="F10" s="8"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row>
    <row r="11" ht="150" customHeight="1">
      <c r="B11" s="7" t="inlineStr">
        <is>
          <t>EE1(d)</t>
        </is>
      </c>
      <c r="C11" s="50" t="inlineStr">
        <is>
          <t>Exceptional education</t>
        </is>
      </c>
      <c r="D11" s="50" t="inlineStr">
        <is>
          <t>Provide our students with learning experiences that help them build the knowledge, skills and relationships to lead change for sustainable societies.</t>
        </is>
      </c>
      <c r="E11" s="50" t="inlineStr">
        <is>
          <t>Alumni profiles demonstrating how graduates contribute to sustainability through their careers or communities.</t>
        </is>
      </c>
      <c r="F11" s="8"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Chancellery Indigenous</t>
        </is>
      </c>
    </row>
    <row r="3">
      <c r="B3" s="20" t="inlineStr">
        <is>
          <t>Consolidated responses – paste from returned request workbooks (identical column layout). Click [+] above Columns H–K for end-2025 responses.</t>
        </is>
      </c>
    </row>
    <row r="5">
      <c r="B5" s="45" t="inlineStr">
        <is>
          <t>1.1  Indigenous – Chancellery Indigenous</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Legal and Risk</t>
        </is>
      </c>
    </row>
    <row r="3">
      <c r="B3" s="20" t="inlineStr">
        <is>
          <t>Consolidated responses – paste from returned request workbooks (identical column layout). Click [+] above Columns H–K for end-2025 responses.</t>
        </is>
      </c>
    </row>
    <row r="5">
      <c r="B5" s="45" t="inlineStr">
        <is>
          <t>1.1  Legal &amp; Risk – Risk &amp; resilience</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200"/>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s>
  <sheetData>
    <row r="1">
      <c r="A1" s="1" t="inlineStr">
        <is>
          <t>↑</t>
        </is>
      </c>
      <c r="B1" s="2" t="inlineStr">
        <is>
          <t>SR26 sustainability reporting</t>
        </is>
      </c>
    </row>
    <row r="2">
      <c r="B2" s="3" t="inlineStr">
        <is>
          <t>A1. Response summary</t>
        </is>
      </c>
    </row>
    <row r="4">
      <c r="C4" s="32" t="inlineStr">
        <is>
          <t>Description</t>
        </is>
      </c>
      <c r="D4" s="9"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9">
      <c r="H9" s="51" t="inlineStr">
        <is>
          <t>Faculty</t>
        </is>
      </c>
      <c r="I9" s="51" t="inlineStr">
        <is>
          <t>Faculty</t>
        </is>
      </c>
      <c r="J9" s="51" t="inlineStr">
        <is>
          <t>Faculty</t>
        </is>
      </c>
      <c r="K9" s="51" t="inlineStr">
        <is>
          <t>Faculty</t>
        </is>
      </c>
      <c r="L9" s="51" t="inlineStr">
        <is>
          <t>Central</t>
        </is>
      </c>
      <c r="M9" s="51" t="inlineStr">
        <is>
          <t>Central</t>
        </is>
      </c>
      <c r="N9" s="51" t="inlineStr">
        <is>
          <t>Central</t>
        </is>
      </c>
      <c r="O9" s="51" t="inlineStr">
        <is>
          <t>Central</t>
        </is>
      </c>
      <c r="P9" s="51" t="inlineStr">
        <is>
          <t>Central</t>
        </is>
      </c>
      <c r="Q9" s="51" t="inlineStr">
        <is>
          <t>Central</t>
        </is>
      </c>
      <c r="R9" s="51" t="inlineStr">
        <is>
          <t>Central</t>
        </is>
      </c>
      <c r="S9" s="51" t="inlineStr">
        <is>
          <t>Central</t>
        </is>
      </c>
      <c r="T9" s="51" t="inlineStr">
        <is>
          <t>Central</t>
        </is>
      </c>
      <c r="U9" s="51" t="inlineStr">
        <is>
          <t>Central</t>
        </is>
      </c>
      <c r="V9" s="51" t="inlineStr">
        <is>
          <t>Central</t>
        </is>
      </c>
      <c r="W9" s="51" t="inlineStr">
        <is>
          <t>Central</t>
        </is>
      </c>
      <c r="X9" s="51"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Units asked</t>
        </is>
      </c>
      <c r="AA10" s="6" t="inlineStr">
        <is>
          <t>Responses received</t>
        </is>
      </c>
      <c r="AB10" s="6" t="inlineStr">
        <is>
          <t>Awaiting response</t>
        </is>
      </c>
      <c r="AC10" s="6" t="inlineStr">
        <is>
          <t>Owner confirmed</t>
        </is>
      </c>
    </row>
    <row r="11">
      <c r="A11">
        <f>F11&amp;"|"&amp;G11</f>
        <v/>
      </c>
      <c r="B11" s="7" t="inlineStr">
        <is>
          <t>EE1(a)</t>
        </is>
      </c>
      <c r="C11" s="50" t="inlineStr">
        <is>
          <t>Exceptional education</t>
        </is>
      </c>
      <c r="D11" s="50" t="inlineStr">
        <is>
          <t>Evidence of innovative approaches to sustainability teaching and learning</t>
        </is>
      </c>
      <c r="E11" s="50"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0" t="inlineStr">
        <is>
          <t>EE1(a)</t>
        </is>
      </c>
      <c r="G11" s="50" t="inlineStr">
        <is>
          <t>OPTION 1:  Target-level reporting</t>
        </is>
      </c>
      <c r="H11" s="52">
        <f>IFERROR(IF(INDEX('Faculties'!$L$10:$L$19,MATCH($F11,'Faculties'!$B$10:$B$19,0))="","Cell will autofill based on response",INDEX('Faculties'!$L$10:$L$19,MATCH($F11,'Faculties'!$B$10:$B$19,0))),"N/A")</f>
        <v/>
      </c>
      <c r="I11" s="52">
        <f>IFERROR(IF(INDEX('Faculties'!$L$26:$L$35,MATCH($F11,'Faculties'!$B$26:$B$35,0))="","Cell will autofill based on response",INDEX('Faculties'!$L$26:$L$35,MATCH($F11,'Faculties'!$B$26:$B$35,0))),"N/A")</f>
        <v/>
      </c>
      <c r="J11" s="52">
        <f>IFERROR(IF(INDEX('Faculties'!$L$42:$L$51,MATCH($F11,'Faculties'!$B$42:$B$51,0))="","Cell will autofill based on response",INDEX('Faculties'!$L$42:$L$51,MATCH($F11,'Faculties'!$B$42:$B$51,0))),"N/A")</f>
        <v/>
      </c>
      <c r="K11" s="52">
        <f>IFERROR(IF(INDEX('Faculties'!$L$58:$L$67,MATCH($F11,'Faculties'!$B$58:$B$67,0))="","Cell will autofill based on response",INDEX('Faculties'!$L$58:$L$67,MATCH($F11,'Faculties'!$B$58:$B$67,0))),"N/A")</f>
        <v/>
      </c>
      <c r="L11" s="52">
        <f>IFERROR(IF(INDEX('CI&amp;S'!$L$10:$L$15,MATCH($F11,'CI&amp;S'!$B$10:$B$15,0))="","Cell will autofill based on response",INDEX('CI&amp;S'!$L$10:$L$15,MATCH($F11,'CI&amp;S'!$B$10:$B$15,0))),"N/A")</f>
        <v/>
      </c>
      <c r="M11" s="52">
        <f>IFERROR(IF(INDEX('CI&amp;S'!$L$22:$L$36,MATCH($F11,'CI&amp;S'!$B$22:$B$36,0))="","Cell will autofill based on response",INDEX('CI&amp;S'!$L$22:$L$36,MATCH($F11,'CI&amp;S'!$B$22:$B$36,0))),"N/A")</f>
        <v/>
      </c>
      <c r="N11" s="52">
        <f>IFERROR(IF(INDEX('CFOG'!$L$10:$L$16,MATCH($F11,'CFOG'!$B$10:$B$16,0))="","Cell will autofill based on response",INDEX('CFOG'!$L$10:$L$16,MATCH($F11,'CFOG'!$B$10:$B$16,0))),"N/A")</f>
        <v/>
      </c>
      <c r="O11" s="52">
        <f>IFERROR(IF(INDEX('CFOG'!$L$23:$L$24,MATCH($F11,'CFOG'!$B$23:$B$24,0))="","Cell will autofill based on response",INDEX('CFOG'!$L$23:$L$24,MATCH($F11,'CFOG'!$B$23:$B$24,0))),"N/A")</f>
        <v/>
      </c>
      <c r="P11" s="52">
        <f>IFERROR(IF(INDEX('ESG'!$L$10:$L$17,MATCH($F11,'ESG'!$B$10:$B$17,0))="","Cell will autofill based on response",INDEX('ESG'!$L$10:$L$17,MATCH($F11,'ESG'!$B$10:$B$17,0))),"N/A")</f>
        <v/>
      </c>
      <c r="Q11" s="52">
        <f>IFERROR(IF(INDEX('CIOG'!$L$10:$L$14,MATCH($F11,'CIOG'!$B$10:$B$14,0))="","Cell will autofill based on response",INDEX('CIOG'!$L$10:$L$14,MATCH($F11,'CIOG'!$B$10:$B$14,0))),"N/A")</f>
        <v/>
      </c>
      <c r="R11" s="52">
        <f>IFERROR(IF(INDEX('MRE'!$L$10:$L$18,MATCH($F11,'MRE'!$B$10:$B$18,0))="","Cell will autofill based on response",INDEX('MRE'!$L$10:$L$18,MATCH($F11,'MRE'!$B$10:$B$18,0))),"N/A")</f>
        <v/>
      </c>
      <c r="S11" s="52">
        <f>IFERROR(IF(INDEX('AC&amp;M'!$L$10:$L$14,MATCH($F11,'AC&amp;M'!$B$10:$B$14,0))="","Cell will autofill based on response",INDEX('AC&amp;M'!$L$10:$L$14,MATCH($F11,'AC&amp;M'!$B$10:$B$14,0))),"N/A")</f>
        <v/>
      </c>
      <c r="T11" s="52">
        <f>IFERROR(IF(INDEX('GCE'!$L$10:$L$12,MATCH($F11,'GCE'!$B$10:$B$12,0))="","Cell will autofill based on response",INDEX('GCE'!$L$10:$L$12,MATCH($F11,'GCE'!$B$10:$B$12,0))),"N/A")</f>
        <v/>
      </c>
      <c r="U11" s="52">
        <f>IFERROR(IF(INDEX('Education'!$L$10:$L$13,MATCH($F11,'Education'!$B$10:$B$13,0))="","Cell will autofill based on response",INDEX('Education'!$L$10:$L$13,MATCH($F11,'Education'!$B$10:$B$13,0))),"N/A")</f>
        <v/>
      </c>
      <c r="V11" s="52">
        <f>IFERROR(IF(INDEX('SaSS'!$L$10:$L$12,MATCH($F11,'SaSS'!$B$10:$B$12,0))="","Cell will autofill based on response",INDEX('SaSS'!$L$10:$L$12,MATCH($F11,'SaSS'!$B$10:$B$12,0))),"N/A")</f>
        <v/>
      </c>
      <c r="W11" s="52">
        <f>IFERROR(IF(INDEX('Indigenous'!$L$10:$L$11,MATCH($F11,'Indigenous'!$B$10:$B$11,0))="","Cell will autofill based on response",INDEX('Indigenous'!$L$10:$L$11,MATCH($F11,'Indigenous'!$B$10:$B$11,0))),"N/A")</f>
        <v/>
      </c>
      <c r="X11" s="52">
        <f>IFERROR(IF(INDEX('L&amp;R'!$L$10:$L$11,MATCH($F11,'L&amp;R'!$B$10:$B$11,0))="","Cell will autofill based on response",INDEX('L&amp;R'!$L$10:$L$11,MATCH($F11,'L&amp;R'!$B$10:$B$11,0))),"N/A")</f>
        <v/>
      </c>
      <c r="Z11" s="10">
        <f>SUMPRODUCT(--($H11:$X11&lt;&gt;"N/A"))</f>
        <v/>
      </c>
      <c r="AA11" s="10">
        <f>SUMPRODUCT(--(((($H11:$X11&lt;&gt;"N/A")*($H11:$X11&lt;&gt;"Cell will autofill based on response"))+(($H12:$X12&lt;&gt;"N/A")*($H12:$X12&lt;&gt;"Cell will autofill based on response")))&gt;0))</f>
        <v/>
      </c>
      <c r="AB11" s="10">
        <f>Z11-AA11</f>
        <v/>
      </c>
      <c r="AC11" s="10">
        <f>COUNTIF($H15:$X15,"Yes")</f>
        <v/>
      </c>
    </row>
    <row r="12">
      <c r="A12">
        <f>F12&amp;"|"&amp;G12</f>
        <v/>
      </c>
      <c r="B12" s="13" t="inlineStr"/>
      <c r="C12" s="8" t="inlineStr"/>
      <c r="D12" s="8" t="inlineStr"/>
      <c r="E12" s="8" t="inlineStr"/>
      <c r="F12" s="8" t="inlineStr">
        <is>
          <t>EE1(a)</t>
        </is>
      </c>
      <c r="G12" s="8" t="inlineStr">
        <is>
          <t>OPTION 2:  Indicator level reporting</t>
        </is>
      </c>
      <c r="H12" s="52">
        <f>IFERROR(IF(INDEX('Faculties'!$M$10:$M$19,MATCH($F12,'Faculties'!$B$10:$B$19,0))="","Cell will autofill based on response",INDEX('Faculties'!$M$10:$M$19,MATCH($F12,'Faculties'!$B$10:$B$19,0))),"N/A")</f>
        <v/>
      </c>
      <c r="I12" s="52">
        <f>IFERROR(IF(INDEX('Faculties'!$M$26:$M$35,MATCH($F12,'Faculties'!$B$26:$B$35,0))="","Cell will autofill based on response",INDEX('Faculties'!$M$26:$M$35,MATCH($F12,'Faculties'!$B$26:$B$35,0))),"N/A")</f>
        <v/>
      </c>
      <c r="J12" s="52">
        <f>IFERROR(IF(INDEX('Faculties'!$M$42:$M$51,MATCH($F12,'Faculties'!$B$42:$B$51,0))="","Cell will autofill based on response",INDEX('Faculties'!$M$42:$M$51,MATCH($F12,'Faculties'!$B$42:$B$51,0))),"N/A")</f>
        <v/>
      </c>
      <c r="K12" s="52">
        <f>IFERROR(IF(INDEX('Faculties'!$M$58:$M$67,MATCH($F12,'Faculties'!$B$58:$B$67,0))="","Cell will autofill based on response",INDEX('Faculties'!$M$58:$M$67,MATCH($F12,'Faculties'!$B$58:$B$67,0))),"N/A")</f>
        <v/>
      </c>
      <c r="L12" s="52">
        <f>IFERROR(IF(INDEX('CI&amp;S'!$M$10:$M$15,MATCH($F12,'CI&amp;S'!$B$10:$B$15,0))="","Cell will autofill based on response",INDEX('CI&amp;S'!$M$10:$M$15,MATCH($F12,'CI&amp;S'!$B$10:$B$15,0))),"N/A")</f>
        <v/>
      </c>
      <c r="M12" s="52">
        <f>IFERROR(IF(INDEX('CI&amp;S'!$M$22:$M$36,MATCH($F12,'CI&amp;S'!$B$22:$B$36,0))="","Cell will autofill based on response",INDEX('CI&amp;S'!$M$22:$M$36,MATCH($F12,'CI&amp;S'!$B$22:$B$36,0))),"N/A")</f>
        <v/>
      </c>
      <c r="N12" s="52">
        <f>IFERROR(IF(INDEX('CFOG'!$M$10:$M$16,MATCH($F12,'CFOG'!$B$10:$B$16,0))="","Cell will autofill based on response",INDEX('CFOG'!$M$10:$M$16,MATCH($F12,'CFOG'!$B$10:$B$16,0))),"N/A")</f>
        <v/>
      </c>
      <c r="O12" s="52">
        <f>IFERROR(IF(INDEX('CFOG'!$M$23:$M$24,MATCH($F12,'CFOG'!$B$23:$B$24,0))="","Cell will autofill based on response",INDEX('CFOG'!$M$23:$M$24,MATCH($F12,'CFOG'!$B$23:$B$24,0))),"N/A")</f>
        <v/>
      </c>
      <c r="P12" s="52">
        <f>IFERROR(IF(INDEX('ESG'!$M$10:$M$17,MATCH($F12,'ESG'!$B$10:$B$17,0))="","Cell will autofill based on response",INDEX('ESG'!$M$10:$M$17,MATCH($F12,'ESG'!$B$10:$B$17,0))),"N/A")</f>
        <v/>
      </c>
      <c r="Q12" s="52">
        <f>IFERROR(IF(INDEX('CIOG'!$M$10:$M$14,MATCH($F12,'CIOG'!$B$10:$B$14,0))="","Cell will autofill based on response",INDEX('CIOG'!$M$10:$M$14,MATCH($F12,'CIOG'!$B$10:$B$14,0))),"N/A")</f>
        <v/>
      </c>
      <c r="R12" s="52">
        <f>IFERROR(IF(INDEX('MRE'!$M$10:$M$18,MATCH($F12,'MRE'!$B$10:$B$18,0))="","Cell will autofill based on response",INDEX('MRE'!$M$10:$M$18,MATCH($F12,'MRE'!$B$10:$B$18,0))),"N/A")</f>
        <v/>
      </c>
      <c r="S12" s="52">
        <f>IFERROR(IF(INDEX('AC&amp;M'!$M$10:$M$14,MATCH($F12,'AC&amp;M'!$B$10:$B$14,0))="","Cell will autofill based on response",INDEX('AC&amp;M'!$M$10:$M$14,MATCH($F12,'AC&amp;M'!$B$10:$B$14,0))),"N/A")</f>
        <v/>
      </c>
      <c r="T12" s="52">
        <f>IFERROR(IF(INDEX('GCE'!$M$10:$M$12,MATCH($F12,'GCE'!$B$10:$B$12,0))="","Cell will autofill based on response",INDEX('GCE'!$M$10:$M$12,MATCH($F12,'GCE'!$B$10:$B$12,0))),"N/A")</f>
        <v/>
      </c>
      <c r="U12" s="52">
        <f>IFERROR(IF(INDEX('Education'!$M$10:$M$13,MATCH($F12,'Education'!$B$10:$B$13,0))="","Cell will autofill based on response",INDEX('Education'!$M$10:$M$13,MATCH($F12,'Education'!$B$10:$B$13,0))),"N/A")</f>
        <v/>
      </c>
      <c r="V12" s="52">
        <f>IFERROR(IF(INDEX('SaSS'!$M$10:$M$12,MATCH($F12,'SaSS'!$B$10:$B$12,0))="","Cell will autofill based on response",INDEX('SaSS'!$M$10:$M$12,MATCH($F12,'SaSS'!$B$10:$B$12,0))),"N/A")</f>
        <v/>
      </c>
      <c r="W12" s="52">
        <f>IFERROR(IF(INDEX('Indigenous'!$M$10:$M$11,MATCH($F12,'Indigenous'!$B$10:$B$11,0))="","Cell will autofill based on response",INDEX('Indigenous'!$M$10:$M$11,MATCH($F12,'Indigenous'!$B$10:$B$11,0))),"N/A")</f>
        <v/>
      </c>
      <c r="X12" s="52">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Supporting information/comments</t>
        </is>
      </c>
      <c r="H13" s="52">
        <f>IFERROR(IF(INDEX('Faculties'!$N$10:$N$19,MATCH($F13,'Faculties'!$B$10:$B$19,0))="","Cell will autofill based on response",INDEX('Faculties'!$N$10:$N$19,MATCH($F13,'Faculties'!$B$10:$B$19,0))),"N/A")</f>
        <v/>
      </c>
      <c r="I13" s="52">
        <f>IFERROR(IF(INDEX('Faculties'!$N$26:$N$35,MATCH($F13,'Faculties'!$B$26:$B$35,0))="","Cell will autofill based on response",INDEX('Faculties'!$N$26:$N$35,MATCH($F13,'Faculties'!$B$26:$B$35,0))),"N/A")</f>
        <v/>
      </c>
      <c r="J13" s="52">
        <f>IFERROR(IF(INDEX('Faculties'!$N$42:$N$51,MATCH($F13,'Faculties'!$B$42:$B$51,0))="","Cell will autofill based on response",INDEX('Faculties'!$N$42:$N$51,MATCH($F13,'Faculties'!$B$42:$B$51,0))),"N/A")</f>
        <v/>
      </c>
      <c r="K13" s="52">
        <f>IFERROR(IF(INDEX('Faculties'!$N$58:$N$67,MATCH($F13,'Faculties'!$B$58:$B$67,0))="","Cell will autofill based on response",INDEX('Faculties'!$N$58:$N$67,MATCH($F13,'Faculties'!$B$58:$B$67,0))),"N/A")</f>
        <v/>
      </c>
      <c r="L13" s="52">
        <f>IFERROR(IF(INDEX('CI&amp;S'!$N$10:$N$15,MATCH($F13,'CI&amp;S'!$B$10:$B$15,0))="","Cell will autofill based on response",INDEX('CI&amp;S'!$N$10:$N$15,MATCH($F13,'CI&amp;S'!$B$10:$B$15,0))),"N/A")</f>
        <v/>
      </c>
      <c r="M13" s="52">
        <f>IFERROR(IF(INDEX('CI&amp;S'!$N$22:$N$36,MATCH($F13,'CI&amp;S'!$B$22:$B$36,0))="","Cell will autofill based on response",INDEX('CI&amp;S'!$N$22:$N$36,MATCH($F13,'CI&amp;S'!$B$22:$B$36,0))),"N/A")</f>
        <v/>
      </c>
      <c r="N13" s="52">
        <f>IFERROR(IF(INDEX('CFOG'!$N$10:$N$16,MATCH($F13,'CFOG'!$B$10:$B$16,0))="","Cell will autofill based on response",INDEX('CFOG'!$N$10:$N$16,MATCH($F13,'CFOG'!$B$10:$B$16,0))),"N/A")</f>
        <v/>
      </c>
      <c r="O13" s="52">
        <f>IFERROR(IF(INDEX('CFOG'!$N$23:$N$24,MATCH($F13,'CFOG'!$B$23:$B$24,0))="","Cell will autofill based on response",INDEX('CFOG'!$N$23:$N$24,MATCH($F13,'CFOG'!$B$23:$B$24,0))),"N/A")</f>
        <v/>
      </c>
      <c r="P13" s="52">
        <f>IFERROR(IF(INDEX('ESG'!$N$10:$N$17,MATCH($F13,'ESG'!$B$10:$B$17,0))="","Cell will autofill based on response",INDEX('ESG'!$N$10:$N$17,MATCH($F13,'ESG'!$B$10:$B$17,0))),"N/A")</f>
        <v/>
      </c>
      <c r="Q13" s="52">
        <f>IFERROR(IF(INDEX('CIOG'!$N$10:$N$14,MATCH($F13,'CIOG'!$B$10:$B$14,0))="","Cell will autofill based on response",INDEX('CIOG'!$N$10:$N$14,MATCH($F13,'CIOG'!$B$10:$B$14,0))),"N/A")</f>
        <v/>
      </c>
      <c r="R13" s="52">
        <f>IFERROR(IF(INDEX('MRE'!$N$10:$N$18,MATCH($F13,'MRE'!$B$10:$B$18,0))="","Cell will autofill based on response",INDEX('MRE'!$N$10:$N$18,MATCH($F13,'MRE'!$B$10:$B$18,0))),"N/A")</f>
        <v/>
      </c>
      <c r="S13" s="52">
        <f>IFERROR(IF(INDEX('AC&amp;M'!$N$10:$N$14,MATCH($F13,'AC&amp;M'!$B$10:$B$14,0))="","Cell will autofill based on response",INDEX('AC&amp;M'!$N$10:$N$14,MATCH($F13,'AC&amp;M'!$B$10:$B$14,0))),"N/A")</f>
        <v/>
      </c>
      <c r="T13" s="52">
        <f>IFERROR(IF(INDEX('GCE'!$N$10:$N$12,MATCH($F13,'GCE'!$B$10:$B$12,0))="","Cell will autofill based on response",INDEX('GCE'!$N$10:$N$12,MATCH($F13,'GCE'!$B$10:$B$12,0))),"N/A")</f>
        <v/>
      </c>
      <c r="U13" s="52">
        <f>IFERROR(IF(INDEX('Education'!$N$10:$N$13,MATCH($F13,'Education'!$B$10:$B$13,0))="","Cell will autofill based on response",INDEX('Education'!$N$10:$N$13,MATCH($F13,'Education'!$B$10:$B$13,0))),"N/A")</f>
        <v/>
      </c>
      <c r="V13" s="52">
        <f>IFERROR(IF(INDEX('SaSS'!$N$10:$N$12,MATCH($F13,'SaSS'!$B$10:$B$12,0))="","Cell will autofill based on response",INDEX('SaSS'!$N$10:$N$12,MATCH($F13,'SaSS'!$B$10:$B$12,0))),"N/A")</f>
        <v/>
      </c>
      <c r="W13" s="52">
        <f>IFERROR(IF(INDEX('Indigenous'!$N$10:$N$11,MATCH($F13,'Indigenous'!$B$10:$B$11,0))="","Cell will autofill based on response",INDEX('Indigenous'!$N$10:$N$11,MATCH($F13,'Indigenous'!$B$10:$B$11,0))),"N/A")</f>
        <v/>
      </c>
      <c r="X13" s="52">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Data source and limitations</t>
        </is>
      </c>
      <c r="H14" s="52">
        <f>IFERROR(IF(INDEX('Faculties'!$O$10:$O$19,MATCH($F14,'Faculties'!$B$10:$B$19,0))="","Cell will autofill based on response",INDEX('Faculties'!$O$10:$O$19,MATCH($F14,'Faculties'!$B$10:$B$19,0))),"N/A")</f>
        <v/>
      </c>
      <c r="I14" s="52">
        <f>IFERROR(IF(INDEX('Faculties'!$O$26:$O$35,MATCH($F14,'Faculties'!$B$26:$B$35,0))="","Cell will autofill based on response",INDEX('Faculties'!$O$26:$O$35,MATCH($F14,'Faculties'!$B$26:$B$35,0))),"N/A")</f>
        <v/>
      </c>
      <c r="J14" s="52">
        <f>IFERROR(IF(INDEX('Faculties'!$O$42:$O$51,MATCH($F14,'Faculties'!$B$42:$B$51,0))="","Cell will autofill based on response",INDEX('Faculties'!$O$42:$O$51,MATCH($F14,'Faculties'!$B$42:$B$51,0))),"N/A")</f>
        <v/>
      </c>
      <c r="K14" s="52">
        <f>IFERROR(IF(INDEX('Faculties'!$O$58:$O$67,MATCH($F14,'Faculties'!$B$58:$B$67,0))="","Cell will autofill based on response",INDEX('Faculties'!$O$58:$O$67,MATCH($F14,'Faculties'!$B$58:$B$67,0))),"N/A")</f>
        <v/>
      </c>
      <c r="L14" s="52">
        <f>IFERROR(IF(INDEX('CI&amp;S'!$O$10:$O$15,MATCH($F14,'CI&amp;S'!$B$10:$B$15,0))="","Cell will autofill based on response",INDEX('CI&amp;S'!$O$10:$O$15,MATCH($F14,'CI&amp;S'!$B$10:$B$15,0))),"N/A")</f>
        <v/>
      </c>
      <c r="M14" s="52">
        <f>IFERROR(IF(INDEX('CI&amp;S'!$O$22:$O$36,MATCH($F14,'CI&amp;S'!$B$22:$B$36,0))="","Cell will autofill based on response",INDEX('CI&amp;S'!$O$22:$O$36,MATCH($F14,'CI&amp;S'!$B$22:$B$36,0))),"N/A")</f>
        <v/>
      </c>
      <c r="N14" s="52">
        <f>IFERROR(IF(INDEX('CFOG'!$O$10:$O$16,MATCH($F14,'CFOG'!$B$10:$B$16,0))="","Cell will autofill based on response",INDEX('CFOG'!$O$10:$O$16,MATCH($F14,'CFOG'!$B$10:$B$16,0))),"N/A")</f>
        <v/>
      </c>
      <c r="O14" s="52">
        <f>IFERROR(IF(INDEX('CFOG'!$O$23:$O$24,MATCH($F14,'CFOG'!$B$23:$B$24,0))="","Cell will autofill based on response",INDEX('CFOG'!$O$23:$O$24,MATCH($F14,'CFOG'!$B$23:$B$24,0))),"N/A")</f>
        <v/>
      </c>
      <c r="P14" s="52">
        <f>IFERROR(IF(INDEX('ESG'!$O$10:$O$17,MATCH($F14,'ESG'!$B$10:$B$17,0))="","Cell will autofill based on response",INDEX('ESG'!$O$10:$O$17,MATCH($F14,'ESG'!$B$10:$B$17,0))),"N/A")</f>
        <v/>
      </c>
      <c r="Q14" s="52">
        <f>IFERROR(IF(INDEX('CIOG'!$O$10:$O$14,MATCH($F14,'CIOG'!$B$10:$B$14,0))="","Cell will autofill based on response",INDEX('CIOG'!$O$10:$O$14,MATCH($F14,'CIOG'!$B$10:$B$14,0))),"N/A")</f>
        <v/>
      </c>
      <c r="R14" s="52">
        <f>IFERROR(IF(INDEX('MRE'!$O$10:$O$18,MATCH($F14,'MRE'!$B$10:$B$18,0))="","Cell will autofill based on response",INDEX('MRE'!$O$10:$O$18,MATCH($F14,'MRE'!$B$10:$B$18,0))),"N/A")</f>
        <v/>
      </c>
      <c r="S14" s="52">
        <f>IFERROR(IF(INDEX('AC&amp;M'!$O$10:$O$14,MATCH($F14,'AC&amp;M'!$B$10:$B$14,0))="","Cell will autofill based on response",INDEX('AC&amp;M'!$O$10:$O$14,MATCH($F14,'AC&amp;M'!$B$10:$B$14,0))),"N/A")</f>
        <v/>
      </c>
      <c r="T14" s="52">
        <f>IFERROR(IF(INDEX('GCE'!$O$10:$O$12,MATCH($F14,'GCE'!$B$10:$B$12,0))="","Cell will autofill based on response",INDEX('GCE'!$O$10:$O$12,MATCH($F14,'GCE'!$B$10:$B$12,0))),"N/A")</f>
        <v/>
      </c>
      <c r="U14" s="52">
        <f>IFERROR(IF(INDEX('Education'!$O$10:$O$13,MATCH($F14,'Education'!$B$10:$B$13,0))="","Cell will autofill based on response",INDEX('Education'!$O$10:$O$13,MATCH($F14,'Education'!$B$10:$B$13,0))),"N/A")</f>
        <v/>
      </c>
      <c r="V14" s="52">
        <f>IFERROR(IF(INDEX('SaSS'!$O$10:$O$12,MATCH($F14,'SaSS'!$B$10:$B$12,0))="","Cell will autofill based on response",INDEX('SaSS'!$O$10:$O$12,MATCH($F14,'SaSS'!$B$10:$B$12,0))),"N/A")</f>
        <v/>
      </c>
      <c r="W14" s="52">
        <f>IFERROR(IF(INDEX('Indigenous'!$O$10:$O$11,MATCH($F14,'Indigenous'!$B$10:$B$11,0))="","Cell will autofill based on response",INDEX('Indigenous'!$O$10:$O$11,MATCH($F14,'Indigenous'!$B$10:$B$11,0))),"N/A")</f>
        <v/>
      </c>
      <c r="X14" s="52">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owner confirms</t>
        </is>
      </c>
      <c r="H15" s="52">
        <f>IFERROR(IF(INDEX('Faculties'!$P$10:$P$19,MATCH($F15,'Faculties'!$B$10:$B$19,0))="","Cell will autofill based on response",INDEX('Faculties'!$P$10:$P$19,MATCH($F15,'Faculties'!$B$10:$B$19,0))),"N/A")</f>
        <v/>
      </c>
      <c r="I15" s="52">
        <f>IFERROR(IF(INDEX('Faculties'!$P$26:$P$35,MATCH($F15,'Faculties'!$B$26:$B$35,0))="","Cell will autofill based on response",INDEX('Faculties'!$P$26:$P$35,MATCH($F15,'Faculties'!$B$26:$B$35,0))),"N/A")</f>
        <v/>
      </c>
      <c r="J15" s="52">
        <f>IFERROR(IF(INDEX('Faculties'!$P$42:$P$51,MATCH($F15,'Faculties'!$B$42:$B$51,0))="","Cell will autofill based on response",INDEX('Faculties'!$P$42:$P$51,MATCH($F15,'Faculties'!$B$42:$B$51,0))),"N/A")</f>
        <v/>
      </c>
      <c r="K15" s="52">
        <f>IFERROR(IF(INDEX('Faculties'!$P$58:$P$67,MATCH($F15,'Faculties'!$B$58:$B$67,0))="","Cell will autofill based on response",INDEX('Faculties'!$P$58:$P$67,MATCH($F15,'Faculties'!$B$58:$B$67,0))),"N/A")</f>
        <v/>
      </c>
      <c r="L15" s="52">
        <f>IFERROR(IF(INDEX('CI&amp;S'!$P$10:$P$15,MATCH($F15,'CI&amp;S'!$B$10:$B$15,0))="","Cell will autofill based on response",INDEX('CI&amp;S'!$P$10:$P$15,MATCH($F15,'CI&amp;S'!$B$10:$B$15,0))),"N/A")</f>
        <v/>
      </c>
      <c r="M15" s="52">
        <f>IFERROR(IF(INDEX('CI&amp;S'!$P$22:$P$36,MATCH($F15,'CI&amp;S'!$B$22:$B$36,0))="","Cell will autofill based on response",INDEX('CI&amp;S'!$P$22:$P$36,MATCH($F15,'CI&amp;S'!$B$22:$B$36,0))),"N/A")</f>
        <v/>
      </c>
      <c r="N15" s="52">
        <f>IFERROR(IF(INDEX('CFOG'!$P$10:$P$16,MATCH($F15,'CFOG'!$B$10:$B$16,0))="","Cell will autofill based on response",INDEX('CFOG'!$P$10:$P$16,MATCH($F15,'CFOG'!$B$10:$B$16,0))),"N/A")</f>
        <v/>
      </c>
      <c r="O15" s="52">
        <f>IFERROR(IF(INDEX('CFOG'!$P$23:$P$24,MATCH($F15,'CFOG'!$B$23:$B$24,0))="","Cell will autofill based on response",INDEX('CFOG'!$P$23:$P$24,MATCH($F15,'CFOG'!$B$23:$B$24,0))),"N/A")</f>
        <v/>
      </c>
      <c r="P15" s="52">
        <f>IFERROR(IF(INDEX('ESG'!$P$10:$P$17,MATCH($F15,'ESG'!$B$10:$B$17,0))="","Cell will autofill based on response",INDEX('ESG'!$P$10:$P$17,MATCH($F15,'ESG'!$B$10:$B$17,0))),"N/A")</f>
        <v/>
      </c>
      <c r="Q15" s="52">
        <f>IFERROR(IF(INDEX('CIOG'!$P$10:$P$14,MATCH($F15,'CIOG'!$B$10:$B$14,0))="","Cell will autofill based on response",INDEX('CIOG'!$P$10:$P$14,MATCH($F15,'CIOG'!$B$10:$B$14,0))),"N/A")</f>
        <v/>
      </c>
      <c r="R15" s="52">
        <f>IFERROR(IF(INDEX('MRE'!$P$10:$P$18,MATCH($F15,'MRE'!$B$10:$B$18,0))="","Cell will autofill based on response",INDEX('MRE'!$P$10:$P$18,MATCH($F15,'MRE'!$B$10:$B$18,0))),"N/A")</f>
        <v/>
      </c>
      <c r="S15" s="52">
        <f>IFERROR(IF(INDEX('AC&amp;M'!$P$10:$P$14,MATCH($F15,'AC&amp;M'!$B$10:$B$14,0))="","Cell will autofill based on response",INDEX('AC&amp;M'!$P$10:$P$14,MATCH($F15,'AC&amp;M'!$B$10:$B$14,0))),"N/A")</f>
        <v/>
      </c>
      <c r="T15" s="52">
        <f>IFERROR(IF(INDEX('GCE'!$P$10:$P$12,MATCH($F15,'GCE'!$B$10:$B$12,0))="","Cell will autofill based on response",INDEX('GCE'!$P$10:$P$12,MATCH($F15,'GCE'!$B$10:$B$12,0))),"N/A")</f>
        <v/>
      </c>
      <c r="U15" s="52">
        <f>IFERROR(IF(INDEX('Education'!$P$10:$P$13,MATCH($F15,'Education'!$B$10:$B$13,0))="","Cell will autofill based on response",INDEX('Education'!$P$10:$P$13,MATCH($F15,'Education'!$B$10:$B$13,0))),"N/A")</f>
        <v/>
      </c>
      <c r="V15" s="52">
        <f>IFERROR(IF(INDEX('SaSS'!$P$10:$P$12,MATCH($F15,'SaSS'!$B$10:$B$12,0))="","Cell will autofill based on response",INDEX('SaSS'!$P$10:$P$12,MATCH($F15,'SaSS'!$B$10:$B$12,0))),"N/A")</f>
        <v/>
      </c>
      <c r="W15" s="52">
        <f>IFERROR(IF(INDEX('Indigenous'!$P$10:$P$11,MATCH($F15,'Indigenous'!$B$10:$B$11,0))="","Cell will autofill based on response",INDEX('Indigenous'!$P$10:$P$11,MATCH($F15,'Indigenous'!$B$10:$B$11,0))),"N/A")</f>
        <v/>
      </c>
      <c r="X15" s="52">
        <f>IFERROR(IF(INDEX('L&amp;R'!$P$10:$P$11,MATCH($F15,'L&amp;R'!$B$10:$B$11,0))="","Cell will autofill based on response",INDEX('L&amp;R'!$P$10:$P$11,MATCH($F15,'L&amp;R'!$B$10:$B$11,0))),"N/A")</f>
        <v/>
      </c>
    </row>
    <row r="16">
      <c r="A16">
        <f>F16&amp;"|"&amp;G16</f>
        <v/>
      </c>
      <c r="B16" s="7" t="inlineStr">
        <is>
          <t>EE1(b)</t>
        </is>
      </c>
      <c r="C16" s="50" t="inlineStr">
        <is>
          <t>Exceptional education</t>
        </is>
      </c>
      <c r="D16" s="50" t="inlineStr">
        <is>
          <t>Pilots of possible approaches for understanding and developing students’ sustainability self-efficacy</t>
        </is>
      </c>
      <c r="E16" s="50"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50" t="inlineStr">
        <is>
          <t>EE1(b)</t>
        </is>
      </c>
      <c r="G16" s="50" t="inlineStr">
        <is>
          <t>OPTION 1:  Target-level reporting</t>
        </is>
      </c>
      <c r="H16" s="52">
        <f>IFERROR(IF(INDEX('Faculties'!$L$10:$L$19,MATCH($F16,'Faculties'!$B$10:$B$19,0))="","Cell will autofill based on response",INDEX('Faculties'!$L$10:$L$19,MATCH($F16,'Faculties'!$B$10:$B$19,0))),"N/A")</f>
        <v/>
      </c>
      <c r="I16" s="52">
        <f>IFERROR(IF(INDEX('Faculties'!$L$26:$L$35,MATCH($F16,'Faculties'!$B$26:$B$35,0))="","Cell will autofill based on response",INDEX('Faculties'!$L$26:$L$35,MATCH($F16,'Faculties'!$B$26:$B$35,0))),"N/A")</f>
        <v/>
      </c>
      <c r="J16" s="52">
        <f>IFERROR(IF(INDEX('Faculties'!$L$42:$L$51,MATCH($F16,'Faculties'!$B$42:$B$51,0))="","Cell will autofill based on response",INDEX('Faculties'!$L$42:$L$51,MATCH($F16,'Faculties'!$B$42:$B$51,0))),"N/A")</f>
        <v/>
      </c>
      <c r="K16" s="52">
        <f>IFERROR(IF(INDEX('Faculties'!$L$58:$L$67,MATCH($F16,'Faculties'!$B$58:$B$67,0))="","Cell will autofill based on response",INDEX('Faculties'!$L$58:$L$67,MATCH($F16,'Faculties'!$B$58:$B$67,0))),"N/A")</f>
        <v/>
      </c>
      <c r="L16" s="52">
        <f>IFERROR(IF(INDEX('CI&amp;S'!$L$10:$L$15,MATCH($F16,'CI&amp;S'!$B$10:$B$15,0))="","Cell will autofill based on response",INDEX('CI&amp;S'!$L$10:$L$15,MATCH($F16,'CI&amp;S'!$B$10:$B$15,0))),"N/A")</f>
        <v/>
      </c>
      <c r="M16" s="52">
        <f>IFERROR(IF(INDEX('CI&amp;S'!$L$22:$L$36,MATCH($F16,'CI&amp;S'!$B$22:$B$36,0))="","Cell will autofill based on response",INDEX('CI&amp;S'!$L$22:$L$36,MATCH($F16,'CI&amp;S'!$B$22:$B$36,0))),"N/A")</f>
        <v/>
      </c>
      <c r="N16" s="52">
        <f>IFERROR(IF(INDEX('CFOG'!$L$10:$L$16,MATCH($F16,'CFOG'!$B$10:$B$16,0))="","Cell will autofill based on response",INDEX('CFOG'!$L$10:$L$16,MATCH($F16,'CFOG'!$B$10:$B$16,0))),"N/A")</f>
        <v/>
      </c>
      <c r="O16" s="52">
        <f>IFERROR(IF(INDEX('CFOG'!$L$23:$L$24,MATCH($F16,'CFOG'!$B$23:$B$24,0))="","Cell will autofill based on response",INDEX('CFOG'!$L$23:$L$24,MATCH($F16,'CFOG'!$B$23:$B$24,0))),"N/A")</f>
        <v/>
      </c>
      <c r="P16" s="52">
        <f>IFERROR(IF(INDEX('ESG'!$L$10:$L$17,MATCH($F16,'ESG'!$B$10:$B$17,0))="","Cell will autofill based on response",INDEX('ESG'!$L$10:$L$17,MATCH($F16,'ESG'!$B$10:$B$17,0))),"N/A")</f>
        <v/>
      </c>
      <c r="Q16" s="52">
        <f>IFERROR(IF(INDEX('CIOG'!$L$10:$L$14,MATCH($F16,'CIOG'!$B$10:$B$14,0))="","Cell will autofill based on response",INDEX('CIOG'!$L$10:$L$14,MATCH($F16,'CIOG'!$B$10:$B$14,0))),"N/A")</f>
        <v/>
      </c>
      <c r="R16" s="52">
        <f>IFERROR(IF(INDEX('MRE'!$L$10:$L$18,MATCH($F16,'MRE'!$B$10:$B$18,0))="","Cell will autofill based on response",INDEX('MRE'!$L$10:$L$18,MATCH($F16,'MRE'!$B$10:$B$18,0))),"N/A")</f>
        <v/>
      </c>
      <c r="S16" s="52">
        <f>IFERROR(IF(INDEX('AC&amp;M'!$L$10:$L$14,MATCH($F16,'AC&amp;M'!$B$10:$B$14,0))="","Cell will autofill based on response",INDEX('AC&amp;M'!$L$10:$L$14,MATCH($F16,'AC&amp;M'!$B$10:$B$14,0))),"N/A")</f>
        <v/>
      </c>
      <c r="T16" s="52">
        <f>IFERROR(IF(INDEX('GCE'!$L$10:$L$12,MATCH($F16,'GCE'!$B$10:$B$12,0))="","Cell will autofill based on response",INDEX('GCE'!$L$10:$L$12,MATCH($F16,'GCE'!$B$10:$B$12,0))),"N/A")</f>
        <v/>
      </c>
      <c r="U16" s="52">
        <f>IFERROR(IF(INDEX('Education'!$L$10:$L$13,MATCH($F16,'Education'!$B$10:$B$13,0))="","Cell will autofill based on response",INDEX('Education'!$L$10:$L$13,MATCH($F16,'Education'!$B$10:$B$13,0))),"N/A")</f>
        <v/>
      </c>
      <c r="V16" s="52">
        <f>IFERROR(IF(INDEX('SaSS'!$L$10:$L$12,MATCH($F16,'SaSS'!$B$10:$B$12,0))="","Cell will autofill based on response",INDEX('SaSS'!$L$10:$L$12,MATCH($F16,'SaSS'!$B$10:$B$12,0))),"N/A")</f>
        <v/>
      </c>
      <c r="W16" s="52">
        <f>IFERROR(IF(INDEX('Indigenous'!$L$10:$L$11,MATCH($F16,'Indigenous'!$B$10:$B$11,0))="","Cell will autofill based on response",INDEX('Indigenous'!$L$10:$L$11,MATCH($F16,'Indigenous'!$B$10:$B$11,0))),"N/A")</f>
        <v/>
      </c>
      <c r="X16" s="52">
        <f>IFERROR(IF(INDEX('L&amp;R'!$L$10:$L$11,MATCH($F16,'L&amp;R'!$B$10:$B$11,0))="","Cell will autofill based on response",INDEX('L&amp;R'!$L$10:$L$11,MATCH($F16,'L&amp;R'!$B$10:$B$11,0))),"N/A")</f>
        <v/>
      </c>
      <c r="Z16" s="10">
        <f>SUMPRODUCT(--($H16:$X16&lt;&gt;"N/A"))</f>
        <v/>
      </c>
      <c r="AA16" s="10">
        <f>SUMPRODUCT(--(((($H16:$X16&lt;&gt;"N/A")*($H16:$X16&lt;&gt;"Cell will autofill based on response"))+(($H17:$X17&lt;&gt;"N/A")*($H17:$X17&lt;&gt;"Cell will autofill based on response")))&gt;0))</f>
        <v/>
      </c>
      <c r="AB16" s="10">
        <f>Z16-AA16</f>
        <v/>
      </c>
      <c r="AC16" s="10">
        <f>COUNTIF($H20:$X20,"Yes")</f>
        <v/>
      </c>
    </row>
    <row r="17">
      <c r="A17">
        <f>F17&amp;"|"&amp;G17</f>
        <v/>
      </c>
      <c r="B17" s="13" t="inlineStr"/>
      <c r="C17" s="8" t="inlineStr"/>
      <c r="D17" s="8" t="inlineStr"/>
      <c r="E17" s="8" t="inlineStr"/>
      <c r="F17" s="8" t="inlineStr">
        <is>
          <t>EE1(b)</t>
        </is>
      </c>
      <c r="G17" s="8" t="inlineStr">
        <is>
          <t>OPTION 2:  Indicator level reporting</t>
        </is>
      </c>
      <c r="H17" s="52">
        <f>IFERROR(IF(INDEX('Faculties'!$M$10:$M$19,MATCH($F17,'Faculties'!$B$10:$B$19,0))="","Cell will autofill based on response",INDEX('Faculties'!$M$10:$M$19,MATCH($F17,'Faculties'!$B$10:$B$19,0))),"N/A")</f>
        <v/>
      </c>
      <c r="I17" s="52">
        <f>IFERROR(IF(INDEX('Faculties'!$M$26:$M$35,MATCH($F17,'Faculties'!$B$26:$B$35,0))="","Cell will autofill based on response",INDEX('Faculties'!$M$26:$M$35,MATCH($F17,'Faculties'!$B$26:$B$35,0))),"N/A")</f>
        <v/>
      </c>
      <c r="J17" s="52">
        <f>IFERROR(IF(INDEX('Faculties'!$M$42:$M$51,MATCH($F17,'Faculties'!$B$42:$B$51,0))="","Cell will autofill based on response",INDEX('Faculties'!$M$42:$M$51,MATCH($F17,'Faculties'!$B$42:$B$51,0))),"N/A")</f>
        <v/>
      </c>
      <c r="K17" s="52">
        <f>IFERROR(IF(INDEX('Faculties'!$M$58:$M$67,MATCH($F17,'Faculties'!$B$58:$B$67,0))="","Cell will autofill based on response",INDEX('Faculties'!$M$58:$M$67,MATCH($F17,'Faculties'!$B$58:$B$67,0))),"N/A")</f>
        <v/>
      </c>
      <c r="L17" s="52">
        <f>IFERROR(IF(INDEX('CI&amp;S'!$M$10:$M$15,MATCH($F17,'CI&amp;S'!$B$10:$B$15,0))="","Cell will autofill based on response",INDEX('CI&amp;S'!$M$10:$M$15,MATCH($F17,'CI&amp;S'!$B$10:$B$15,0))),"N/A")</f>
        <v/>
      </c>
      <c r="M17" s="52">
        <f>IFERROR(IF(INDEX('CI&amp;S'!$M$22:$M$36,MATCH($F17,'CI&amp;S'!$B$22:$B$36,0))="","Cell will autofill based on response",INDEX('CI&amp;S'!$M$22:$M$36,MATCH($F17,'CI&amp;S'!$B$22:$B$36,0))),"N/A")</f>
        <v/>
      </c>
      <c r="N17" s="52">
        <f>IFERROR(IF(INDEX('CFOG'!$M$10:$M$16,MATCH($F17,'CFOG'!$B$10:$B$16,0))="","Cell will autofill based on response",INDEX('CFOG'!$M$10:$M$16,MATCH($F17,'CFOG'!$B$10:$B$16,0))),"N/A")</f>
        <v/>
      </c>
      <c r="O17" s="52">
        <f>IFERROR(IF(INDEX('CFOG'!$M$23:$M$24,MATCH($F17,'CFOG'!$B$23:$B$24,0))="","Cell will autofill based on response",INDEX('CFOG'!$M$23:$M$24,MATCH($F17,'CFOG'!$B$23:$B$24,0))),"N/A")</f>
        <v/>
      </c>
      <c r="P17" s="52">
        <f>IFERROR(IF(INDEX('ESG'!$M$10:$M$17,MATCH($F17,'ESG'!$B$10:$B$17,0))="","Cell will autofill based on response",INDEX('ESG'!$M$10:$M$17,MATCH($F17,'ESG'!$B$10:$B$17,0))),"N/A")</f>
        <v/>
      </c>
      <c r="Q17" s="52">
        <f>IFERROR(IF(INDEX('CIOG'!$M$10:$M$14,MATCH($F17,'CIOG'!$B$10:$B$14,0))="","Cell will autofill based on response",INDEX('CIOG'!$M$10:$M$14,MATCH($F17,'CIOG'!$B$10:$B$14,0))),"N/A")</f>
        <v/>
      </c>
      <c r="R17" s="52">
        <f>IFERROR(IF(INDEX('MRE'!$M$10:$M$18,MATCH($F17,'MRE'!$B$10:$B$18,0))="","Cell will autofill based on response",INDEX('MRE'!$M$10:$M$18,MATCH($F17,'MRE'!$B$10:$B$18,0))),"N/A")</f>
        <v/>
      </c>
      <c r="S17" s="52">
        <f>IFERROR(IF(INDEX('AC&amp;M'!$M$10:$M$14,MATCH($F17,'AC&amp;M'!$B$10:$B$14,0))="","Cell will autofill based on response",INDEX('AC&amp;M'!$M$10:$M$14,MATCH($F17,'AC&amp;M'!$B$10:$B$14,0))),"N/A")</f>
        <v/>
      </c>
      <c r="T17" s="52">
        <f>IFERROR(IF(INDEX('GCE'!$M$10:$M$12,MATCH($F17,'GCE'!$B$10:$B$12,0))="","Cell will autofill based on response",INDEX('GCE'!$M$10:$M$12,MATCH($F17,'GCE'!$B$10:$B$12,0))),"N/A")</f>
        <v/>
      </c>
      <c r="U17" s="52">
        <f>IFERROR(IF(INDEX('Education'!$M$10:$M$13,MATCH($F17,'Education'!$B$10:$B$13,0))="","Cell will autofill based on response",INDEX('Education'!$M$10:$M$13,MATCH($F17,'Education'!$B$10:$B$13,0))),"N/A")</f>
        <v/>
      </c>
      <c r="V17" s="52">
        <f>IFERROR(IF(INDEX('SaSS'!$M$10:$M$12,MATCH($F17,'SaSS'!$B$10:$B$12,0))="","Cell will autofill based on response",INDEX('SaSS'!$M$10:$M$12,MATCH($F17,'SaSS'!$B$10:$B$12,0))),"N/A")</f>
        <v/>
      </c>
      <c r="W17" s="52">
        <f>IFERROR(IF(INDEX('Indigenous'!$M$10:$M$11,MATCH($F17,'Indigenous'!$B$10:$B$11,0))="","Cell will autofill based on response",INDEX('Indigenous'!$M$10:$M$11,MATCH($F17,'Indigenous'!$B$10:$B$11,0))),"N/A")</f>
        <v/>
      </c>
      <c r="X17" s="52">
        <f>IFERROR(IF(INDEX('L&amp;R'!$M$10:$M$11,MATCH($F17,'L&amp;R'!$B$10:$B$11,0))="","Cell will autofill based on response",INDEX('L&amp;R'!$M$10:$M$11,MATCH($F17,'L&amp;R'!$B$10:$B$11,0))),"N/A")</f>
        <v/>
      </c>
    </row>
    <row r="18">
      <c r="A18">
        <f>F18&amp;"|"&amp;G18</f>
        <v/>
      </c>
      <c r="B18" s="13" t="inlineStr"/>
      <c r="C18" s="8" t="inlineStr"/>
      <c r="D18" s="8" t="inlineStr"/>
      <c r="E18" s="8" t="inlineStr"/>
      <c r="F18" s="8" t="inlineStr">
        <is>
          <t>EE1(b)</t>
        </is>
      </c>
      <c r="G18" s="8" t="inlineStr">
        <is>
          <t>Supporting information/comments</t>
        </is>
      </c>
      <c r="H18" s="52">
        <f>IFERROR(IF(INDEX('Faculties'!$N$10:$N$19,MATCH($F18,'Faculties'!$B$10:$B$19,0))="","Cell will autofill based on response",INDEX('Faculties'!$N$10:$N$19,MATCH($F18,'Faculties'!$B$10:$B$19,0))),"N/A")</f>
        <v/>
      </c>
      <c r="I18" s="52">
        <f>IFERROR(IF(INDEX('Faculties'!$N$26:$N$35,MATCH($F18,'Faculties'!$B$26:$B$35,0))="","Cell will autofill based on response",INDEX('Faculties'!$N$26:$N$35,MATCH($F18,'Faculties'!$B$26:$B$35,0))),"N/A")</f>
        <v/>
      </c>
      <c r="J18" s="52">
        <f>IFERROR(IF(INDEX('Faculties'!$N$42:$N$51,MATCH($F18,'Faculties'!$B$42:$B$51,0))="","Cell will autofill based on response",INDEX('Faculties'!$N$42:$N$51,MATCH($F18,'Faculties'!$B$42:$B$51,0))),"N/A")</f>
        <v/>
      </c>
      <c r="K18" s="52">
        <f>IFERROR(IF(INDEX('Faculties'!$N$58:$N$67,MATCH($F18,'Faculties'!$B$58:$B$67,0))="","Cell will autofill based on response",INDEX('Faculties'!$N$58:$N$67,MATCH($F18,'Faculties'!$B$58:$B$67,0))),"N/A")</f>
        <v/>
      </c>
      <c r="L18" s="52">
        <f>IFERROR(IF(INDEX('CI&amp;S'!$N$10:$N$15,MATCH($F18,'CI&amp;S'!$B$10:$B$15,0))="","Cell will autofill based on response",INDEX('CI&amp;S'!$N$10:$N$15,MATCH($F18,'CI&amp;S'!$B$10:$B$15,0))),"N/A")</f>
        <v/>
      </c>
      <c r="M18" s="52">
        <f>IFERROR(IF(INDEX('CI&amp;S'!$N$22:$N$36,MATCH($F18,'CI&amp;S'!$B$22:$B$36,0))="","Cell will autofill based on response",INDEX('CI&amp;S'!$N$22:$N$36,MATCH($F18,'CI&amp;S'!$B$22:$B$36,0))),"N/A")</f>
        <v/>
      </c>
      <c r="N18" s="52">
        <f>IFERROR(IF(INDEX('CFOG'!$N$10:$N$16,MATCH($F18,'CFOG'!$B$10:$B$16,0))="","Cell will autofill based on response",INDEX('CFOG'!$N$10:$N$16,MATCH($F18,'CFOG'!$B$10:$B$16,0))),"N/A")</f>
        <v/>
      </c>
      <c r="O18" s="52">
        <f>IFERROR(IF(INDEX('CFOG'!$N$23:$N$24,MATCH($F18,'CFOG'!$B$23:$B$24,0))="","Cell will autofill based on response",INDEX('CFOG'!$N$23:$N$24,MATCH($F18,'CFOG'!$B$23:$B$24,0))),"N/A")</f>
        <v/>
      </c>
      <c r="P18" s="52">
        <f>IFERROR(IF(INDEX('ESG'!$N$10:$N$17,MATCH($F18,'ESG'!$B$10:$B$17,0))="","Cell will autofill based on response",INDEX('ESG'!$N$10:$N$17,MATCH($F18,'ESG'!$B$10:$B$17,0))),"N/A")</f>
        <v/>
      </c>
      <c r="Q18" s="52">
        <f>IFERROR(IF(INDEX('CIOG'!$N$10:$N$14,MATCH($F18,'CIOG'!$B$10:$B$14,0))="","Cell will autofill based on response",INDEX('CIOG'!$N$10:$N$14,MATCH($F18,'CIOG'!$B$10:$B$14,0))),"N/A")</f>
        <v/>
      </c>
      <c r="R18" s="52">
        <f>IFERROR(IF(INDEX('MRE'!$N$10:$N$18,MATCH($F18,'MRE'!$B$10:$B$18,0))="","Cell will autofill based on response",INDEX('MRE'!$N$10:$N$18,MATCH($F18,'MRE'!$B$10:$B$18,0))),"N/A")</f>
        <v/>
      </c>
      <c r="S18" s="52">
        <f>IFERROR(IF(INDEX('AC&amp;M'!$N$10:$N$14,MATCH($F18,'AC&amp;M'!$B$10:$B$14,0))="","Cell will autofill based on response",INDEX('AC&amp;M'!$N$10:$N$14,MATCH($F18,'AC&amp;M'!$B$10:$B$14,0))),"N/A")</f>
        <v/>
      </c>
      <c r="T18" s="52">
        <f>IFERROR(IF(INDEX('GCE'!$N$10:$N$12,MATCH($F18,'GCE'!$B$10:$B$12,0))="","Cell will autofill based on response",INDEX('GCE'!$N$10:$N$12,MATCH($F18,'GCE'!$B$10:$B$12,0))),"N/A")</f>
        <v/>
      </c>
      <c r="U18" s="52">
        <f>IFERROR(IF(INDEX('Education'!$N$10:$N$13,MATCH($F18,'Education'!$B$10:$B$13,0))="","Cell will autofill based on response",INDEX('Education'!$N$10:$N$13,MATCH($F18,'Education'!$B$10:$B$13,0))),"N/A")</f>
        <v/>
      </c>
      <c r="V18" s="52">
        <f>IFERROR(IF(INDEX('SaSS'!$N$10:$N$12,MATCH($F18,'SaSS'!$B$10:$B$12,0))="","Cell will autofill based on response",INDEX('SaSS'!$N$10:$N$12,MATCH($F18,'SaSS'!$B$10:$B$12,0))),"N/A")</f>
        <v/>
      </c>
      <c r="W18" s="52">
        <f>IFERROR(IF(INDEX('Indigenous'!$N$10:$N$11,MATCH($F18,'Indigenous'!$B$10:$B$11,0))="","Cell will autofill based on response",INDEX('Indigenous'!$N$10:$N$11,MATCH($F18,'Indigenous'!$B$10:$B$11,0))),"N/A")</f>
        <v/>
      </c>
      <c r="X18" s="52">
        <f>IFERROR(IF(INDEX('L&amp;R'!$N$10:$N$11,MATCH($F18,'L&amp;R'!$B$10:$B$11,0))="","Cell will autofill based on response",INDEX('L&amp;R'!$N$10:$N$11,MATCH($F18,'L&amp;R'!$B$10:$B$11,0))),"N/A")</f>
        <v/>
      </c>
    </row>
    <row r="19">
      <c r="A19">
        <f>F19&amp;"|"&amp;G19</f>
        <v/>
      </c>
      <c r="B19" s="13" t="inlineStr"/>
      <c r="C19" s="8" t="inlineStr"/>
      <c r="D19" s="8" t="inlineStr"/>
      <c r="E19" s="8" t="inlineStr"/>
      <c r="F19" s="8" t="inlineStr">
        <is>
          <t>EE1(b)</t>
        </is>
      </c>
      <c r="G19" s="8" t="inlineStr">
        <is>
          <t>Data source and limitations</t>
        </is>
      </c>
      <c r="H19" s="52">
        <f>IFERROR(IF(INDEX('Faculties'!$O$10:$O$19,MATCH($F19,'Faculties'!$B$10:$B$19,0))="","Cell will autofill based on response",INDEX('Faculties'!$O$10:$O$19,MATCH($F19,'Faculties'!$B$10:$B$19,0))),"N/A")</f>
        <v/>
      </c>
      <c r="I19" s="52">
        <f>IFERROR(IF(INDEX('Faculties'!$O$26:$O$35,MATCH($F19,'Faculties'!$B$26:$B$35,0))="","Cell will autofill based on response",INDEX('Faculties'!$O$26:$O$35,MATCH($F19,'Faculties'!$B$26:$B$35,0))),"N/A")</f>
        <v/>
      </c>
      <c r="J19" s="52">
        <f>IFERROR(IF(INDEX('Faculties'!$O$42:$O$51,MATCH($F19,'Faculties'!$B$42:$B$51,0))="","Cell will autofill based on response",INDEX('Faculties'!$O$42:$O$51,MATCH($F19,'Faculties'!$B$42:$B$51,0))),"N/A")</f>
        <v/>
      </c>
      <c r="K19" s="52">
        <f>IFERROR(IF(INDEX('Faculties'!$O$58:$O$67,MATCH($F19,'Faculties'!$B$58:$B$67,0))="","Cell will autofill based on response",INDEX('Faculties'!$O$58:$O$67,MATCH($F19,'Faculties'!$B$58:$B$67,0))),"N/A")</f>
        <v/>
      </c>
      <c r="L19" s="52">
        <f>IFERROR(IF(INDEX('CI&amp;S'!$O$10:$O$15,MATCH($F19,'CI&amp;S'!$B$10:$B$15,0))="","Cell will autofill based on response",INDEX('CI&amp;S'!$O$10:$O$15,MATCH($F19,'CI&amp;S'!$B$10:$B$15,0))),"N/A")</f>
        <v/>
      </c>
      <c r="M19" s="52">
        <f>IFERROR(IF(INDEX('CI&amp;S'!$O$22:$O$36,MATCH($F19,'CI&amp;S'!$B$22:$B$36,0))="","Cell will autofill based on response",INDEX('CI&amp;S'!$O$22:$O$36,MATCH($F19,'CI&amp;S'!$B$22:$B$36,0))),"N/A")</f>
        <v/>
      </c>
      <c r="N19" s="52">
        <f>IFERROR(IF(INDEX('CFOG'!$O$10:$O$16,MATCH($F19,'CFOG'!$B$10:$B$16,0))="","Cell will autofill based on response",INDEX('CFOG'!$O$10:$O$16,MATCH($F19,'CFOG'!$B$10:$B$16,0))),"N/A")</f>
        <v/>
      </c>
      <c r="O19" s="52">
        <f>IFERROR(IF(INDEX('CFOG'!$O$23:$O$24,MATCH($F19,'CFOG'!$B$23:$B$24,0))="","Cell will autofill based on response",INDEX('CFOG'!$O$23:$O$24,MATCH($F19,'CFOG'!$B$23:$B$24,0))),"N/A")</f>
        <v/>
      </c>
      <c r="P19" s="52">
        <f>IFERROR(IF(INDEX('ESG'!$O$10:$O$17,MATCH($F19,'ESG'!$B$10:$B$17,0))="","Cell will autofill based on response",INDEX('ESG'!$O$10:$O$17,MATCH($F19,'ESG'!$B$10:$B$17,0))),"N/A")</f>
        <v/>
      </c>
      <c r="Q19" s="52">
        <f>IFERROR(IF(INDEX('CIOG'!$O$10:$O$14,MATCH($F19,'CIOG'!$B$10:$B$14,0))="","Cell will autofill based on response",INDEX('CIOG'!$O$10:$O$14,MATCH($F19,'CIOG'!$B$10:$B$14,0))),"N/A")</f>
        <v/>
      </c>
      <c r="R19" s="52">
        <f>IFERROR(IF(INDEX('MRE'!$O$10:$O$18,MATCH($F19,'MRE'!$B$10:$B$18,0))="","Cell will autofill based on response",INDEX('MRE'!$O$10:$O$18,MATCH($F19,'MRE'!$B$10:$B$18,0))),"N/A")</f>
        <v/>
      </c>
      <c r="S19" s="52">
        <f>IFERROR(IF(INDEX('AC&amp;M'!$O$10:$O$14,MATCH($F19,'AC&amp;M'!$B$10:$B$14,0))="","Cell will autofill based on response",INDEX('AC&amp;M'!$O$10:$O$14,MATCH($F19,'AC&amp;M'!$B$10:$B$14,0))),"N/A")</f>
        <v/>
      </c>
      <c r="T19" s="52">
        <f>IFERROR(IF(INDEX('GCE'!$O$10:$O$12,MATCH($F19,'GCE'!$B$10:$B$12,0))="","Cell will autofill based on response",INDEX('GCE'!$O$10:$O$12,MATCH($F19,'GCE'!$B$10:$B$12,0))),"N/A")</f>
        <v/>
      </c>
      <c r="U19" s="52">
        <f>IFERROR(IF(INDEX('Education'!$O$10:$O$13,MATCH($F19,'Education'!$B$10:$B$13,0))="","Cell will autofill based on response",INDEX('Education'!$O$10:$O$13,MATCH($F19,'Education'!$B$10:$B$13,0))),"N/A")</f>
        <v/>
      </c>
      <c r="V19" s="52">
        <f>IFERROR(IF(INDEX('SaSS'!$O$10:$O$12,MATCH($F19,'SaSS'!$B$10:$B$12,0))="","Cell will autofill based on response",INDEX('SaSS'!$O$10:$O$12,MATCH($F19,'SaSS'!$B$10:$B$12,0))),"N/A")</f>
        <v/>
      </c>
      <c r="W19" s="52">
        <f>IFERROR(IF(INDEX('Indigenous'!$O$10:$O$11,MATCH($F19,'Indigenous'!$B$10:$B$11,0))="","Cell will autofill based on response",INDEX('Indigenous'!$O$10:$O$11,MATCH($F19,'Indigenous'!$B$10:$B$11,0))),"N/A")</f>
        <v/>
      </c>
      <c r="X19" s="52">
        <f>IFERROR(IF(INDEX('L&amp;R'!$O$10:$O$11,MATCH($F19,'L&amp;R'!$B$10:$B$11,0))="","Cell will autofill based on response",INDEX('L&amp;R'!$O$10:$O$11,MATCH($F19,'L&amp;R'!$B$10:$B$11,0))),"N/A")</f>
        <v/>
      </c>
    </row>
    <row r="20">
      <c r="A20">
        <f>F20&amp;"|"&amp;G20</f>
        <v/>
      </c>
      <c r="B20" s="13" t="inlineStr"/>
      <c r="C20" s="8" t="inlineStr"/>
      <c r="D20" s="8" t="inlineStr"/>
      <c r="E20" s="8" t="inlineStr"/>
      <c r="F20" s="8" t="inlineStr">
        <is>
          <t>EE1(b)</t>
        </is>
      </c>
      <c r="G20" s="8" t="inlineStr">
        <is>
          <t>Data owner confirms</t>
        </is>
      </c>
      <c r="H20" s="52">
        <f>IFERROR(IF(INDEX('Faculties'!$P$10:$P$19,MATCH($F20,'Faculties'!$B$10:$B$19,0))="","Cell will autofill based on response",INDEX('Faculties'!$P$10:$P$19,MATCH($F20,'Faculties'!$B$10:$B$19,0))),"N/A")</f>
        <v/>
      </c>
      <c r="I20" s="52">
        <f>IFERROR(IF(INDEX('Faculties'!$P$26:$P$35,MATCH($F20,'Faculties'!$B$26:$B$35,0))="","Cell will autofill based on response",INDEX('Faculties'!$P$26:$P$35,MATCH($F20,'Faculties'!$B$26:$B$35,0))),"N/A")</f>
        <v/>
      </c>
      <c r="J20" s="52">
        <f>IFERROR(IF(INDEX('Faculties'!$P$42:$P$51,MATCH($F20,'Faculties'!$B$42:$B$51,0))="","Cell will autofill based on response",INDEX('Faculties'!$P$42:$P$51,MATCH($F20,'Faculties'!$B$42:$B$51,0))),"N/A")</f>
        <v/>
      </c>
      <c r="K20" s="52">
        <f>IFERROR(IF(INDEX('Faculties'!$P$58:$P$67,MATCH($F20,'Faculties'!$B$58:$B$67,0))="","Cell will autofill based on response",INDEX('Faculties'!$P$58:$P$67,MATCH($F20,'Faculties'!$B$58:$B$67,0))),"N/A")</f>
        <v/>
      </c>
      <c r="L20" s="52">
        <f>IFERROR(IF(INDEX('CI&amp;S'!$P$10:$P$15,MATCH($F20,'CI&amp;S'!$B$10:$B$15,0))="","Cell will autofill based on response",INDEX('CI&amp;S'!$P$10:$P$15,MATCH($F20,'CI&amp;S'!$B$10:$B$15,0))),"N/A")</f>
        <v/>
      </c>
      <c r="M20" s="52">
        <f>IFERROR(IF(INDEX('CI&amp;S'!$P$22:$P$36,MATCH($F20,'CI&amp;S'!$B$22:$B$36,0))="","Cell will autofill based on response",INDEX('CI&amp;S'!$P$22:$P$36,MATCH($F20,'CI&amp;S'!$B$22:$B$36,0))),"N/A")</f>
        <v/>
      </c>
      <c r="N20" s="52">
        <f>IFERROR(IF(INDEX('CFOG'!$P$10:$P$16,MATCH($F20,'CFOG'!$B$10:$B$16,0))="","Cell will autofill based on response",INDEX('CFOG'!$P$10:$P$16,MATCH($F20,'CFOG'!$B$10:$B$16,0))),"N/A")</f>
        <v/>
      </c>
      <c r="O20" s="52">
        <f>IFERROR(IF(INDEX('CFOG'!$P$23:$P$24,MATCH($F20,'CFOG'!$B$23:$B$24,0))="","Cell will autofill based on response",INDEX('CFOG'!$P$23:$P$24,MATCH($F20,'CFOG'!$B$23:$B$24,0))),"N/A")</f>
        <v/>
      </c>
      <c r="P20" s="52">
        <f>IFERROR(IF(INDEX('ESG'!$P$10:$P$17,MATCH($F20,'ESG'!$B$10:$B$17,0))="","Cell will autofill based on response",INDEX('ESG'!$P$10:$P$17,MATCH($F20,'ESG'!$B$10:$B$17,0))),"N/A")</f>
        <v/>
      </c>
      <c r="Q20" s="52">
        <f>IFERROR(IF(INDEX('CIOG'!$P$10:$P$14,MATCH($F20,'CIOG'!$B$10:$B$14,0))="","Cell will autofill based on response",INDEX('CIOG'!$P$10:$P$14,MATCH($F20,'CIOG'!$B$10:$B$14,0))),"N/A")</f>
        <v/>
      </c>
      <c r="R20" s="52">
        <f>IFERROR(IF(INDEX('MRE'!$P$10:$P$18,MATCH($F20,'MRE'!$B$10:$B$18,0))="","Cell will autofill based on response",INDEX('MRE'!$P$10:$P$18,MATCH($F20,'MRE'!$B$10:$B$18,0))),"N/A")</f>
        <v/>
      </c>
      <c r="S20" s="52">
        <f>IFERROR(IF(INDEX('AC&amp;M'!$P$10:$P$14,MATCH($F20,'AC&amp;M'!$B$10:$B$14,0))="","Cell will autofill based on response",INDEX('AC&amp;M'!$P$10:$P$14,MATCH($F20,'AC&amp;M'!$B$10:$B$14,0))),"N/A")</f>
        <v/>
      </c>
      <c r="T20" s="52">
        <f>IFERROR(IF(INDEX('GCE'!$P$10:$P$12,MATCH($F20,'GCE'!$B$10:$B$12,0))="","Cell will autofill based on response",INDEX('GCE'!$P$10:$P$12,MATCH($F20,'GCE'!$B$10:$B$12,0))),"N/A")</f>
        <v/>
      </c>
      <c r="U20" s="52">
        <f>IFERROR(IF(INDEX('Education'!$P$10:$P$13,MATCH($F20,'Education'!$B$10:$B$13,0))="","Cell will autofill based on response",INDEX('Education'!$P$10:$P$13,MATCH($F20,'Education'!$B$10:$B$13,0))),"N/A")</f>
        <v/>
      </c>
      <c r="V20" s="52">
        <f>IFERROR(IF(INDEX('SaSS'!$P$10:$P$12,MATCH($F20,'SaSS'!$B$10:$B$12,0))="","Cell will autofill based on response",INDEX('SaSS'!$P$10:$P$12,MATCH($F20,'SaSS'!$B$10:$B$12,0))),"N/A")</f>
        <v/>
      </c>
      <c r="W20" s="52">
        <f>IFERROR(IF(INDEX('Indigenous'!$P$10:$P$11,MATCH($F20,'Indigenous'!$B$10:$B$11,0))="","Cell will autofill based on response",INDEX('Indigenous'!$P$10:$P$11,MATCH($F20,'Indigenous'!$B$10:$B$11,0))),"N/A")</f>
        <v/>
      </c>
      <c r="X20" s="52">
        <f>IFERROR(IF(INDEX('L&amp;R'!$P$10:$P$11,MATCH($F20,'L&amp;R'!$B$10:$B$11,0))="","Cell will autofill based on response",INDEX('L&amp;R'!$P$10:$P$11,MATCH($F20,'L&amp;R'!$B$10:$B$11,0))),"N/A")</f>
        <v/>
      </c>
    </row>
    <row r="21">
      <c r="A21">
        <f>F21&amp;"|"&amp;G21</f>
        <v/>
      </c>
      <c r="B21" s="7" t="inlineStr">
        <is>
          <t>EE1(c)</t>
        </is>
      </c>
      <c r="C21" s="50" t="inlineStr">
        <is>
          <t>Exceptional education</t>
        </is>
      </c>
      <c r="D21" s="50" t="inlineStr">
        <is>
          <t>Evidence of sustainability focused experiential and co curricular learning (eg Wattle Fellowship; Melbourne Plus)</t>
        </is>
      </c>
      <c r="E21" s="50"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50" t="inlineStr">
        <is>
          <t>EE1(c)</t>
        </is>
      </c>
      <c r="G21" s="50" t="inlineStr">
        <is>
          <t>OPTION 1:  Target-level reporting</t>
        </is>
      </c>
      <c r="H21" s="52">
        <f>IFERROR(IF(INDEX('Faculties'!$L$10:$L$19,MATCH($F21,'Faculties'!$B$10:$B$19,0))="","Cell will autofill based on response",INDEX('Faculties'!$L$10:$L$19,MATCH($F21,'Faculties'!$B$10:$B$19,0))),"N/A")</f>
        <v/>
      </c>
      <c r="I21" s="52">
        <f>IFERROR(IF(INDEX('Faculties'!$L$26:$L$35,MATCH($F21,'Faculties'!$B$26:$B$35,0))="","Cell will autofill based on response",INDEX('Faculties'!$L$26:$L$35,MATCH($F21,'Faculties'!$B$26:$B$35,0))),"N/A")</f>
        <v/>
      </c>
      <c r="J21" s="52">
        <f>IFERROR(IF(INDEX('Faculties'!$L$42:$L$51,MATCH($F21,'Faculties'!$B$42:$B$51,0))="","Cell will autofill based on response",INDEX('Faculties'!$L$42:$L$51,MATCH($F21,'Faculties'!$B$42:$B$51,0))),"N/A")</f>
        <v/>
      </c>
      <c r="K21" s="52">
        <f>IFERROR(IF(INDEX('Faculties'!$L$58:$L$67,MATCH($F21,'Faculties'!$B$58:$B$67,0))="","Cell will autofill based on response",INDEX('Faculties'!$L$58:$L$67,MATCH($F21,'Faculties'!$B$58:$B$67,0))),"N/A")</f>
        <v/>
      </c>
      <c r="L21" s="52">
        <f>IFERROR(IF(INDEX('CI&amp;S'!$L$10:$L$15,MATCH($F21,'CI&amp;S'!$B$10:$B$15,0))="","Cell will autofill based on response",INDEX('CI&amp;S'!$L$10:$L$15,MATCH($F21,'CI&amp;S'!$B$10:$B$15,0))),"N/A")</f>
        <v/>
      </c>
      <c r="M21" s="52">
        <f>IFERROR(IF(INDEX('CI&amp;S'!$L$22:$L$36,MATCH($F21,'CI&amp;S'!$B$22:$B$36,0))="","Cell will autofill based on response",INDEX('CI&amp;S'!$L$22:$L$36,MATCH($F21,'CI&amp;S'!$B$22:$B$36,0))),"N/A")</f>
        <v/>
      </c>
      <c r="N21" s="52">
        <f>IFERROR(IF(INDEX('CFOG'!$L$10:$L$16,MATCH($F21,'CFOG'!$B$10:$B$16,0))="","Cell will autofill based on response",INDEX('CFOG'!$L$10:$L$16,MATCH($F21,'CFOG'!$B$10:$B$16,0))),"N/A")</f>
        <v/>
      </c>
      <c r="O21" s="52">
        <f>IFERROR(IF(INDEX('CFOG'!$L$23:$L$24,MATCH($F21,'CFOG'!$B$23:$B$24,0))="","Cell will autofill based on response",INDEX('CFOG'!$L$23:$L$24,MATCH($F21,'CFOG'!$B$23:$B$24,0))),"N/A")</f>
        <v/>
      </c>
      <c r="P21" s="52">
        <f>IFERROR(IF(INDEX('ESG'!$L$10:$L$17,MATCH($F21,'ESG'!$B$10:$B$17,0))="","Cell will autofill based on response",INDEX('ESG'!$L$10:$L$17,MATCH($F21,'ESG'!$B$10:$B$17,0))),"N/A")</f>
        <v/>
      </c>
      <c r="Q21" s="52">
        <f>IFERROR(IF(INDEX('CIOG'!$L$10:$L$14,MATCH($F21,'CIOG'!$B$10:$B$14,0))="","Cell will autofill based on response",INDEX('CIOG'!$L$10:$L$14,MATCH($F21,'CIOG'!$B$10:$B$14,0))),"N/A")</f>
        <v/>
      </c>
      <c r="R21" s="52">
        <f>IFERROR(IF(INDEX('MRE'!$L$10:$L$18,MATCH($F21,'MRE'!$B$10:$B$18,0))="","Cell will autofill based on response",INDEX('MRE'!$L$10:$L$18,MATCH($F21,'MRE'!$B$10:$B$18,0))),"N/A")</f>
        <v/>
      </c>
      <c r="S21" s="52">
        <f>IFERROR(IF(INDEX('AC&amp;M'!$L$10:$L$14,MATCH($F21,'AC&amp;M'!$B$10:$B$14,0))="","Cell will autofill based on response",INDEX('AC&amp;M'!$L$10:$L$14,MATCH($F21,'AC&amp;M'!$B$10:$B$14,0))),"N/A")</f>
        <v/>
      </c>
      <c r="T21" s="52">
        <f>IFERROR(IF(INDEX('GCE'!$L$10:$L$12,MATCH($F21,'GCE'!$B$10:$B$12,0))="","Cell will autofill based on response",INDEX('GCE'!$L$10:$L$12,MATCH($F21,'GCE'!$B$10:$B$12,0))),"N/A")</f>
        <v/>
      </c>
      <c r="U21" s="52">
        <f>IFERROR(IF(INDEX('Education'!$L$10:$L$13,MATCH($F21,'Education'!$B$10:$B$13,0))="","Cell will autofill based on response",INDEX('Education'!$L$10:$L$13,MATCH($F21,'Education'!$B$10:$B$13,0))),"N/A")</f>
        <v/>
      </c>
      <c r="V21" s="52">
        <f>IFERROR(IF(INDEX('SaSS'!$L$10:$L$12,MATCH($F21,'SaSS'!$B$10:$B$12,0))="","Cell will autofill based on response",INDEX('SaSS'!$L$10:$L$12,MATCH($F21,'SaSS'!$B$10:$B$12,0))),"N/A")</f>
        <v/>
      </c>
      <c r="W21" s="52">
        <f>IFERROR(IF(INDEX('Indigenous'!$L$10:$L$11,MATCH($F21,'Indigenous'!$B$10:$B$11,0))="","Cell will autofill based on response",INDEX('Indigenous'!$L$10:$L$11,MATCH($F21,'Indigenous'!$B$10:$B$11,0))),"N/A")</f>
        <v/>
      </c>
      <c r="X21" s="52">
        <f>IFERROR(IF(INDEX('L&amp;R'!$L$10:$L$11,MATCH($F21,'L&amp;R'!$B$10:$B$11,0))="","Cell will autofill based on response",INDEX('L&amp;R'!$L$10:$L$11,MATCH($F21,'L&amp;R'!$B$10:$B$11,0))),"N/A")</f>
        <v/>
      </c>
      <c r="Z21" s="10">
        <f>SUMPRODUCT(--($H21:$X21&lt;&gt;"N/A"))</f>
        <v/>
      </c>
      <c r="AA21" s="10">
        <f>SUMPRODUCT(--(((($H21:$X21&lt;&gt;"N/A")*($H21:$X21&lt;&gt;"Cell will autofill based on response"))+(($H22:$X22&lt;&gt;"N/A")*($H22:$X22&lt;&gt;"Cell will autofill based on response")))&gt;0))</f>
        <v/>
      </c>
      <c r="AB21" s="10">
        <f>Z21-AA21</f>
        <v/>
      </c>
      <c r="AC21" s="10">
        <f>COUNTIF($H25:$X25,"Yes")</f>
        <v/>
      </c>
    </row>
    <row r="22">
      <c r="A22">
        <f>F22&amp;"|"&amp;G22</f>
        <v/>
      </c>
      <c r="B22" s="13" t="inlineStr"/>
      <c r="C22" s="8" t="inlineStr"/>
      <c r="D22" s="8" t="inlineStr"/>
      <c r="E22" s="8" t="inlineStr"/>
      <c r="F22" s="8" t="inlineStr">
        <is>
          <t>EE1(c)</t>
        </is>
      </c>
      <c r="G22" s="8" t="inlineStr">
        <is>
          <t>OPTION 2:  Indicator level reporting</t>
        </is>
      </c>
      <c r="H22" s="52">
        <f>IFERROR(IF(INDEX('Faculties'!$M$10:$M$19,MATCH($F22,'Faculties'!$B$10:$B$19,0))="","Cell will autofill based on response",INDEX('Faculties'!$M$10:$M$19,MATCH($F22,'Faculties'!$B$10:$B$19,0))),"N/A")</f>
        <v/>
      </c>
      <c r="I22" s="52">
        <f>IFERROR(IF(INDEX('Faculties'!$M$26:$M$35,MATCH($F22,'Faculties'!$B$26:$B$35,0))="","Cell will autofill based on response",INDEX('Faculties'!$M$26:$M$35,MATCH($F22,'Faculties'!$B$26:$B$35,0))),"N/A")</f>
        <v/>
      </c>
      <c r="J22" s="52">
        <f>IFERROR(IF(INDEX('Faculties'!$M$42:$M$51,MATCH($F22,'Faculties'!$B$42:$B$51,0))="","Cell will autofill based on response",INDEX('Faculties'!$M$42:$M$51,MATCH($F22,'Faculties'!$B$42:$B$51,0))),"N/A")</f>
        <v/>
      </c>
      <c r="K22" s="52">
        <f>IFERROR(IF(INDEX('Faculties'!$M$58:$M$67,MATCH($F22,'Faculties'!$B$58:$B$67,0))="","Cell will autofill based on response",INDEX('Faculties'!$M$58:$M$67,MATCH($F22,'Faculties'!$B$58:$B$67,0))),"N/A")</f>
        <v/>
      </c>
      <c r="L22" s="52">
        <f>IFERROR(IF(INDEX('CI&amp;S'!$M$10:$M$15,MATCH($F22,'CI&amp;S'!$B$10:$B$15,0))="","Cell will autofill based on response",INDEX('CI&amp;S'!$M$10:$M$15,MATCH($F22,'CI&amp;S'!$B$10:$B$15,0))),"N/A")</f>
        <v/>
      </c>
      <c r="M22" s="52">
        <f>IFERROR(IF(INDEX('CI&amp;S'!$M$22:$M$36,MATCH($F22,'CI&amp;S'!$B$22:$B$36,0))="","Cell will autofill based on response",INDEX('CI&amp;S'!$M$22:$M$36,MATCH($F22,'CI&amp;S'!$B$22:$B$36,0))),"N/A")</f>
        <v/>
      </c>
      <c r="N22" s="52">
        <f>IFERROR(IF(INDEX('CFOG'!$M$10:$M$16,MATCH($F22,'CFOG'!$B$10:$B$16,0))="","Cell will autofill based on response",INDEX('CFOG'!$M$10:$M$16,MATCH($F22,'CFOG'!$B$10:$B$16,0))),"N/A")</f>
        <v/>
      </c>
      <c r="O22" s="52">
        <f>IFERROR(IF(INDEX('CFOG'!$M$23:$M$24,MATCH($F22,'CFOG'!$B$23:$B$24,0))="","Cell will autofill based on response",INDEX('CFOG'!$M$23:$M$24,MATCH($F22,'CFOG'!$B$23:$B$24,0))),"N/A")</f>
        <v/>
      </c>
      <c r="P22" s="52">
        <f>IFERROR(IF(INDEX('ESG'!$M$10:$M$17,MATCH($F22,'ESG'!$B$10:$B$17,0))="","Cell will autofill based on response",INDEX('ESG'!$M$10:$M$17,MATCH($F22,'ESG'!$B$10:$B$17,0))),"N/A")</f>
        <v/>
      </c>
      <c r="Q22" s="52">
        <f>IFERROR(IF(INDEX('CIOG'!$M$10:$M$14,MATCH($F22,'CIOG'!$B$10:$B$14,0))="","Cell will autofill based on response",INDEX('CIOG'!$M$10:$M$14,MATCH($F22,'CIOG'!$B$10:$B$14,0))),"N/A")</f>
        <v/>
      </c>
      <c r="R22" s="52">
        <f>IFERROR(IF(INDEX('MRE'!$M$10:$M$18,MATCH($F22,'MRE'!$B$10:$B$18,0))="","Cell will autofill based on response",INDEX('MRE'!$M$10:$M$18,MATCH($F22,'MRE'!$B$10:$B$18,0))),"N/A")</f>
        <v/>
      </c>
      <c r="S22" s="52">
        <f>IFERROR(IF(INDEX('AC&amp;M'!$M$10:$M$14,MATCH($F22,'AC&amp;M'!$B$10:$B$14,0))="","Cell will autofill based on response",INDEX('AC&amp;M'!$M$10:$M$14,MATCH($F22,'AC&amp;M'!$B$10:$B$14,0))),"N/A")</f>
        <v/>
      </c>
      <c r="T22" s="52">
        <f>IFERROR(IF(INDEX('GCE'!$M$10:$M$12,MATCH($F22,'GCE'!$B$10:$B$12,0))="","Cell will autofill based on response",INDEX('GCE'!$M$10:$M$12,MATCH($F22,'GCE'!$B$10:$B$12,0))),"N/A")</f>
        <v/>
      </c>
      <c r="U22" s="52">
        <f>IFERROR(IF(INDEX('Education'!$M$10:$M$13,MATCH($F22,'Education'!$B$10:$B$13,0))="","Cell will autofill based on response",INDEX('Education'!$M$10:$M$13,MATCH($F22,'Education'!$B$10:$B$13,0))),"N/A")</f>
        <v/>
      </c>
      <c r="V22" s="52">
        <f>IFERROR(IF(INDEX('SaSS'!$M$10:$M$12,MATCH($F22,'SaSS'!$B$10:$B$12,0))="","Cell will autofill based on response",INDEX('SaSS'!$M$10:$M$12,MATCH($F22,'SaSS'!$B$10:$B$12,0))),"N/A")</f>
        <v/>
      </c>
      <c r="W22" s="52">
        <f>IFERROR(IF(INDEX('Indigenous'!$M$10:$M$11,MATCH($F22,'Indigenous'!$B$10:$B$11,0))="","Cell will autofill based on response",INDEX('Indigenous'!$M$10:$M$11,MATCH($F22,'Indigenous'!$B$10:$B$11,0))),"N/A")</f>
        <v/>
      </c>
      <c r="X22" s="52">
        <f>IFERROR(IF(INDEX('L&amp;R'!$M$10:$M$11,MATCH($F22,'L&amp;R'!$B$10:$B$11,0))="","Cell will autofill based on response",INDEX('L&amp;R'!$M$10:$M$11,MATCH($F22,'L&amp;R'!$B$10:$B$11,0))),"N/A")</f>
        <v/>
      </c>
    </row>
    <row r="23">
      <c r="A23">
        <f>F23&amp;"|"&amp;G23</f>
        <v/>
      </c>
      <c r="B23" s="13" t="inlineStr"/>
      <c r="C23" s="8" t="inlineStr"/>
      <c r="D23" s="8" t="inlineStr"/>
      <c r="E23" s="8" t="inlineStr"/>
      <c r="F23" s="8" t="inlineStr">
        <is>
          <t>EE1(c)</t>
        </is>
      </c>
      <c r="G23" s="8" t="inlineStr">
        <is>
          <t>Supporting information/comments</t>
        </is>
      </c>
      <c r="H23" s="52">
        <f>IFERROR(IF(INDEX('Faculties'!$N$10:$N$19,MATCH($F23,'Faculties'!$B$10:$B$19,0))="","Cell will autofill based on response",INDEX('Faculties'!$N$10:$N$19,MATCH($F23,'Faculties'!$B$10:$B$19,0))),"N/A")</f>
        <v/>
      </c>
      <c r="I23" s="52">
        <f>IFERROR(IF(INDEX('Faculties'!$N$26:$N$35,MATCH($F23,'Faculties'!$B$26:$B$35,0))="","Cell will autofill based on response",INDEX('Faculties'!$N$26:$N$35,MATCH($F23,'Faculties'!$B$26:$B$35,0))),"N/A")</f>
        <v/>
      </c>
      <c r="J23" s="52">
        <f>IFERROR(IF(INDEX('Faculties'!$N$42:$N$51,MATCH($F23,'Faculties'!$B$42:$B$51,0))="","Cell will autofill based on response",INDEX('Faculties'!$N$42:$N$51,MATCH($F23,'Faculties'!$B$42:$B$51,0))),"N/A")</f>
        <v/>
      </c>
      <c r="K23" s="52">
        <f>IFERROR(IF(INDEX('Faculties'!$N$58:$N$67,MATCH($F23,'Faculties'!$B$58:$B$67,0))="","Cell will autofill based on response",INDEX('Faculties'!$N$58:$N$67,MATCH($F23,'Faculties'!$B$58:$B$67,0))),"N/A")</f>
        <v/>
      </c>
      <c r="L23" s="52">
        <f>IFERROR(IF(INDEX('CI&amp;S'!$N$10:$N$15,MATCH($F23,'CI&amp;S'!$B$10:$B$15,0))="","Cell will autofill based on response",INDEX('CI&amp;S'!$N$10:$N$15,MATCH($F23,'CI&amp;S'!$B$10:$B$15,0))),"N/A")</f>
        <v/>
      </c>
      <c r="M23" s="52">
        <f>IFERROR(IF(INDEX('CI&amp;S'!$N$22:$N$36,MATCH($F23,'CI&amp;S'!$B$22:$B$36,0))="","Cell will autofill based on response",INDEX('CI&amp;S'!$N$22:$N$36,MATCH($F23,'CI&amp;S'!$B$22:$B$36,0))),"N/A")</f>
        <v/>
      </c>
      <c r="N23" s="52">
        <f>IFERROR(IF(INDEX('CFOG'!$N$10:$N$16,MATCH($F23,'CFOG'!$B$10:$B$16,0))="","Cell will autofill based on response",INDEX('CFOG'!$N$10:$N$16,MATCH($F23,'CFOG'!$B$10:$B$16,0))),"N/A")</f>
        <v/>
      </c>
      <c r="O23" s="52">
        <f>IFERROR(IF(INDEX('CFOG'!$N$23:$N$24,MATCH($F23,'CFOG'!$B$23:$B$24,0))="","Cell will autofill based on response",INDEX('CFOG'!$N$23:$N$24,MATCH($F23,'CFOG'!$B$23:$B$24,0))),"N/A")</f>
        <v/>
      </c>
      <c r="P23" s="52">
        <f>IFERROR(IF(INDEX('ESG'!$N$10:$N$17,MATCH($F23,'ESG'!$B$10:$B$17,0))="","Cell will autofill based on response",INDEX('ESG'!$N$10:$N$17,MATCH($F23,'ESG'!$B$10:$B$17,0))),"N/A")</f>
        <v/>
      </c>
      <c r="Q23" s="52">
        <f>IFERROR(IF(INDEX('CIOG'!$N$10:$N$14,MATCH($F23,'CIOG'!$B$10:$B$14,0))="","Cell will autofill based on response",INDEX('CIOG'!$N$10:$N$14,MATCH($F23,'CIOG'!$B$10:$B$14,0))),"N/A")</f>
        <v/>
      </c>
      <c r="R23" s="52">
        <f>IFERROR(IF(INDEX('MRE'!$N$10:$N$18,MATCH($F23,'MRE'!$B$10:$B$18,0))="","Cell will autofill based on response",INDEX('MRE'!$N$10:$N$18,MATCH($F23,'MRE'!$B$10:$B$18,0))),"N/A")</f>
        <v/>
      </c>
      <c r="S23" s="52">
        <f>IFERROR(IF(INDEX('AC&amp;M'!$N$10:$N$14,MATCH($F23,'AC&amp;M'!$B$10:$B$14,0))="","Cell will autofill based on response",INDEX('AC&amp;M'!$N$10:$N$14,MATCH($F23,'AC&amp;M'!$B$10:$B$14,0))),"N/A")</f>
        <v/>
      </c>
      <c r="T23" s="52">
        <f>IFERROR(IF(INDEX('GCE'!$N$10:$N$12,MATCH($F23,'GCE'!$B$10:$B$12,0))="","Cell will autofill based on response",INDEX('GCE'!$N$10:$N$12,MATCH($F23,'GCE'!$B$10:$B$12,0))),"N/A")</f>
        <v/>
      </c>
      <c r="U23" s="52">
        <f>IFERROR(IF(INDEX('Education'!$N$10:$N$13,MATCH($F23,'Education'!$B$10:$B$13,0))="","Cell will autofill based on response",INDEX('Education'!$N$10:$N$13,MATCH($F23,'Education'!$B$10:$B$13,0))),"N/A")</f>
        <v/>
      </c>
      <c r="V23" s="52">
        <f>IFERROR(IF(INDEX('SaSS'!$N$10:$N$12,MATCH($F23,'SaSS'!$B$10:$B$12,0))="","Cell will autofill based on response",INDEX('SaSS'!$N$10:$N$12,MATCH($F23,'SaSS'!$B$10:$B$12,0))),"N/A")</f>
        <v/>
      </c>
      <c r="W23" s="52">
        <f>IFERROR(IF(INDEX('Indigenous'!$N$10:$N$11,MATCH($F23,'Indigenous'!$B$10:$B$11,0))="","Cell will autofill based on response",INDEX('Indigenous'!$N$10:$N$11,MATCH($F23,'Indigenous'!$B$10:$B$11,0))),"N/A")</f>
        <v/>
      </c>
      <c r="X23" s="52">
        <f>IFERROR(IF(INDEX('L&amp;R'!$N$10:$N$11,MATCH($F23,'L&amp;R'!$B$10:$B$11,0))="","Cell will autofill based on response",INDEX('L&amp;R'!$N$10:$N$11,MATCH($F23,'L&amp;R'!$B$10:$B$11,0))),"N/A")</f>
        <v/>
      </c>
    </row>
    <row r="24">
      <c r="A24">
        <f>F24&amp;"|"&amp;G24</f>
        <v/>
      </c>
      <c r="B24" s="13" t="inlineStr"/>
      <c r="C24" s="8" t="inlineStr"/>
      <c r="D24" s="8" t="inlineStr"/>
      <c r="E24" s="8" t="inlineStr"/>
      <c r="F24" s="8" t="inlineStr">
        <is>
          <t>EE1(c)</t>
        </is>
      </c>
      <c r="G24" s="8" t="inlineStr">
        <is>
          <t>Data source and limitations</t>
        </is>
      </c>
      <c r="H24" s="52">
        <f>IFERROR(IF(INDEX('Faculties'!$O$10:$O$19,MATCH($F24,'Faculties'!$B$10:$B$19,0))="","Cell will autofill based on response",INDEX('Faculties'!$O$10:$O$19,MATCH($F24,'Faculties'!$B$10:$B$19,0))),"N/A")</f>
        <v/>
      </c>
      <c r="I24" s="52">
        <f>IFERROR(IF(INDEX('Faculties'!$O$26:$O$35,MATCH($F24,'Faculties'!$B$26:$B$35,0))="","Cell will autofill based on response",INDEX('Faculties'!$O$26:$O$35,MATCH($F24,'Faculties'!$B$26:$B$35,0))),"N/A")</f>
        <v/>
      </c>
      <c r="J24" s="52">
        <f>IFERROR(IF(INDEX('Faculties'!$O$42:$O$51,MATCH($F24,'Faculties'!$B$42:$B$51,0))="","Cell will autofill based on response",INDEX('Faculties'!$O$42:$O$51,MATCH($F24,'Faculties'!$B$42:$B$51,0))),"N/A")</f>
        <v/>
      </c>
      <c r="K24" s="52">
        <f>IFERROR(IF(INDEX('Faculties'!$O$58:$O$67,MATCH($F24,'Faculties'!$B$58:$B$67,0))="","Cell will autofill based on response",INDEX('Faculties'!$O$58:$O$67,MATCH($F24,'Faculties'!$B$58:$B$67,0))),"N/A")</f>
        <v/>
      </c>
      <c r="L24" s="52">
        <f>IFERROR(IF(INDEX('CI&amp;S'!$O$10:$O$15,MATCH($F24,'CI&amp;S'!$B$10:$B$15,0))="","Cell will autofill based on response",INDEX('CI&amp;S'!$O$10:$O$15,MATCH($F24,'CI&amp;S'!$B$10:$B$15,0))),"N/A")</f>
        <v/>
      </c>
      <c r="M24" s="52">
        <f>IFERROR(IF(INDEX('CI&amp;S'!$O$22:$O$36,MATCH($F24,'CI&amp;S'!$B$22:$B$36,0))="","Cell will autofill based on response",INDEX('CI&amp;S'!$O$22:$O$36,MATCH($F24,'CI&amp;S'!$B$22:$B$36,0))),"N/A")</f>
        <v/>
      </c>
      <c r="N24" s="52">
        <f>IFERROR(IF(INDEX('CFOG'!$O$10:$O$16,MATCH($F24,'CFOG'!$B$10:$B$16,0))="","Cell will autofill based on response",INDEX('CFOG'!$O$10:$O$16,MATCH($F24,'CFOG'!$B$10:$B$16,0))),"N/A")</f>
        <v/>
      </c>
      <c r="O24" s="52">
        <f>IFERROR(IF(INDEX('CFOG'!$O$23:$O$24,MATCH($F24,'CFOG'!$B$23:$B$24,0))="","Cell will autofill based on response",INDEX('CFOG'!$O$23:$O$24,MATCH($F24,'CFOG'!$B$23:$B$24,0))),"N/A")</f>
        <v/>
      </c>
      <c r="P24" s="52">
        <f>IFERROR(IF(INDEX('ESG'!$O$10:$O$17,MATCH($F24,'ESG'!$B$10:$B$17,0))="","Cell will autofill based on response",INDEX('ESG'!$O$10:$O$17,MATCH($F24,'ESG'!$B$10:$B$17,0))),"N/A")</f>
        <v/>
      </c>
      <c r="Q24" s="52">
        <f>IFERROR(IF(INDEX('CIOG'!$O$10:$O$14,MATCH($F24,'CIOG'!$B$10:$B$14,0))="","Cell will autofill based on response",INDEX('CIOG'!$O$10:$O$14,MATCH($F24,'CIOG'!$B$10:$B$14,0))),"N/A")</f>
        <v/>
      </c>
      <c r="R24" s="52">
        <f>IFERROR(IF(INDEX('MRE'!$O$10:$O$18,MATCH($F24,'MRE'!$B$10:$B$18,0))="","Cell will autofill based on response",INDEX('MRE'!$O$10:$O$18,MATCH($F24,'MRE'!$B$10:$B$18,0))),"N/A")</f>
        <v/>
      </c>
      <c r="S24" s="52">
        <f>IFERROR(IF(INDEX('AC&amp;M'!$O$10:$O$14,MATCH($F24,'AC&amp;M'!$B$10:$B$14,0))="","Cell will autofill based on response",INDEX('AC&amp;M'!$O$10:$O$14,MATCH($F24,'AC&amp;M'!$B$10:$B$14,0))),"N/A")</f>
        <v/>
      </c>
      <c r="T24" s="52">
        <f>IFERROR(IF(INDEX('GCE'!$O$10:$O$12,MATCH($F24,'GCE'!$B$10:$B$12,0))="","Cell will autofill based on response",INDEX('GCE'!$O$10:$O$12,MATCH($F24,'GCE'!$B$10:$B$12,0))),"N/A")</f>
        <v/>
      </c>
      <c r="U24" s="52">
        <f>IFERROR(IF(INDEX('Education'!$O$10:$O$13,MATCH($F24,'Education'!$B$10:$B$13,0))="","Cell will autofill based on response",INDEX('Education'!$O$10:$O$13,MATCH($F24,'Education'!$B$10:$B$13,0))),"N/A")</f>
        <v/>
      </c>
      <c r="V24" s="52">
        <f>IFERROR(IF(INDEX('SaSS'!$O$10:$O$12,MATCH($F24,'SaSS'!$B$10:$B$12,0))="","Cell will autofill based on response",INDEX('SaSS'!$O$10:$O$12,MATCH($F24,'SaSS'!$B$10:$B$12,0))),"N/A")</f>
        <v/>
      </c>
      <c r="W24" s="52">
        <f>IFERROR(IF(INDEX('Indigenous'!$O$10:$O$11,MATCH($F24,'Indigenous'!$B$10:$B$11,0))="","Cell will autofill based on response",INDEX('Indigenous'!$O$10:$O$11,MATCH($F24,'Indigenous'!$B$10:$B$11,0))),"N/A")</f>
        <v/>
      </c>
      <c r="X24" s="52">
        <f>IFERROR(IF(INDEX('L&amp;R'!$O$10:$O$11,MATCH($F24,'L&amp;R'!$B$10:$B$11,0))="","Cell will autofill based on response",INDEX('L&amp;R'!$O$10:$O$11,MATCH($F24,'L&amp;R'!$B$10:$B$11,0))),"N/A")</f>
        <v/>
      </c>
    </row>
    <row r="25">
      <c r="A25">
        <f>F25&amp;"|"&amp;G25</f>
        <v/>
      </c>
      <c r="B25" s="13" t="inlineStr"/>
      <c r="C25" s="8" t="inlineStr"/>
      <c r="D25" s="8" t="inlineStr"/>
      <c r="E25" s="8" t="inlineStr"/>
      <c r="F25" s="8" t="inlineStr">
        <is>
          <t>EE1(c)</t>
        </is>
      </c>
      <c r="G25" s="8" t="inlineStr">
        <is>
          <t>Data owner confirms</t>
        </is>
      </c>
      <c r="H25" s="52">
        <f>IFERROR(IF(INDEX('Faculties'!$P$10:$P$19,MATCH($F25,'Faculties'!$B$10:$B$19,0))="","Cell will autofill based on response",INDEX('Faculties'!$P$10:$P$19,MATCH($F25,'Faculties'!$B$10:$B$19,0))),"N/A")</f>
        <v/>
      </c>
      <c r="I25" s="52">
        <f>IFERROR(IF(INDEX('Faculties'!$P$26:$P$35,MATCH($F25,'Faculties'!$B$26:$B$35,0))="","Cell will autofill based on response",INDEX('Faculties'!$P$26:$P$35,MATCH($F25,'Faculties'!$B$26:$B$35,0))),"N/A")</f>
        <v/>
      </c>
      <c r="J25" s="52">
        <f>IFERROR(IF(INDEX('Faculties'!$P$42:$P$51,MATCH($F25,'Faculties'!$B$42:$B$51,0))="","Cell will autofill based on response",INDEX('Faculties'!$P$42:$P$51,MATCH($F25,'Faculties'!$B$42:$B$51,0))),"N/A")</f>
        <v/>
      </c>
      <c r="K25" s="52">
        <f>IFERROR(IF(INDEX('Faculties'!$P$58:$P$67,MATCH($F25,'Faculties'!$B$58:$B$67,0))="","Cell will autofill based on response",INDEX('Faculties'!$P$58:$P$67,MATCH($F25,'Faculties'!$B$58:$B$67,0))),"N/A")</f>
        <v/>
      </c>
      <c r="L25" s="52">
        <f>IFERROR(IF(INDEX('CI&amp;S'!$P$10:$P$15,MATCH($F25,'CI&amp;S'!$B$10:$B$15,0))="","Cell will autofill based on response",INDEX('CI&amp;S'!$P$10:$P$15,MATCH($F25,'CI&amp;S'!$B$10:$B$15,0))),"N/A")</f>
        <v/>
      </c>
      <c r="M25" s="52">
        <f>IFERROR(IF(INDEX('CI&amp;S'!$P$22:$P$36,MATCH($F25,'CI&amp;S'!$B$22:$B$36,0))="","Cell will autofill based on response",INDEX('CI&amp;S'!$P$22:$P$36,MATCH($F25,'CI&amp;S'!$B$22:$B$36,0))),"N/A")</f>
        <v/>
      </c>
      <c r="N25" s="52">
        <f>IFERROR(IF(INDEX('CFOG'!$P$10:$P$16,MATCH($F25,'CFOG'!$B$10:$B$16,0))="","Cell will autofill based on response",INDEX('CFOG'!$P$10:$P$16,MATCH($F25,'CFOG'!$B$10:$B$16,0))),"N/A")</f>
        <v/>
      </c>
      <c r="O25" s="52">
        <f>IFERROR(IF(INDEX('CFOG'!$P$23:$P$24,MATCH($F25,'CFOG'!$B$23:$B$24,0))="","Cell will autofill based on response",INDEX('CFOG'!$P$23:$P$24,MATCH($F25,'CFOG'!$B$23:$B$24,0))),"N/A")</f>
        <v/>
      </c>
      <c r="P25" s="52">
        <f>IFERROR(IF(INDEX('ESG'!$P$10:$P$17,MATCH($F25,'ESG'!$B$10:$B$17,0))="","Cell will autofill based on response",INDEX('ESG'!$P$10:$P$17,MATCH($F25,'ESG'!$B$10:$B$17,0))),"N/A")</f>
        <v/>
      </c>
      <c r="Q25" s="52">
        <f>IFERROR(IF(INDEX('CIOG'!$P$10:$P$14,MATCH($F25,'CIOG'!$B$10:$B$14,0))="","Cell will autofill based on response",INDEX('CIOG'!$P$10:$P$14,MATCH($F25,'CIOG'!$B$10:$B$14,0))),"N/A")</f>
        <v/>
      </c>
      <c r="R25" s="52">
        <f>IFERROR(IF(INDEX('MRE'!$P$10:$P$18,MATCH($F25,'MRE'!$B$10:$B$18,0))="","Cell will autofill based on response",INDEX('MRE'!$P$10:$P$18,MATCH($F25,'MRE'!$B$10:$B$18,0))),"N/A")</f>
        <v/>
      </c>
      <c r="S25" s="52">
        <f>IFERROR(IF(INDEX('AC&amp;M'!$P$10:$P$14,MATCH($F25,'AC&amp;M'!$B$10:$B$14,0))="","Cell will autofill based on response",INDEX('AC&amp;M'!$P$10:$P$14,MATCH($F25,'AC&amp;M'!$B$10:$B$14,0))),"N/A")</f>
        <v/>
      </c>
      <c r="T25" s="52">
        <f>IFERROR(IF(INDEX('GCE'!$P$10:$P$12,MATCH($F25,'GCE'!$B$10:$B$12,0))="","Cell will autofill based on response",INDEX('GCE'!$P$10:$P$12,MATCH($F25,'GCE'!$B$10:$B$12,0))),"N/A")</f>
        <v/>
      </c>
      <c r="U25" s="52">
        <f>IFERROR(IF(INDEX('Education'!$P$10:$P$13,MATCH($F25,'Education'!$B$10:$B$13,0))="","Cell will autofill based on response",INDEX('Education'!$P$10:$P$13,MATCH($F25,'Education'!$B$10:$B$13,0))),"N/A")</f>
        <v/>
      </c>
      <c r="V25" s="52">
        <f>IFERROR(IF(INDEX('SaSS'!$P$10:$P$12,MATCH($F25,'SaSS'!$B$10:$B$12,0))="","Cell will autofill based on response",INDEX('SaSS'!$P$10:$P$12,MATCH($F25,'SaSS'!$B$10:$B$12,0))),"N/A")</f>
        <v/>
      </c>
      <c r="W25" s="52">
        <f>IFERROR(IF(INDEX('Indigenous'!$P$10:$P$11,MATCH($F25,'Indigenous'!$B$10:$B$11,0))="","Cell will autofill based on response",INDEX('Indigenous'!$P$10:$P$11,MATCH($F25,'Indigenous'!$B$10:$B$11,0))),"N/A")</f>
        <v/>
      </c>
      <c r="X25" s="52">
        <f>IFERROR(IF(INDEX('L&amp;R'!$P$10:$P$11,MATCH($F25,'L&amp;R'!$B$10:$B$11,0))="","Cell will autofill based on response",INDEX('L&amp;R'!$P$10:$P$11,MATCH($F25,'L&amp;R'!$B$10:$B$11,0))),"N/A")</f>
        <v/>
      </c>
    </row>
    <row r="26">
      <c r="A26">
        <f>F26&amp;"|"&amp;G26</f>
        <v/>
      </c>
      <c r="B26" s="7" t="inlineStr">
        <is>
          <t>EE1(d)</t>
        </is>
      </c>
      <c r="C26" s="50" t="inlineStr">
        <is>
          <t>Exceptional education</t>
        </is>
      </c>
      <c r="D26" s="50" t="inlineStr">
        <is>
          <t>Alumni profiles demonstrating how graduates contribute to sustainability through their careers or communities.</t>
        </is>
      </c>
      <c r="E26" s="50"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50" t="inlineStr">
        <is>
          <t>EE1(d)</t>
        </is>
      </c>
      <c r="G26" s="50" t="inlineStr">
        <is>
          <t>OPTION 1:  Target-level reporting</t>
        </is>
      </c>
      <c r="H26" s="52">
        <f>IFERROR(IF(INDEX('Faculties'!$L$10:$L$19,MATCH($F26,'Faculties'!$B$10:$B$19,0))="","Cell will autofill based on response",INDEX('Faculties'!$L$10:$L$19,MATCH($F26,'Faculties'!$B$10:$B$19,0))),"N/A")</f>
        <v/>
      </c>
      <c r="I26" s="52">
        <f>IFERROR(IF(INDEX('Faculties'!$L$26:$L$35,MATCH($F26,'Faculties'!$B$26:$B$35,0))="","Cell will autofill based on response",INDEX('Faculties'!$L$26:$L$35,MATCH($F26,'Faculties'!$B$26:$B$35,0))),"N/A")</f>
        <v/>
      </c>
      <c r="J26" s="52">
        <f>IFERROR(IF(INDEX('Faculties'!$L$42:$L$51,MATCH($F26,'Faculties'!$B$42:$B$51,0))="","Cell will autofill based on response",INDEX('Faculties'!$L$42:$L$51,MATCH($F26,'Faculties'!$B$42:$B$51,0))),"N/A")</f>
        <v/>
      </c>
      <c r="K26" s="52">
        <f>IFERROR(IF(INDEX('Faculties'!$L$58:$L$67,MATCH($F26,'Faculties'!$B$58:$B$67,0))="","Cell will autofill based on response",INDEX('Faculties'!$L$58:$L$67,MATCH($F26,'Faculties'!$B$58:$B$67,0))),"N/A")</f>
        <v/>
      </c>
      <c r="L26" s="52">
        <f>IFERROR(IF(INDEX('CI&amp;S'!$L$10:$L$15,MATCH($F26,'CI&amp;S'!$B$10:$B$15,0))="","Cell will autofill based on response",INDEX('CI&amp;S'!$L$10:$L$15,MATCH($F26,'CI&amp;S'!$B$10:$B$15,0))),"N/A")</f>
        <v/>
      </c>
      <c r="M26" s="52">
        <f>IFERROR(IF(INDEX('CI&amp;S'!$L$22:$L$36,MATCH($F26,'CI&amp;S'!$B$22:$B$36,0))="","Cell will autofill based on response",INDEX('CI&amp;S'!$L$22:$L$36,MATCH($F26,'CI&amp;S'!$B$22:$B$36,0))),"N/A")</f>
        <v/>
      </c>
      <c r="N26" s="52">
        <f>IFERROR(IF(INDEX('CFOG'!$L$10:$L$16,MATCH($F26,'CFOG'!$B$10:$B$16,0))="","Cell will autofill based on response",INDEX('CFOG'!$L$10:$L$16,MATCH($F26,'CFOG'!$B$10:$B$16,0))),"N/A")</f>
        <v/>
      </c>
      <c r="O26" s="52">
        <f>IFERROR(IF(INDEX('CFOG'!$L$23:$L$24,MATCH($F26,'CFOG'!$B$23:$B$24,0))="","Cell will autofill based on response",INDEX('CFOG'!$L$23:$L$24,MATCH($F26,'CFOG'!$B$23:$B$24,0))),"N/A")</f>
        <v/>
      </c>
      <c r="P26" s="52">
        <f>IFERROR(IF(INDEX('ESG'!$L$10:$L$17,MATCH($F26,'ESG'!$B$10:$B$17,0))="","Cell will autofill based on response",INDEX('ESG'!$L$10:$L$17,MATCH($F26,'ESG'!$B$10:$B$17,0))),"N/A")</f>
        <v/>
      </c>
      <c r="Q26" s="52">
        <f>IFERROR(IF(INDEX('CIOG'!$L$10:$L$14,MATCH($F26,'CIOG'!$B$10:$B$14,0))="","Cell will autofill based on response",INDEX('CIOG'!$L$10:$L$14,MATCH($F26,'CIOG'!$B$10:$B$14,0))),"N/A")</f>
        <v/>
      </c>
      <c r="R26" s="52">
        <f>IFERROR(IF(INDEX('MRE'!$L$10:$L$18,MATCH($F26,'MRE'!$B$10:$B$18,0))="","Cell will autofill based on response",INDEX('MRE'!$L$10:$L$18,MATCH($F26,'MRE'!$B$10:$B$18,0))),"N/A")</f>
        <v/>
      </c>
      <c r="S26" s="52">
        <f>IFERROR(IF(INDEX('AC&amp;M'!$L$10:$L$14,MATCH($F26,'AC&amp;M'!$B$10:$B$14,0))="","Cell will autofill based on response",INDEX('AC&amp;M'!$L$10:$L$14,MATCH($F26,'AC&amp;M'!$B$10:$B$14,0))),"N/A")</f>
        <v/>
      </c>
      <c r="T26" s="52">
        <f>IFERROR(IF(INDEX('GCE'!$L$10:$L$12,MATCH($F26,'GCE'!$B$10:$B$12,0))="","Cell will autofill based on response",INDEX('GCE'!$L$10:$L$12,MATCH($F26,'GCE'!$B$10:$B$12,0))),"N/A")</f>
        <v/>
      </c>
      <c r="U26" s="52">
        <f>IFERROR(IF(INDEX('Education'!$L$10:$L$13,MATCH($F26,'Education'!$B$10:$B$13,0))="","Cell will autofill based on response",INDEX('Education'!$L$10:$L$13,MATCH($F26,'Education'!$B$10:$B$13,0))),"N/A")</f>
        <v/>
      </c>
      <c r="V26" s="52">
        <f>IFERROR(IF(INDEX('SaSS'!$L$10:$L$12,MATCH($F26,'SaSS'!$B$10:$B$12,0))="","Cell will autofill based on response",INDEX('SaSS'!$L$10:$L$12,MATCH($F26,'SaSS'!$B$10:$B$12,0))),"N/A")</f>
        <v/>
      </c>
      <c r="W26" s="52">
        <f>IFERROR(IF(INDEX('Indigenous'!$L$10:$L$11,MATCH($F26,'Indigenous'!$B$10:$B$11,0))="","Cell will autofill based on response",INDEX('Indigenous'!$L$10:$L$11,MATCH($F26,'Indigenous'!$B$10:$B$11,0))),"N/A")</f>
        <v/>
      </c>
      <c r="X26" s="52">
        <f>IFERROR(IF(INDEX('L&amp;R'!$L$10:$L$11,MATCH($F26,'L&amp;R'!$B$10:$B$11,0))="","Cell will autofill based on response",INDEX('L&amp;R'!$L$10:$L$11,MATCH($F26,'L&amp;R'!$B$10:$B$11,0))),"N/A")</f>
        <v/>
      </c>
      <c r="Z26" s="10">
        <f>SUMPRODUCT(--($H26:$X26&lt;&gt;"N/A"))</f>
        <v/>
      </c>
      <c r="AA26" s="10">
        <f>SUMPRODUCT(--(((($H26:$X26&lt;&gt;"N/A")*($H26:$X26&lt;&gt;"Cell will autofill based on response"))+(($H27:$X27&lt;&gt;"N/A")*($H27:$X27&lt;&gt;"Cell will autofill based on response")))&gt;0))</f>
        <v/>
      </c>
      <c r="AB26" s="10">
        <f>Z26-AA26</f>
        <v/>
      </c>
      <c r="AC26" s="10">
        <f>COUNTIF($H30:$X30,"Yes")</f>
        <v/>
      </c>
    </row>
    <row r="27">
      <c r="A27">
        <f>F27&amp;"|"&amp;G27</f>
        <v/>
      </c>
      <c r="B27" s="13" t="inlineStr"/>
      <c r="C27" s="8" t="inlineStr"/>
      <c r="D27" s="8" t="inlineStr"/>
      <c r="E27" s="8" t="inlineStr"/>
      <c r="F27" s="8" t="inlineStr">
        <is>
          <t>EE1(d)</t>
        </is>
      </c>
      <c r="G27" s="8" t="inlineStr">
        <is>
          <t>OPTION 2:  Indicator level reporting</t>
        </is>
      </c>
      <c r="H27" s="52">
        <f>IFERROR(IF(INDEX('Faculties'!$M$10:$M$19,MATCH($F27,'Faculties'!$B$10:$B$19,0))="","Cell will autofill based on response",INDEX('Faculties'!$M$10:$M$19,MATCH($F27,'Faculties'!$B$10:$B$19,0))),"N/A")</f>
        <v/>
      </c>
      <c r="I27" s="52">
        <f>IFERROR(IF(INDEX('Faculties'!$M$26:$M$35,MATCH($F27,'Faculties'!$B$26:$B$35,0))="","Cell will autofill based on response",INDEX('Faculties'!$M$26:$M$35,MATCH($F27,'Faculties'!$B$26:$B$35,0))),"N/A")</f>
        <v/>
      </c>
      <c r="J27" s="52">
        <f>IFERROR(IF(INDEX('Faculties'!$M$42:$M$51,MATCH($F27,'Faculties'!$B$42:$B$51,0))="","Cell will autofill based on response",INDEX('Faculties'!$M$42:$M$51,MATCH($F27,'Faculties'!$B$42:$B$51,0))),"N/A")</f>
        <v/>
      </c>
      <c r="K27" s="52">
        <f>IFERROR(IF(INDEX('Faculties'!$M$58:$M$67,MATCH($F27,'Faculties'!$B$58:$B$67,0))="","Cell will autofill based on response",INDEX('Faculties'!$M$58:$M$67,MATCH($F27,'Faculties'!$B$58:$B$67,0))),"N/A")</f>
        <v/>
      </c>
      <c r="L27" s="52">
        <f>IFERROR(IF(INDEX('CI&amp;S'!$M$10:$M$15,MATCH($F27,'CI&amp;S'!$B$10:$B$15,0))="","Cell will autofill based on response",INDEX('CI&amp;S'!$M$10:$M$15,MATCH($F27,'CI&amp;S'!$B$10:$B$15,0))),"N/A")</f>
        <v/>
      </c>
      <c r="M27" s="52">
        <f>IFERROR(IF(INDEX('CI&amp;S'!$M$22:$M$36,MATCH($F27,'CI&amp;S'!$B$22:$B$36,0))="","Cell will autofill based on response",INDEX('CI&amp;S'!$M$22:$M$36,MATCH($F27,'CI&amp;S'!$B$22:$B$36,0))),"N/A")</f>
        <v/>
      </c>
      <c r="N27" s="52">
        <f>IFERROR(IF(INDEX('CFOG'!$M$10:$M$16,MATCH($F27,'CFOG'!$B$10:$B$16,0))="","Cell will autofill based on response",INDEX('CFOG'!$M$10:$M$16,MATCH($F27,'CFOG'!$B$10:$B$16,0))),"N/A")</f>
        <v/>
      </c>
      <c r="O27" s="52">
        <f>IFERROR(IF(INDEX('CFOG'!$M$23:$M$24,MATCH($F27,'CFOG'!$B$23:$B$24,0))="","Cell will autofill based on response",INDEX('CFOG'!$M$23:$M$24,MATCH($F27,'CFOG'!$B$23:$B$24,0))),"N/A")</f>
        <v/>
      </c>
      <c r="P27" s="52">
        <f>IFERROR(IF(INDEX('ESG'!$M$10:$M$17,MATCH($F27,'ESG'!$B$10:$B$17,0))="","Cell will autofill based on response",INDEX('ESG'!$M$10:$M$17,MATCH($F27,'ESG'!$B$10:$B$17,0))),"N/A")</f>
        <v/>
      </c>
      <c r="Q27" s="52">
        <f>IFERROR(IF(INDEX('CIOG'!$M$10:$M$14,MATCH($F27,'CIOG'!$B$10:$B$14,0))="","Cell will autofill based on response",INDEX('CIOG'!$M$10:$M$14,MATCH($F27,'CIOG'!$B$10:$B$14,0))),"N/A")</f>
        <v/>
      </c>
      <c r="R27" s="52">
        <f>IFERROR(IF(INDEX('MRE'!$M$10:$M$18,MATCH($F27,'MRE'!$B$10:$B$18,0))="","Cell will autofill based on response",INDEX('MRE'!$M$10:$M$18,MATCH($F27,'MRE'!$B$10:$B$18,0))),"N/A")</f>
        <v/>
      </c>
      <c r="S27" s="52">
        <f>IFERROR(IF(INDEX('AC&amp;M'!$M$10:$M$14,MATCH($F27,'AC&amp;M'!$B$10:$B$14,0))="","Cell will autofill based on response",INDEX('AC&amp;M'!$M$10:$M$14,MATCH($F27,'AC&amp;M'!$B$10:$B$14,0))),"N/A")</f>
        <v/>
      </c>
      <c r="T27" s="52">
        <f>IFERROR(IF(INDEX('GCE'!$M$10:$M$12,MATCH($F27,'GCE'!$B$10:$B$12,0))="","Cell will autofill based on response",INDEX('GCE'!$M$10:$M$12,MATCH($F27,'GCE'!$B$10:$B$12,0))),"N/A")</f>
        <v/>
      </c>
      <c r="U27" s="52">
        <f>IFERROR(IF(INDEX('Education'!$M$10:$M$13,MATCH($F27,'Education'!$B$10:$B$13,0))="","Cell will autofill based on response",INDEX('Education'!$M$10:$M$13,MATCH($F27,'Education'!$B$10:$B$13,0))),"N/A")</f>
        <v/>
      </c>
      <c r="V27" s="52">
        <f>IFERROR(IF(INDEX('SaSS'!$M$10:$M$12,MATCH($F27,'SaSS'!$B$10:$B$12,0))="","Cell will autofill based on response",INDEX('SaSS'!$M$10:$M$12,MATCH($F27,'SaSS'!$B$10:$B$12,0))),"N/A")</f>
        <v/>
      </c>
      <c r="W27" s="52">
        <f>IFERROR(IF(INDEX('Indigenous'!$M$10:$M$11,MATCH($F27,'Indigenous'!$B$10:$B$11,0))="","Cell will autofill based on response",INDEX('Indigenous'!$M$10:$M$11,MATCH($F27,'Indigenous'!$B$10:$B$11,0))),"N/A")</f>
        <v/>
      </c>
      <c r="X27" s="52">
        <f>IFERROR(IF(INDEX('L&amp;R'!$M$10:$M$11,MATCH($F27,'L&amp;R'!$B$10:$B$11,0))="","Cell will autofill based on response",INDEX('L&amp;R'!$M$10:$M$11,MATCH($F27,'L&amp;R'!$B$10:$B$11,0))),"N/A")</f>
        <v/>
      </c>
    </row>
    <row r="28">
      <c r="A28">
        <f>F28&amp;"|"&amp;G28</f>
        <v/>
      </c>
      <c r="B28" s="13" t="inlineStr"/>
      <c r="C28" s="8" t="inlineStr"/>
      <c r="D28" s="8" t="inlineStr"/>
      <c r="E28" s="8" t="inlineStr"/>
      <c r="F28" s="8" t="inlineStr">
        <is>
          <t>EE1(d)</t>
        </is>
      </c>
      <c r="G28" s="8" t="inlineStr">
        <is>
          <t>Supporting information/comments</t>
        </is>
      </c>
      <c r="H28" s="52">
        <f>IFERROR(IF(INDEX('Faculties'!$N$10:$N$19,MATCH($F28,'Faculties'!$B$10:$B$19,0))="","Cell will autofill based on response",INDEX('Faculties'!$N$10:$N$19,MATCH($F28,'Faculties'!$B$10:$B$19,0))),"N/A")</f>
        <v/>
      </c>
      <c r="I28" s="52">
        <f>IFERROR(IF(INDEX('Faculties'!$N$26:$N$35,MATCH($F28,'Faculties'!$B$26:$B$35,0))="","Cell will autofill based on response",INDEX('Faculties'!$N$26:$N$35,MATCH($F28,'Faculties'!$B$26:$B$35,0))),"N/A")</f>
        <v/>
      </c>
      <c r="J28" s="52">
        <f>IFERROR(IF(INDEX('Faculties'!$N$42:$N$51,MATCH($F28,'Faculties'!$B$42:$B$51,0))="","Cell will autofill based on response",INDEX('Faculties'!$N$42:$N$51,MATCH($F28,'Faculties'!$B$42:$B$51,0))),"N/A")</f>
        <v/>
      </c>
      <c r="K28" s="52">
        <f>IFERROR(IF(INDEX('Faculties'!$N$58:$N$67,MATCH($F28,'Faculties'!$B$58:$B$67,0))="","Cell will autofill based on response",INDEX('Faculties'!$N$58:$N$67,MATCH($F28,'Faculties'!$B$58:$B$67,0))),"N/A")</f>
        <v/>
      </c>
      <c r="L28" s="52">
        <f>IFERROR(IF(INDEX('CI&amp;S'!$N$10:$N$15,MATCH($F28,'CI&amp;S'!$B$10:$B$15,0))="","Cell will autofill based on response",INDEX('CI&amp;S'!$N$10:$N$15,MATCH($F28,'CI&amp;S'!$B$10:$B$15,0))),"N/A")</f>
        <v/>
      </c>
      <c r="M28" s="52">
        <f>IFERROR(IF(INDEX('CI&amp;S'!$N$22:$N$36,MATCH($F28,'CI&amp;S'!$B$22:$B$36,0))="","Cell will autofill based on response",INDEX('CI&amp;S'!$N$22:$N$36,MATCH($F28,'CI&amp;S'!$B$22:$B$36,0))),"N/A")</f>
        <v/>
      </c>
      <c r="N28" s="52">
        <f>IFERROR(IF(INDEX('CFOG'!$N$10:$N$16,MATCH($F28,'CFOG'!$B$10:$B$16,0))="","Cell will autofill based on response",INDEX('CFOG'!$N$10:$N$16,MATCH($F28,'CFOG'!$B$10:$B$16,0))),"N/A")</f>
        <v/>
      </c>
      <c r="O28" s="52">
        <f>IFERROR(IF(INDEX('CFOG'!$N$23:$N$24,MATCH($F28,'CFOG'!$B$23:$B$24,0))="","Cell will autofill based on response",INDEX('CFOG'!$N$23:$N$24,MATCH($F28,'CFOG'!$B$23:$B$24,0))),"N/A")</f>
        <v/>
      </c>
      <c r="P28" s="52">
        <f>IFERROR(IF(INDEX('ESG'!$N$10:$N$17,MATCH($F28,'ESG'!$B$10:$B$17,0))="","Cell will autofill based on response",INDEX('ESG'!$N$10:$N$17,MATCH($F28,'ESG'!$B$10:$B$17,0))),"N/A")</f>
        <v/>
      </c>
      <c r="Q28" s="52">
        <f>IFERROR(IF(INDEX('CIOG'!$N$10:$N$14,MATCH($F28,'CIOG'!$B$10:$B$14,0))="","Cell will autofill based on response",INDEX('CIOG'!$N$10:$N$14,MATCH($F28,'CIOG'!$B$10:$B$14,0))),"N/A")</f>
        <v/>
      </c>
      <c r="R28" s="52">
        <f>IFERROR(IF(INDEX('MRE'!$N$10:$N$18,MATCH($F28,'MRE'!$B$10:$B$18,0))="","Cell will autofill based on response",INDEX('MRE'!$N$10:$N$18,MATCH($F28,'MRE'!$B$10:$B$18,0))),"N/A")</f>
        <v/>
      </c>
      <c r="S28" s="52">
        <f>IFERROR(IF(INDEX('AC&amp;M'!$N$10:$N$14,MATCH($F28,'AC&amp;M'!$B$10:$B$14,0))="","Cell will autofill based on response",INDEX('AC&amp;M'!$N$10:$N$14,MATCH($F28,'AC&amp;M'!$B$10:$B$14,0))),"N/A")</f>
        <v/>
      </c>
      <c r="T28" s="52">
        <f>IFERROR(IF(INDEX('GCE'!$N$10:$N$12,MATCH($F28,'GCE'!$B$10:$B$12,0))="","Cell will autofill based on response",INDEX('GCE'!$N$10:$N$12,MATCH($F28,'GCE'!$B$10:$B$12,0))),"N/A")</f>
        <v/>
      </c>
      <c r="U28" s="52">
        <f>IFERROR(IF(INDEX('Education'!$N$10:$N$13,MATCH($F28,'Education'!$B$10:$B$13,0))="","Cell will autofill based on response",INDEX('Education'!$N$10:$N$13,MATCH($F28,'Education'!$B$10:$B$13,0))),"N/A")</f>
        <v/>
      </c>
      <c r="V28" s="52">
        <f>IFERROR(IF(INDEX('SaSS'!$N$10:$N$12,MATCH($F28,'SaSS'!$B$10:$B$12,0))="","Cell will autofill based on response",INDEX('SaSS'!$N$10:$N$12,MATCH($F28,'SaSS'!$B$10:$B$12,0))),"N/A")</f>
        <v/>
      </c>
      <c r="W28" s="52">
        <f>IFERROR(IF(INDEX('Indigenous'!$N$10:$N$11,MATCH($F28,'Indigenous'!$B$10:$B$11,0))="","Cell will autofill based on response",INDEX('Indigenous'!$N$10:$N$11,MATCH($F28,'Indigenous'!$B$10:$B$11,0))),"N/A")</f>
        <v/>
      </c>
      <c r="X28" s="52">
        <f>IFERROR(IF(INDEX('L&amp;R'!$N$10:$N$11,MATCH($F28,'L&amp;R'!$B$10:$B$11,0))="","Cell will autofill based on response",INDEX('L&amp;R'!$N$10:$N$11,MATCH($F28,'L&amp;R'!$B$10:$B$11,0))),"N/A")</f>
        <v/>
      </c>
    </row>
    <row r="29">
      <c r="A29">
        <f>F29&amp;"|"&amp;G29</f>
        <v/>
      </c>
      <c r="B29" s="13" t="inlineStr"/>
      <c r="C29" s="8" t="inlineStr"/>
      <c r="D29" s="8" t="inlineStr"/>
      <c r="E29" s="8" t="inlineStr"/>
      <c r="F29" s="8" t="inlineStr">
        <is>
          <t>EE1(d)</t>
        </is>
      </c>
      <c r="G29" s="8" t="inlineStr">
        <is>
          <t>Data source and limitations</t>
        </is>
      </c>
      <c r="H29" s="52">
        <f>IFERROR(IF(INDEX('Faculties'!$O$10:$O$19,MATCH($F29,'Faculties'!$B$10:$B$19,0))="","Cell will autofill based on response",INDEX('Faculties'!$O$10:$O$19,MATCH($F29,'Faculties'!$B$10:$B$19,0))),"N/A")</f>
        <v/>
      </c>
      <c r="I29" s="52">
        <f>IFERROR(IF(INDEX('Faculties'!$O$26:$O$35,MATCH($F29,'Faculties'!$B$26:$B$35,0))="","Cell will autofill based on response",INDEX('Faculties'!$O$26:$O$35,MATCH($F29,'Faculties'!$B$26:$B$35,0))),"N/A")</f>
        <v/>
      </c>
      <c r="J29" s="52">
        <f>IFERROR(IF(INDEX('Faculties'!$O$42:$O$51,MATCH($F29,'Faculties'!$B$42:$B$51,0))="","Cell will autofill based on response",INDEX('Faculties'!$O$42:$O$51,MATCH($F29,'Faculties'!$B$42:$B$51,0))),"N/A")</f>
        <v/>
      </c>
      <c r="K29" s="52">
        <f>IFERROR(IF(INDEX('Faculties'!$O$58:$O$67,MATCH($F29,'Faculties'!$B$58:$B$67,0))="","Cell will autofill based on response",INDEX('Faculties'!$O$58:$O$67,MATCH($F29,'Faculties'!$B$58:$B$67,0))),"N/A")</f>
        <v/>
      </c>
      <c r="L29" s="52">
        <f>IFERROR(IF(INDEX('CI&amp;S'!$O$10:$O$15,MATCH($F29,'CI&amp;S'!$B$10:$B$15,0))="","Cell will autofill based on response",INDEX('CI&amp;S'!$O$10:$O$15,MATCH($F29,'CI&amp;S'!$B$10:$B$15,0))),"N/A")</f>
        <v/>
      </c>
      <c r="M29" s="52">
        <f>IFERROR(IF(INDEX('CI&amp;S'!$O$22:$O$36,MATCH($F29,'CI&amp;S'!$B$22:$B$36,0))="","Cell will autofill based on response",INDEX('CI&amp;S'!$O$22:$O$36,MATCH($F29,'CI&amp;S'!$B$22:$B$36,0))),"N/A")</f>
        <v/>
      </c>
      <c r="N29" s="52">
        <f>IFERROR(IF(INDEX('CFOG'!$O$10:$O$16,MATCH($F29,'CFOG'!$B$10:$B$16,0))="","Cell will autofill based on response",INDEX('CFOG'!$O$10:$O$16,MATCH($F29,'CFOG'!$B$10:$B$16,0))),"N/A")</f>
        <v/>
      </c>
      <c r="O29" s="52">
        <f>IFERROR(IF(INDEX('CFOG'!$O$23:$O$24,MATCH($F29,'CFOG'!$B$23:$B$24,0))="","Cell will autofill based on response",INDEX('CFOG'!$O$23:$O$24,MATCH($F29,'CFOG'!$B$23:$B$24,0))),"N/A")</f>
        <v/>
      </c>
      <c r="P29" s="52">
        <f>IFERROR(IF(INDEX('ESG'!$O$10:$O$17,MATCH($F29,'ESG'!$B$10:$B$17,0))="","Cell will autofill based on response",INDEX('ESG'!$O$10:$O$17,MATCH($F29,'ESG'!$B$10:$B$17,0))),"N/A")</f>
        <v/>
      </c>
      <c r="Q29" s="52">
        <f>IFERROR(IF(INDEX('CIOG'!$O$10:$O$14,MATCH($F29,'CIOG'!$B$10:$B$14,0))="","Cell will autofill based on response",INDEX('CIOG'!$O$10:$O$14,MATCH($F29,'CIOG'!$B$10:$B$14,0))),"N/A")</f>
        <v/>
      </c>
      <c r="R29" s="52">
        <f>IFERROR(IF(INDEX('MRE'!$O$10:$O$18,MATCH($F29,'MRE'!$B$10:$B$18,0))="","Cell will autofill based on response",INDEX('MRE'!$O$10:$O$18,MATCH($F29,'MRE'!$B$10:$B$18,0))),"N/A")</f>
        <v/>
      </c>
      <c r="S29" s="52">
        <f>IFERROR(IF(INDEX('AC&amp;M'!$O$10:$O$14,MATCH($F29,'AC&amp;M'!$B$10:$B$14,0))="","Cell will autofill based on response",INDEX('AC&amp;M'!$O$10:$O$14,MATCH($F29,'AC&amp;M'!$B$10:$B$14,0))),"N/A")</f>
        <v/>
      </c>
      <c r="T29" s="52">
        <f>IFERROR(IF(INDEX('GCE'!$O$10:$O$12,MATCH($F29,'GCE'!$B$10:$B$12,0))="","Cell will autofill based on response",INDEX('GCE'!$O$10:$O$12,MATCH($F29,'GCE'!$B$10:$B$12,0))),"N/A")</f>
        <v/>
      </c>
      <c r="U29" s="52">
        <f>IFERROR(IF(INDEX('Education'!$O$10:$O$13,MATCH($F29,'Education'!$B$10:$B$13,0))="","Cell will autofill based on response",INDEX('Education'!$O$10:$O$13,MATCH($F29,'Education'!$B$10:$B$13,0))),"N/A")</f>
        <v/>
      </c>
      <c r="V29" s="52">
        <f>IFERROR(IF(INDEX('SaSS'!$O$10:$O$12,MATCH($F29,'SaSS'!$B$10:$B$12,0))="","Cell will autofill based on response",INDEX('SaSS'!$O$10:$O$12,MATCH($F29,'SaSS'!$B$10:$B$12,0))),"N/A")</f>
        <v/>
      </c>
      <c r="W29" s="52">
        <f>IFERROR(IF(INDEX('Indigenous'!$O$10:$O$11,MATCH($F29,'Indigenous'!$B$10:$B$11,0))="","Cell will autofill based on response",INDEX('Indigenous'!$O$10:$O$11,MATCH($F29,'Indigenous'!$B$10:$B$11,0))),"N/A")</f>
        <v/>
      </c>
      <c r="X29" s="52">
        <f>IFERROR(IF(INDEX('L&amp;R'!$O$10:$O$11,MATCH($F29,'L&amp;R'!$B$10:$B$11,0))="","Cell will autofill based on response",INDEX('L&amp;R'!$O$10:$O$11,MATCH($F29,'L&amp;R'!$B$10:$B$11,0))),"N/A")</f>
        <v/>
      </c>
    </row>
    <row r="30">
      <c r="A30">
        <f>F30&amp;"|"&amp;G30</f>
        <v/>
      </c>
      <c r="B30" s="13" t="inlineStr"/>
      <c r="C30" s="8" t="inlineStr"/>
      <c r="D30" s="8" t="inlineStr"/>
      <c r="E30" s="8" t="inlineStr"/>
      <c r="F30" s="8" t="inlineStr">
        <is>
          <t>EE1(d)</t>
        </is>
      </c>
      <c r="G30" s="8" t="inlineStr">
        <is>
          <t>Data owner confirms</t>
        </is>
      </c>
      <c r="H30" s="52">
        <f>IFERROR(IF(INDEX('Faculties'!$P$10:$P$19,MATCH($F30,'Faculties'!$B$10:$B$19,0))="","Cell will autofill based on response",INDEX('Faculties'!$P$10:$P$19,MATCH($F30,'Faculties'!$B$10:$B$19,0))),"N/A")</f>
        <v/>
      </c>
      <c r="I30" s="52">
        <f>IFERROR(IF(INDEX('Faculties'!$P$26:$P$35,MATCH($F30,'Faculties'!$B$26:$B$35,0))="","Cell will autofill based on response",INDEX('Faculties'!$P$26:$P$35,MATCH($F30,'Faculties'!$B$26:$B$35,0))),"N/A")</f>
        <v/>
      </c>
      <c r="J30" s="52">
        <f>IFERROR(IF(INDEX('Faculties'!$P$42:$P$51,MATCH($F30,'Faculties'!$B$42:$B$51,0))="","Cell will autofill based on response",INDEX('Faculties'!$P$42:$P$51,MATCH($F30,'Faculties'!$B$42:$B$51,0))),"N/A")</f>
        <v/>
      </c>
      <c r="K30" s="52">
        <f>IFERROR(IF(INDEX('Faculties'!$P$58:$P$67,MATCH($F30,'Faculties'!$B$58:$B$67,0))="","Cell will autofill based on response",INDEX('Faculties'!$P$58:$P$67,MATCH($F30,'Faculties'!$B$58:$B$67,0))),"N/A")</f>
        <v/>
      </c>
      <c r="L30" s="52">
        <f>IFERROR(IF(INDEX('CI&amp;S'!$P$10:$P$15,MATCH($F30,'CI&amp;S'!$B$10:$B$15,0))="","Cell will autofill based on response",INDEX('CI&amp;S'!$P$10:$P$15,MATCH($F30,'CI&amp;S'!$B$10:$B$15,0))),"N/A")</f>
        <v/>
      </c>
      <c r="M30" s="52">
        <f>IFERROR(IF(INDEX('CI&amp;S'!$P$22:$P$36,MATCH($F30,'CI&amp;S'!$B$22:$B$36,0))="","Cell will autofill based on response",INDEX('CI&amp;S'!$P$22:$P$36,MATCH($F30,'CI&amp;S'!$B$22:$B$36,0))),"N/A")</f>
        <v/>
      </c>
      <c r="N30" s="52">
        <f>IFERROR(IF(INDEX('CFOG'!$P$10:$P$16,MATCH($F30,'CFOG'!$B$10:$B$16,0))="","Cell will autofill based on response",INDEX('CFOG'!$P$10:$P$16,MATCH($F30,'CFOG'!$B$10:$B$16,0))),"N/A")</f>
        <v/>
      </c>
      <c r="O30" s="52">
        <f>IFERROR(IF(INDEX('CFOG'!$P$23:$P$24,MATCH($F30,'CFOG'!$B$23:$B$24,0))="","Cell will autofill based on response",INDEX('CFOG'!$P$23:$P$24,MATCH($F30,'CFOG'!$B$23:$B$24,0))),"N/A")</f>
        <v/>
      </c>
      <c r="P30" s="52">
        <f>IFERROR(IF(INDEX('ESG'!$P$10:$P$17,MATCH($F30,'ESG'!$B$10:$B$17,0))="","Cell will autofill based on response",INDEX('ESG'!$P$10:$P$17,MATCH($F30,'ESG'!$B$10:$B$17,0))),"N/A")</f>
        <v/>
      </c>
      <c r="Q30" s="52">
        <f>IFERROR(IF(INDEX('CIOG'!$P$10:$P$14,MATCH($F30,'CIOG'!$B$10:$B$14,0))="","Cell will autofill based on response",INDEX('CIOG'!$P$10:$P$14,MATCH($F30,'CIOG'!$B$10:$B$14,0))),"N/A")</f>
        <v/>
      </c>
      <c r="R30" s="52">
        <f>IFERROR(IF(INDEX('MRE'!$P$10:$P$18,MATCH($F30,'MRE'!$B$10:$B$18,0))="","Cell will autofill based on response",INDEX('MRE'!$P$10:$P$18,MATCH($F30,'MRE'!$B$10:$B$18,0))),"N/A")</f>
        <v/>
      </c>
      <c r="S30" s="52">
        <f>IFERROR(IF(INDEX('AC&amp;M'!$P$10:$P$14,MATCH($F30,'AC&amp;M'!$B$10:$B$14,0))="","Cell will autofill based on response",INDEX('AC&amp;M'!$P$10:$P$14,MATCH($F30,'AC&amp;M'!$B$10:$B$14,0))),"N/A")</f>
        <v/>
      </c>
      <c r="T30" s="52">
        <f>IFERROR(IF(INDEX('GCE'!$P$10:$P$12,MATCH($F30,'GCE'!$B$10:$B$12,0))="","Cell will autofill based on response",INDEX('GCE'!$P$10:$P$12,MATCH($F30,'GCE'!$B$10:$B$12,0))),"N/A")</f>
        <v/>
      </c>
      <c r="U30" s="52">
        <f>IFERROR(IF(INDEX('Education'!$P$10:$P$13,MATCH($F30,'Education'!$B$10:$B$13,0))="","Cell will autofill based on response",INDEX('Education'!$P$10:$P$13,MATCH($F30,'Education'!$B$10:$B$13,0))),"N/A")</f>
        <v/>
      </c>
      <c r="V30" s="52">
        <f>IFERROR(IF(INDEX('SaSS'!$P$10:$P$12,MATCH($F30,'SaSS'!$B$10:$B$12,0))="","Cell will autofill based on response",INDEX('SaSS'!$P$10:$P$12,MATCH($F30,'SaSS'!$B$10:$B$12,0))),"N/A")</f>
        <v/>
      </c>
      <c r="W30" s="52">
        <f>IFERROR(IF(INDEX('Indigenous'!$P$10:$P$11,MATCH($F30,'Indigenous'!$B$10:$B$11,0))="","Cell will autofill based on response",INDEX('Indigenous'!$P$10:$P$11,MATCH($F30,'Indigenous'!$B$10:$B$11,0))),"N/A")</f>
        <v/>
      </c>
      <c r="X30" s="52">
        <f>IFERROR(IF(INDEX('L&amp;R'!$P$10:$P$11,MATCH($F30,'L&amp;R'!$B$10:$B$11,0))="","Cell will autofill based on response",INDEX('L&amp;R'!$P$10:$P$11,MATCH($F30,'L&amp;R'!$B$10:$B$11,0))),"N/A")</f>
        <v/>
      </c>
    </row>
    <row r="31">
      <c r="A31">
        <f>F31&amp;"|"&amp;G31</f>
        <v/>
      </c>
      <c r="B31" s="7" t="inlineStr">
        <is>
          <t>TR1(a)</t>
        </is>
      </c>
      <c r="C31" s="50" t="inlineStr">
        <is>
          <t>Transformational research</t>
        </is>
      </c>
      <c r="D31" s="50" t="inlineStr">
        <is>
          <t>Expert-reviewed evidence of researchers contributing to operational sustainability priorities through partnerships, advisory input, living labs, applied projects or decision-support</t>
        </is>
      </c>
      <c r="E31" s="50"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50" t="inlineStr">
        <is>
          <t>TR1(a)</t>
        </is>
      </c>
      <c r="G31" s="50" t="inlineStr">
        <is>
          <t>OPTION 1:  Target-level reporting</t>
        </is>
      </c>
      <c r="H31" s="52">
        <f>IFERROR(IF(INDEX('Faculties'!$L$10:$L$19,MATCH($F31,'Faculties'!$B$10:$B$19,0))="","Cell will autofill based on response",INDEX('Faculties'!$L$10:$L$19,MATCH($F31,'Faculties'!$B$10:$B$19,0))),"N/A")</f>
        <v/>
      </c>
      <c r="I31" s="52">
        <f>IFERROR(IF(INDEX('Faculties'!$L$26:$L$35,MATCH($F31,'Faculties'!$B$26:$B$35,0))="","Cell will autofill based on response",INDEX('Faculties'!$L$26:$L$35,MATCH($F31,'Faculties'!$B$26:$B$35,0))),"N/A")</f>
        <v/>
      </c>
      <c r="J31" s="52">
        <f>IFERROR(IF(INDEX('Faculties'!$L$42:$L$51,MATCH($F31,'Faculties'!$B$42:$B$51,0))="","Cell will autofill based on response",INDEX('Faculties'!$L$42:$L$51,MATCH($F31,'Faculties'!$B$42:$B$51,0))),"N/A")</f>
        <v/>
      </c>
      <c r="K31" s="52">
        <f>IFERROR(IF(INDEX('Faculties'!$L$58:$L$67,MATCH($F31,'Faculties'!$B$58:$B$67,0))="","Cell will autofill based on response",INDEX('Faculties'!$L$58:$L$67,MATCH($F31,'Faculties'!$B$58:$B$67,0))),"N/A")</f>
        <v/>
      </c>
      <c r="L31" s="52">
        <f>IFERROR(IF(INDEX('CI&amp;S'!$L$10:$L$15,MATCH($F31,'CI&amp;S'!$B$10:$B$15,0))="","Cell will autofill based on response",INDEX('CI&amp;S'!$L$10:$L$15,MATCH($F31,'CI&amp;S'!$B$10:$B$15,0))),"N/A")</f>
        <v/>
      </c>
      <c r="M31" s="52">
        <f>IFERROR(IF(INDEX('CI&amp;S'!$L$22:$L$36,MATCH($F31,'CI&amp;S'!$B$22:$B$36,0))="","Cell will autofill based on response",INDEX('CI&amp;S'!$L$22:$L$36,MATCH($F31,'CI&amp;S'!$B$22:$B$36,0))),"N/A")</f>
        <v/>
      </c>
      <c r="N31" s="52">
        <f>IFERROR(IF(INDEX('CFOG'!$L$10:$L$16,MATCH($F31,'CFOG'!$B$10:$B$16,0))="","Cell will autofill based on response",INDEX('CFOG'!$L$10:$L$16,MATCH($F31,'CFOG'!$B$10:$B$16,0))),"N/A")</f>
        <v/>
      </c>
      <c r="O31" s="52">
        <f>IFERROR(IF(INDEX('CFOG'!$L$23:$L$24,MATCH($F31,'CFOG'!$B$23:$B$24,0))="","Cell will autofill based on response",INDEX('CFOG'!$L$23:$L$24,MATCH($F31,'CFOG'!$B$23:$B$24,0))),"N/A")</f>
        <v/>
      </c>
      <c r="P31" s="52">
        <f>IFERROR(IF(INDEX('ESG'!$L$10:$L$17,MATCH($F31,'ESG'!$B$10:$B$17,0))="","Cell will autofill based on response",INDEX('ESG'!$L$10:$L$17,MATCH($F31,'ESG'!$B$10:$B$17,0))),"N/A")</f>
        <v/>
      </c>
      <c r="Q31" s="52">
        <f>IFERROR(IF(INDEX('CIOG'!$L$10:$L$14,MATCH($F31,'CIOG'!$B$10:$B$14,0))="","Cell will autofill based on response",INDEX('CIOG'!$L$10:$L$14,MATCH($F31,'CIOG'!$B$10:$B$14,0))),"N/A")</f>
        <v/>
      </c>
      <c r="R31" s="52">
        <f>IFERROR(IF(INDEX('MRE'!$L$10:$L$18,MATCH($F31,'MRE'!$B$10:$B$18,0))="","Cell will autofill based on response",INDEX('MRE'!$L$10:$L$18,MATCH($F31,'MRE'!$B$10:$B$18,0))),"N/A")</f>
        <v/>
      </c>
      <c r="S31" s="52">
        <f>IFERROR(IF(INDEX('AC&amp;M'!$L$10:$L$14,MATCH($F31,'AC&amp;M'!$B$10:$B$14,0))="","Cell will autofill based on response",INDEX('AC&amp;M'!$L$10:$L$14,MATCH($F31,'AC&amp;M'!$B$10:$B$14,0))),"N/A")</f>
        <v/>
      </c>
      <c r="T31" s="52">
        <f>IFERROR(IF(INDEX('GCE'!$L$10:$L$12,MATCH($F31,'GCE'!$B$10:$B$12,0))="","Cell will autofill based on response",INDEX('GCE'!$L$10:$L$12,MATCH($F31,'GCE'!$B$10:$B$12,0))),"N/A")</f>
        <v/>
      </c>
      <c r="U31" s="52">
        <f>IFERROR(IF(INDEX('Education'!$L$10:$L$13,MATCH($F31,'Education'!$B$10:$B$13,0))="","Cell will autofill based on response",INDEX('Education'!$L$10:$L$13,MATCH($F31,'Education'!$B$10:$B$13,0))),"N/A")</f>
        <v/>
      </c>
      <c r="V31" s="52">
        <f>IFERROR(IF(INDEX('SaSS'!$L$10:$L$12,MATCH($F31,'SaSS'!$B$10:$B$12,0))="","Cell will autofill based on response",INDEX('SaSS'!$L$10:$L$12,MATCH($F31,'SaSS'!$B$10:$B$12,0))),"N/A")</f>
        <v/>
      </c>
      <c r="W31" s="52">
        <f>IFERROR(IF(INDEX('Indigenous'!$L$10:$L$11,MATCH($F31,'Indigenous'!$B$10:$B$11,0))="","Cell will autofill based on response",INDEX('Indigenous'!$L$10:$L$11,MATCH($F31,'Indigenous'!$B$10:$B$11,0))),"N/A")</f>
        <v/>
      </c>
      <c r="X31" s="52">
        <f>IFERROR(IF(INDEX('L&amp;R'!$L$10:$L$11,MATCH($F31,'L&amp;R'!$B$10:$B$11,0))="","Cell will autofill based on response",INDEX('L&amp;R'!$L$10:$L$11,MATCH($F31,'L&amp;R'!$B$10:$B$11,0))),"N/A")</f>
        <v/>
      </c>
      <c r="Z31" s="10">
        <f>SUMPRODUCT(--($H31:$X31&lt;&gt;"N/A"))</f>
        <v/>
      </c>
      <c r="AA31" s="10">
        <f>SUMPRODUCT(--(((($H31:$X31&lt;&gt;"N/A")*($H31:$X31&lt;&gt;"Cell will autofill based on response"))+(($H32:$X32&lt;&gt;"N/A")*($H32:$X32&lt;&gt;"Cell will autofill based on response")))&gt;0))</f>
        <v/>
      </c>
      <c r="AB31" s="10">
        <f>Z31-AA31</f>
        <v/>
      </c>
      <c r="AC31" s="10">
        <f>COUNTIF($H35:$X35,"Yes")</f>
        <v/>
      </c>
    </row>
    <row r="32">
      <c r="A32">
        <f>F32&amp;"|"&amp;G32</f>
        <v/>
      </c>
      <c r="B32" s="13" t="inlineStr"/>
      <c r="C32" s="8" t="inlineStr"/>
      <c r="D32" s="8" t="inlineStr"/>
      <c r="E32" s="8" t="inlineStr"/>
      <c r="F32" s="8" t="inlineStr">
        <is>
          <t>TR1(a)</t>
        </is>
      </c>
      <c r="G32" s="8" t="inlineStr">
        <is>
          <t>OPTION 2:  Indicator level reporting</t>
        </is>
      </c>
      <c r="H32" s="52">
        <f>IFERROR(IF(INDEX('Faculties'!$M$10:$M$19,MATCH($F32,'Faculties'!$B$10:$B$19,0))="","Cell will autofill based on response",INDEX('Faculties'!$M$10:$M$19,MATCH($F32,'Faculties'!$B$10:$B$19,0))),"N/A")</f>
        <v/>
      </c>
      <c r="I32" s="52">
        <f>IFERROR(IF(INDEX('Faculties'!$M$26:$M$35,MATCH($F32,'Faculties'!$B$26:$B$35,0))="","Cell will autofill based on response",INDEX('Faculties'!$M$26:$M$35,MATCH($F32,'Faculties'!$B$26:$B$35,0))),"N/A")</f>
        <v/>
      </c>
      <c r="J32" s="52">
        <f>IFERROR(IF(INDEX('Faculties'!$M$42:$M$51,MATCH($F32,'Faculties'!$B$42:$B$51,0))="","Cell will autofill based on response",INDEX('Faculties'!$M$42:$M$51,MATCH($F32,'Faculties'!$B$42:$B$51,0))),"N/A")</f>
        <v/>
      </c>
      <c r="K32" s="52">
        <f>IFERROR(IF(INDEX('Faculties'!$M$58:$M$67,MATCH($F32,'Faculties'!$B$58:$B$67,0))="","Cell will autofill based on response",INDEX('Faculties'!$M$58:$M$67,MATCH($F32,'Faculties'!$B$58:$B$67,0))),"N/A")</f>
        <v/>
      </c>
      <c r="L32" s="52">
        <f>IFERROR(IF(INDEX('CI&amp;S'!$M$10:$M$15,MATCH($F32,'CI&amp;S'!$B$10:$B$15,0))="","Cell will autofill based on response",INDEX('CI&amp;S'!$M$10:$M$15,MATCH($F32,'CI&amp;S'!$B$10:$B$15,0))),"N/A")</f>
        <v/>
      </c>
      <c r="M32" s="52">
        <f>IFERROR(IF(INDEX('CI&amp;S'!$M$22:$M$36,MATCH($F32,'CI&amp;S'!$B$22:$B$36,0))="","Cell will autofill based on response",INDEX('CI&amp;S'!$M$22:$M$36,MATCH($F32,'CI&amp;S'!$B$22:$B$36,0))),"N/A")</f>
        <v/>
      </c>
      <c r="N32" s="52">
        <f>IFERROR(IF(INDEX('CFOG'!$M$10:$M$16,MATCH($F32,'CFOG'!$B$10:$B$16,0))="","Cell will autofill based on response",INDEX('CFOG'!$M$10:$M$16,MATCH($F32,'CFOG'!$B$10:$B$16,0))),"N/A")</f>
        <v/>
      </c>
      <c r="O32" s="52">
        <f>IFERROR(IF(INDEX('CFOG'!$M$23:$M$24,MATCH($F32,'CFOG'!$B$23:$B$24,0))="","Cell will autofill based on response",INDEX('CFOG'!$M$23:$M$24,MATCH($F32,'CFOG'!$B$23:$B$24,0))),"N/A")</f>
        <v/>
      </c>
      <c r="P32" s="52">
        <f>IFERROR(IF(INDEX('ESG'!$M$10:$M$17,MATCH($F32,'ESG'!$B$10:$B$17,0))="","Cell will autofill based on response",INDEX('ESG'!$M$10:$M$17,MATCH($F32,'ESG'!$B$10:$B$17,0))),"N/A")</f>
        <v/>
      </c>
      <c r="Q32" s="52">
        <f>IFERROR(IF(INDEX('CIOG'!$M$10:$M$14,MATCH($F32,'CIOG'!$B$10:$B$14,0))="","Cell will autofill based on response",INDEX('CIOG'!$M$10:$M$14,MATCH($F32,'CIOG'!$B$10:$B$14,0))),"N/A")</f>
        <v/>
      </c>
      <c r="R32" s="52">
        <f>IFERROR(IF(INDEX('MRE'!$M$10:$M$18,MATCH($F32,'MRE'!$B$10:$B$18,0))="","Cell will autofill based on response",INDEX('MRE'!$M$10:$M$18,MATCH($F32,'MRE'!$B$10:$B$18,0))),"N/A")</f>
        <v/>
      </c>
      <c r="S32" s="52">
        <f>IFERROR(IF(INDEX('AC&amp;M'!$M$10:$M$14,MATCH($F32,'AC&amp;M'!$B$10:$B$14,0))="","Cell will autofill based on response",INDEX('AC&amp;M'!$M$10:$M$14,MATCH($F32,'AC&amp;M'!$B$10:$B$14,0))),"N/A")</f>
        <v/>
      </c>
      <c r="T32" s="52">
        <f>IFERROR(IF(INDEX('GCE'!$M$10:$M$12,MATCH($F32,'GCE'!$B$10:$B$12,0))="","Cell will autofill based on response",INDEX('GCE'!$M$10:$M$12,MATCH($F32,'GCE'!$B$10:$B$12,0))),"N/A")</f>
        <v/>
      </c>
      <c r="U32" s="52">
        <f>IFERROR(IF(INDEX('Education'!$M$10:$M$13,MATCH($F32,'Education'!$B$10:$B$13,0))="","Cell will autofill based on response",INDEX('Education'!$M$10:$M$13,MATCH($F32,'Education'!$B$10:$B$13,0))),"N/A")</f>
        <v/>
      </c>
      <c r="V32" s="52">
        <f>IFERROR(IF(INDEX('SaSS'!$M$10:$M$12,MATCH($F32,'SaSS'!$B$10:$B$12,0))="","Cell will autofill based on response",INDEX('SaSS'!$M$10:$M$12,MATCH($F32,'SaSS'!$B$10:$B$12,0))),"N/A")</f>
        <v/>
      </c>
      <c r="W32" s="52">
        <f>IFERROR(IF(INDEX('Indigenous'!$M$10:$M$11,MATCH($F32,'Indigenous'!$B$10:$B$11,0))="","Cell will autofill based on response",INDEX('Indigenous'!$M$10:$M$11,MATCH($F32,'Indigenous'!$B$10:$B$11,0))),"N/A")</f>
        <v/>
      </c>
      <c r="X32" s="52">
        <f>IFERROR(IF(INDEX('L&amp;R'!$M$10:$M$11,MATCH($F32,'L&amp;R'!$B$10:$B$11,0))="","Cell will autofill based on response",INDEX('L&amp;R'!$M$10:$M$11,MATCH($F32,'L&amp;R'!$B$10:$B$11,0))),"N/A")</f>
        <v/>
      </c>
    </row>
    <row r="33">
      <c r="A33">
        <f>F33&amp;"|"&amp;G33</f>
        <v/>
      </c>
      <c r="B33" s="13" t="inlineStr"/>
      <c r="C33" s="8" t="inlineStr"/>
      <c r="D33" s="8" t="inlineStr"/>
      <c r="E33" s="8" t="inlineStr"/>
      <c r="F33" s="8" t="inlineStr">
        <is>
          <t>TR1(a)</t>
        </is>
      </c>
      <c r="G33" s="8" t="inlineStr">
        <is>
          <t>Supporting information/comments</t>
        </is>
      </c>
      <c r="H33" s="52">
        <f>IFERROR(IF(INDEX('Faculties'!$N$10:$N$19,MATCH($F33,'Faculties'!$B$10:$B$19,0))="","Cell will autofill based on response",INDEX('Faculties'!$N$10:$N$19,MATCH($F33,'Faculties'!$B$10:$B$19,0))),"N/A")</f>
        <v/>
      </c>
      <c r="I33" s="52">
        <f>IFERROR(IF(INDEX('Faculties'!$N$26:$N$35,MATCH($F33,'Faculties'!$B$26:$B$35,0))="","Cell will autofill based on response",INDEX('Faculties'!$N$26:$N$35,MATCH($F33,'Faculties'!$B$26:$B$35,0))),"N/A")</f>
        <v/>
      </c>
      <c r="J33" s="52">
        <f>IFERROR(IF(INDEX('Faculties'!$N$42:$N$51,MATCH($F33,'Faculties'!$B$42:$B$51,0))="","Cell will autofill based on response",INDEX('Faculties'!$N$42:$N$51,MATCH($F33,'Faculties'!$B$42:$B$51,0))),"N/A")</f>
        <v/>
      </c>
      <c r="K33" s="52">
        <f>IFERROR(IF(INDEX('Faculties'!$N$58:$N$67,MATCH($F33,'Faculties'!$B$58:$B$67,0))="","Cell will autofill based on response",INDEX('Faculties'!$N$58:$N$67,MATCH($F33,'Faculties'!$B$58:$B$67,0))),"N/A")</f>
        <v/>
      </c>
      <c r="L33" s="52">
        <f>IFERROR(IF(INDEX('CI&amp;S'!$N$10:$N$15,MATCH($F33,'CI&amp;S'!$B$10:$B$15,0))="","Cell will autofill based on response",INDEX('CI&amp;S'!$N$10:$N$15,MATCH($F33,'CI&amp;S'!$B$10:$B$15,0))),"N/A")</f>
        <v/>
      </c>
      <c r="M33" s="52">
        <f>IFERROR(IF(INDEX('CI&amp;S'!$N$22:$N$36,MATCH($F33,'CI&amp;S'!$B$22:$B$36,0))="","Cell will autofill based on response",INDEX('CI&amp;S'!$N$22:$N$36,MATCH($F33,'CI&amp;S'!$B$22:$B$36,0))),"N/A")</f>
        <v/>
      </c>
      <c r="N33" s="52">
        <f>IFERROR(IF(INDEX('CFOG'!$N$10:$N$16,MATCH($F33,'CFOG'!$B$10:$B$16,0))="","Cell will autofill based on response",INDEX('CFOG'!$N$10:$N$16,MATCH($F33,'CFOG'!$B$10:$B$16,0))),"N/A")</f>
        <v/>
      </c>
      <c r="O33" s="52">
        <f>IFERROR(IF(INDEX('CFOG'!$N$23:$N$24,MATCH($F33,'CFOG'!$B$23:$B$24,0))="","Cell will autofill based on response",INDEX('CFOG'!$N$23:$N$24,MATCH($F33,'CFOG'!$B$23:$B$24,0))),"N/A")</f>
        <v/>
      </c>
      <c r="P33" s="52">
        <f>IFERROR(IF(INDEX('ESG'!$N$10:$N$17,MATCH($F33,'ESG'!$B$10:$B$17,0))="","Cell will autofill based on response",INDEX('ESG'!$N$10:$N$17,MATCH($F33,'ESG'!$B$10:$B$17,0))),"N/A")</f>
        <v/>
      </c>
      <c r="Q33" s="52">
        <f>IFERROR(IF(INDEX('CIOG'!$N$10:$N$14,MATCH($F33,'CIOG'!$B$10:$B$14,0))="","Cell will autofill based on response",INDEX('CIOG'!$N$10:$N$14,MATCH($F33,'CIOG'!$B$10:$B$14,0))),"N/A")</f>
        <v/>
      </c>
      <c r="R33" s="52">
        <f>IFERROR(IF(INDEX('MRE'!$N$10:$N$18,MATCH($F33,'MRE'!$B$10:$B$18,0))="","Cell will autofill based on response",INDEX('MRE'!$N$10:$N$18,MATCH($F33,'MRE'!$B$10:$B$18,0))),"N/A")</f>
        <v/>
      </c>
      <c r="S33" s="52">
        <f>IFERROR(IF(INDEX('AC&amp;M'!$N$10:$N$14,MATCH($F33,'AC&amp;M'!$B$10:$B$14,0))="","Cell will autofill based on response",INDEX('AC&amp;M'!$N$10:$N$14,MATCH($F33,'AC&amp;M'!$B$10:$B$14,0))),"N/A")</f>
        <v/>
      </c>
      <c r="T33" s="52">
        <f>IFERROR(IF(INDEX('GCE'!$N$10:$N$12,MATCH($F33,'GCE'!$B$10:$B$12,0))="","Cell will autofill based on response",INDEX('GCE'!$N$10:$N$12,MATCH($F33,'GCE'!$B$10:$B$12,0))),"N/A")</f>
        <v/>
      </c>
      <c r="U33" s="52">
        <f>IFERROR(IF(INDEX('Education'!$N$10:$N$13,MATCH($F33,'Education'!$B$10:$B$13,0))="","Cell will autofill based on response",INDEX('Education'!$N$10:$N$13,MATCH($F33,'Education'!$B$10:$B$13,0))),"N/A")</f>
        <v/>
      </c>
      <c r="V33" s="52">
        <f>IFERROR(IF(INDEX('SaSS'!$N$10:$N$12,MATCH($F33,'SaSS'!$B$10:$B$12,0))="","Cell will autofill based on response",INDEX('SaSS'!$N$10:$N$12,MATCH($F33,'SaSS'!$B$10:$B$12,0))),"N/A")</f>
        <v/>
      </c>
      <c r="W33" s="52">
        <f>IFERROR(IF(INDEX('Indigenous'!$N$10:$N$11,MATCH($F33,'Indigenous'!$B$10:$B$11,0))="","Cell will autofill based on response",INDEX('Indigenous'!$N$10:$N$11,MATCH($F33,'Indigenous'!$B$10:$B$11,0))),"N/A")</f>
        <v/>
      </c>
      <c r="X33" s="52">
        <f>IFERROR(IF(INDEX('L&amp;R'!$N$10:$N$11,MATCH($F33,'L&amp;R'!$B$10:$B$11,0))="","Cell will autofill based on response",INDEX('L&amp;R'!$N$10:$N$11,MATCH($F33,'L&amp;R'!$B$10:$B$11,0))),"N/A")</f>
        <v/>
      </c>
    </row>
    <row r="34">
      <c r="A34">
        <f>F34&amp;"|"&amp;G34</f>
        <v/>
      </c>
      <c r="B34" s="13" t="inlineStr"/>
      <c r="C34" s="8" t="inlineStr"/>
      <c r="D34" s="8" t="inlineStr"/>
      <c r="E34" s="8" t="inlineStr"/>
      <c r="F34" s="8" t="inlineStr">
        <is>
          <t>TR1(a)</t>
        </is>
      </c>
      <c r="G34" s="8" t="inlineStr">
        <is>
          <t>Data source and limitations</t>
        </is>
      </c>
      <c r="H34" s="52">
        <f>IFERROR(IF(INDEX('Faculties'!$O$10:$O$19,MATCH($F34,'Faculties'!$B$10:$B$19,0))="","Cell will autofill based on response",INDEX('Faculties'!$O$10:$O$19,MATCH($F34,'Faculties'!$B$10:$B$19,0))),"N/A")</f>
        <v/>
      </c>
      <c r="I34" s="52">
        <f>IFERROR(IF(INDEX('Faculties'!$O$26:$O$35,MATCH($F34,'Faculties'!$B$26:$B$35,0))="","Cell will autofill based on response",INDEX('Faculties'!$O$26:$O$35,MATCH($F34,'Faculties'!$B$26:$B$35,0))),"N/A")</f>
        <v/>
      </c>
      <c r="J34" s="52">
        <f>IFERROR(IF(INDEX('Faculties'!$O$42:$O$51,MATCH($F34,'Faculties'!$B$42:$B$51,0))="","Cell will autofill based on response",INDEX('Faculties'!$O$42:$O$51,MATCH($F34,'Faculties'!$B$42:$B$51,0))),"N/A")</f>
        <v/>
      </c>
      <c r="K34" s="52">
        <f>IFERROR(IF(INDEX('Faculties'!$O$58:$O$67,MATCH($F34,'Faculties'!$B$58:$B$67,0))="","Cell will autofill based on response",INDEX('Faculties'!$O$58:$O$67,MATCH($F34,'Faculties'!$B$58:$B$67,0))),"N/A")</f>
        <v/>
      </c>
      <c r="L34" s="52">
        <f>IFERROR(IF(INDEX('CI&amp;S'!$O$10:$O$15,MATCH($F34,'CI&amp;S'!$B$10:$B$15,0))="","Cell will autofill based on response",INDEX('CI&amp;S'!$O$10:$O$15,MATCH($F34,'CI&amp;S'!$B$10:$B$15,0))),"N/A")</f>
        <v/>
      </c>
      <c r="M34" s="52">
        <f>IFERROR(IF(INDEX('CI&amp;S'!$O$22:$O$36,MATCH($F34,'CI&amp;S'!$B$22:$B$36,0))="","Cell will autofill based on response",INDEX('CI&amp;S'!$O$22:$O$36,MATCH($F34,'CI&amp;S'!$B$22:$B$36,0))),"N/A")</f>
        <v/>
      </c>
      <c r="N34" s="52">
        <f>IFERROR(IF(INDEX('CFOG'!$O$10:$O$16,MATCH($F34,'CFOG'!$B$10:$B$16,0))="","Cell will autofill based on response",INDEX('CFOG'!$O$10:$O$16,MATCH($F34,'CFOG'!$B$10:$B$16,0))),"N/A")</f>
        <v/>
      </c>
      <c r="O34" s="52">
        <f>IFERROR(IF(INDEX('CFOG'!$O$23:$O$24,MATCH($F34,'CFOG'!$B$23:$B$24,0))="","Cell will autofill based on response",INDEX('CFOG'!$O$23:$O$24,MATCH($F34,'CFOG'!$B$23:$B$24,0))),"N/A")</f>
        <v/>
      </c>
      <c r="P34" s="52">
        <f>IFERROR(IF(INDEX('ESG'!$O$10:$O$17,MATCH($F34,'ESG'!$B$10:$B$17,0))="","Cell will autofill based on response",INDEX('ESG'!$O$10:$O$17,MATCH($F34,'ESG'!$B$10:$B$17,0))),"N/A")</f>
        <v/>
      </c>
      <c r="Q34" s="52">
        <f>IFERROR(IF(INDEX('CIOG'!$O$10:$O$14,MATCH($F34,'CIOG'!$B$10:$B$14,0))="","Cell will autofill based on response",INDEX('CIOG'!$O$10:$O$14,MATCH($F34,'CIOG'!$B$10:$B$14,0))),"N/A")</f>
        <v/>
      </c>
      <c r="R34" s="52">
        <f>IFERROR(IF(INDEX('MRE'!$O$10:$O$18,MATCH($F34,'MRE'!$B$10:$B$18,0))="","Cell will autofill based on response",INDEX('MRE'!$O$10:$O$18,MATCH($F34,'MRE'!$B$10:$B$18,0))),"N/A")</f>
        <v/>
      </c>
      <c r="S34" s="52">
        <f>IFERROR(IF(INDEX('AC&amp;M'!$O$10:$O$14,MATCH($F34,'AC&amp;M'!$B$10:$B$14,0))="","Cell will autofill based on response",INDEX('AC&amp;M'!$O$10:$O$14,MATCH($F34,'AC&amp;M'!$B$10:$B$14,0))),"N/A")</f>
        <v/>
      </c>
      <c r="T34" s="52">
        <f>IFERROR(IF(INDEX('GCE'!$O$10:$O$12,MATCH($F34,'GCE'!$B$10:$B$12,0))="","Cell will autofill based on response",INDEX('GCE'!$O$10:$O$12,MATCH($F34,'GCE'!$B$10:$B$12,0))),"N/A")</f>
        <v/>
      </c>
      <c r="U34" s="52">
        <f>IFERROR(IF(INDEX('Education'!$O$10:$O$13,MATCH($F34,'Education'!$B$10:$B$13,0))="","Cell will autofill based on response",INDEX('Education'!$O$10:$O$13,MATCH($F34,'Education'!$B$10:$B$13,0))),"N/A")</f>
        <v/>
      </c>
      <c r="V34" s="52">
        <f>IFERROR(IF(INDEX('SaSS'!$O$10:$O$12,MATCH($F34,'SaSS'!$B$10:$B$12,0))="","Cell will autofill based on response",INDEX('SaSS'!$O$10:$O$12,MATCH($F34,'SaSS'!$B$10:$B$12,0))),"N/A")</f>
        <v/>
      </c>
      <c r="W34" s="52">
        <f>IFERROR(IF(INDEX('Indigenous'!$O$10:$O$11,MATCH($F34,'Indigenous'!$B$10:$B$11,0))="","Cell will autofill based on response",INDEX('Indigenous'!$O$10:$O$11,MATCH($F34,'Indigenous'!$B$10:$B$11,0))),"N/A")</f>
        <v/>
      </c>
      <c r="X34" s="52">
        <f>IFERROR(IF(INDEX('L&amp;R'!$O$10:$O$11,MATCH($F34,'L&amp;R'!$B$10:$B$11,0))="","Cell will autofill based on response",INDEX('L&amp;R'!$O$10:$O$11,MATCH($F34,'L&amp;R'!$B$10:$B$11,0))),"N/A")</f>
        <v/>
      </c>
    </row>
    <row r="35">
      <c r="A35">
        <f>F35&amp;"|"&amp;G35</f>
        <v/>
      </c>
      <c r="B35" s="13" t="inlineStr"/>
      <c r="C35" s="8" t="inlineStr"/>
      <c r="D35" s="8" t="inlineStr"/>
      <c r="E35" s="8" t="inlineStr"/>
      <c r="F35" s="8" t="inlineStr">
        <is>
          <t>TR1(a)</t>
        </is>
      </c>
      <c r="G35" s="8" t="inlineStr">
        <is>
          <t>Data owner confirms</t>
        </is>
      </c>
      <c r="H35" s="52">
        <f>IFERROR(IF(INDEX('Faculties'!$P$10:$P$19,MATCH($F35,'Faculties'!$B$10:$B$19,0))="","Cell will autofill based on response",INDEX('Faculties'!$P$10:$P$19,MATCH($F35,'Faculties'!$B$10:$B$19,0))),"N/A")</f>
        <v/>
      </c>
      <c r="I35" s="52">
        <f>IFERROR(IF(INDEX('Faculties'!$P$26:$P$35,MATCH($F35,'Faculties'!$B$26:$B$35,0))="","Cell will autofill based on response",INDEX('Faculties'!$P$26:$P$35,MATCH($F35,'Faculties'!$B$26:$B$35,0))),"N/A")</f>
        <v/>
      </c>
      <c r="J35" s="52">
        <f>IFERROR(IF(INDEX('Faculties'!$P$42:$P$51,MATCH($F35,'Faculties'!$B$42:$B$51,0))="","Cell will autofill based on response",INDEX('Faculties'!$P$42:$P$51,MATCH($F35,'Faculties'!$B$42:$B$51,0))),"N/A")</f>
        <v/>
      </c>
      <c r="K35" s="52">
        <f>IFERROR(IF(INDEX('Faculties'!$P$58:$P$67,MATCH($F35,'Faculties'!$B$58:$B$67,0))="","Cell will autofill based on response",INDEX('Faculties'!$P$58:$P$67,MATCH($F35,'Faculties'!$B$58:$B$67,0))),"N/A")</f>
        <v/>
      </c>
      <c r="L35" s="52">
        <f>IFERROR(IF(INDEX('CI&amp;S'!$P$10:$P$15,MATCH($F35,'CI&amp;S'!$B$10:$B$15,0))="","Cell will autofill based on response",INDEX('CI&amp;S'!$P$10:$P$15,MATCH($F35,'CI&amp;S'!$B$10:$B$15,0))),"N/A")</f>
        <v/>
      </c>
      <c r="M35" s="52">
        <f>IFERROR(IF(INDEX('CI&amp;S'!$P$22:$P$36,MATCH($F35,'CI&amp;S'!$B$22:$B$36,0))="","Cell will autofill based on response",INDEX('CI&amp;S'!$P$22:$P$36,MATCH($F35,'CI&amp;S'!$B$22:$B$36,0))),"N/A")</f>
        <v/>
      </c>
      <c r="N35" s="52">
        <f>IFERROR(IF(INDEX('CFOG'!$P$10:$P$16,MATCH($F35,'CFOG'!$B$10:$B$16,0))="","Cell will autofill based on response",INDEX('CFOG'!$P$10:$P$16,MATCH($F35,'CFOG'!$B$10:$B$16,0))),"N/A")</f>
        <v/>
      </c>
      <c r="O35" s="52">
        <f>IFERROR(IF(INDEX('CFOG'!$P$23:$P$24,MATCH($F35,'CFOG'!$B$23:$B$24,0))="","Cell will autofill based on response",INDEX('CFOG'!$P$23:$P$24,MATCH($F35,'CFOG'!$B$23:$B$24,0))),"N/A")</f>
        <v/>
      </c>
      <c r="P35" s="52">
        <f>IFERROR(IF(INDEX('ESG'!$P$10:$P$17,MATCH($F35,'ESG'!$B$10:$B$17,0))="","Cell will autofill based on response",INDEX('ESG'!$P$10:$P$17,MATCH($F35,'ESG'!$B$10:$B$17,0))),"N/A")</f>
        <v/>
      </c>
      <c r="Q35" s="52">
        <f>IFERROR(IF(INDEX('CIOG'!$P$10:$P$14,MATCH($F35,'CIOG'!$B$10:$B$14,0))="","Cell will autofill based on response",INDEX('CIOG'!$P$10:$P$14,MATCH($F35,'CIOG'!$B$10:$B$14,0))),"N/A")</f>
        <v/>
      </c>
      <c r="R35" s="52">
        <f>IFERROR(IF(INDEX('MRE'!$P$10:$P$18,MATCH($F35,'MRE'!$B$10:$B$18,0))="","Cell will autofill based on response",INDEX('MRE'!$P$10:$P$18,MATCH($F35,'MRE'!$B$10:$B$18,0))),"N/A")</f>
        <v/>
      </c>
      <c r="S35" s="52">
        <f>IFERROR(IF(INDEX('AC&amp;M'!$P$10:$P$14,MATCH($F35,'AC&amp;M'!$B$10:$B$14,0))="","Cell will autofill based on response",INDEX('AC&amp;M'!$P$10:$P$14,MATCH($F35,'AC&amp;M'!$B$10:$B$14,0))),"N/A")</f>
        <v/>
      </c>
      <c r="T35" s="52">
        <f>IFERROR(IF(INDEX('GCE'!$P$10:$P$12,MATCH($F35,'GCE'!$B$10:$B$12,0))="","Cell will autofill based on response",INDEX('GCE'!$P$10:$P$12,MATCH($F35,'GCE'!$B$10:$B$12,0))),"N/A")</f>
        <v/>
      </c>
      <c r="U35" s="52">
        <f>IFERROR(IF(INDEX('Education'!$P$10:$P$13,MATCH($F35,'Education'!$B$10:$B$13,0))="","Cell will autofill based on response",INDEX('Education'!$P$10:$P$13,MATCH($F35,'Education'!$B$10:$B$13,0))),"N/A")</f>
        <v/>
      </c>
      <c r="V35" s="52">
        <f>IFERROR(IF(INDEX('SaSS'!$P$10:$P$12,MATCH($F35,'SaSS'!$B$10:$B$12,0))="","Cell will autofill based on response",INDEX('SaSS'!$P$10:$P$12,MATCH($F35,'SaSS'!$B$10:$B$12,0))),"N/A")</f>
        <v/>
      </c>
      <c r="W35" s="52">
        <f>IFERROR(IF(INDEX('Indigenous'!$P$10:$P$11,MATCH($F35,'Indigenous'!$B$10:$B$11,0))="","Cell will autofill based on response",INDEX('Indigenous'!$P$10:$P$11,MATCH($F35,'Indigenous'!$B$10:$B$11,0))),"N/A")</f>
        <v/>
      </c>
      <c r="X35" s="52">
        <f>IFERROR(IF(INDEX('L&amp;R'!$P$10:$P$11,MATCH($F35,'L&amp;R'!$B$10:$B$11,0))="","Cell will autofill based on response",INDEX('L&amp;R'!$P$10:$P$11,MATCH($F35,'L&amp;R'!$B$10:$B$11,0))),"N/A")</f>
        <v/>
      </c>
    </row>
    <row r="36">
      <c r="A36">
        <f>F36&amp;"|"&amp;G36</f>
        <v/>
      </c>
      <c r="B36" s="7" t="inlineStr">
        <is>
          <t>TR1(b)</t>
        </is>
      </c>
      <c r="C36" s="50" t="inlineStr">
        <is>
          <t>Transformational research</t>
        </is>
      </c>
      <c r="D36" s="50" t="inlineStr">
        <is>
          <t>Evidence of institutional pathways that enable ongoing collaboration between academic and professional staff</t>
        </is>
      </c>
      <c r="E36" s="50"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50" t="inlineStr">
        <is>
          <t>TR1(b)</t>
        </is>
      </c>
      <c r="G36" s="50" t="inlineStr">
        <is>
          <t>OPTION 1:  Target-level reporting</t>
        </is>
      </c>
      <c r="H36" s="52">
        <f>IFERROR(IF(INDEX('Faculties'!$L$10:$L$19,MATCH($F36,'Faculties'!$B$10:$B$19,0))="","Cell will autofill based on response",INDEX('Faculties'!$L$10:$L$19,MATCH($F36,'Faculties'!$B$10:$B$19,0))),"N/A")</f>
        <v/>
      </c>
      <c r="I36" s="52">
        <f>IFERROR(IF(INDEX('Faculties'!$L$26:$L$35,MATCH($F36,'Faculties'!$B$26:$B$35,0))="","Cell will autofill based on response",INDEX('Faculties'!$L$26:$L$35,MATCH($F36,'Faculties'!$B$26:$B$35,0))),"N/A")</f>
        <v/>
      </c>
      <c r="J36" s="52">
        <f>IFERROR(IF(INDEX('Faculties'!$L$42:$L$51,MATCH($F36,'Faculties'!$B$42:$B$51,0))="","Cell will autofill based on response",INDEX('Faculties'!$L$42:$L$51,MATCH($F36,'Faculties'!$B$42:$B$51,0))),"N/A")</f>
        <v/>
      </c>
      <c r="K36" s="52">
        <f>IFERROR(IF(INDEX('Faculties'!$L$58:$L$67,MATCH($F36,'Faculties'!$B$58:$B$67,0))="","Cell will autofill based on response",INDEX('Faculties'!$L$58:$L$67,MATCH($F36,'Faculties'!$B$58:$B$67,0))),"N/A")</f>
        <v/>
      </c>
      <c r="L36" s="52">
        <f>IFERROR(IF(INDEX('CI&amp;S'!$L$10:$L$15,MATCH($F36,'CI&amp;S'!$B$10:$B$15,0))="","Cell will autofill based on response",INDEX('CI&amp;S'!$L$10:$L$15,MATCH($F36,'CI&amp;S'!$B$10:$B$15,0))),"N/A")</f>
        <v/>
      </c>
      <c r="M36" s="52">
        <f>IFERROR(IF(INDEX('CI&amp;S'!$L$22:$L$36,MATCH($F36,'CI&amp;S'!$B$22:$B$36,0))="","Cell will autofill based on response",INDEX('CI&amp;S'!$L$22:$L$36,MATCH($F36,'CI&amp;S'!$B$22:$B$36,0))),"N/A")</f>
        <v/>
      </c>
      <c r="N36" s="52">
        <f>IFERROR(IF(INDEX('CFOG'!$L$10:$L$16,MATCH($F36,'CFOG'!$B$10:$B$16,0))="","Cell will autofill based on response",INDEX('CFOG'!$L$10:$L$16,MATCH($F36,'CFOG'!$B$10:$B$16,0))),"N/A")</f>
        <v/>
      </c>
      <c r="O36" s="52">
        <f>IFERROR(IF(INDEX('CFOG'!$L$23:$L$24,MATCH($F36,'CFOG'!$B$23:$B$24,0))="","Cell will autofill based on response",INDEX('CFOG'!$L$23:$L$24,MATCH($F36,'CFOG'!$B$23:$B$24,0))),"N/A")</f>
        <v/>
      </c>
      <c r="P36" s="52">
        <f>IFERROR(IF(INDEX('ESG'!$L$10:$L$17,MATCH($F36,'ESG'!$B$10:$B$17,0))="","Cell will autofill based on response",INDEX('ESG'!$L$10:$L$17,MATCH($F36,'ESG'!$B$10:$B$17,0))),"N/A")</f>
        <v/>
      </c>
      <c r="Q36" s="52">
        <f>IFERROR(IF(INDEX('CIOG'!$L$10:$L$14,MATCH($F36,'CIOG'!$B$10:$B$14,0))="","Cell will autofill based on response",INDEX('CIOG'!$L$10:$L$14,MATCH($F36,'CIOG'!$B$10:$B$14,0))),"N/A")</f>
        <v/>
      </c>
      <c r="R36" s="52">
        <f>IFERROR(IF(INDEX('MRE'!$L$10:$L$18,MATCH($F36,'MRE'!$B$10:$B$18,0))="","Cell will autofill based on response",INDEX('MRE'!$L$10:$L$18,MATCH($F36,'MRE'!$B$10:$B$18,0))),"N/A")</f>
        <v/>
      </c>
      <c r="S36" s="52">
        <f>IFERROR(IF(INDEX('AC&amp;M'!$L$10:$L$14,MATCH($F36,'AC&amp;M'!$B$10:$B$14,0))="","Cell will autofill based on response",INDEX('AC&amp;M'!$L$10:$L$14,MATCH($F36,'AC&amp;M'!$B$10:$B$14,0))),"N/A")</f>
        <v/>
      </c>
      <c r="T36" s="52">
        <f>IFERROR(IF(INDEX('GCE'!$L$10:$L$12,MATCH($F36,'GCE'!$B$10:$B$12,0))="","Cell will autofill based on response",INDEX('GCE'!$L$10:$L$12,MATCH($F36,'GCE'!$B$10:$B$12,0))),"N/A")</f>
        <v/>
      </c>
      <c r="U36" s="52">
        <f>IFERROR(IF(INDEX('Education'!$L$10:$L$13,MATCH($F36,'Education'!$B$10:$B$13,0))="","Cell will autofill based on response",INDEX('Education'!$L$10:$L$13,MATCH($F36,'Education'!$B$10:$B$13,0))),"N/A")</f>
        <v/>
      </c>
      <c r="V36" s="52">
        <f>IFERROR(IF(INDEX('SaSS'!$L$10:$L$12,MATCH($F36,'SaSS'!$B$10:$B$12,0))="","Cell will autofill based on response",INDEX('SaSS'!$L$10:$L$12,MATCH($F36,'SaSS'!$B$10:$B$12,0))),"N/A")</f>
        <v/>
      </c>
      <c r="W36" s="52">
        <f>IFERROR(IF(INDEX('Indigenous'!$L$10:$L$11,MATCH($F36,'Indigenous'!$B$10:$B$11,0))="","Cell will autofill based on response",INDEX('Indigenous'!$L$10:$L$11,MATCH($F36,'Indigenous'!$B$10:$B$11,0))),"N/A")</f>
        <v/>
      </c>
      <c r="X36" s="52">
        <f>IFERROR(IF(INDEX('L&amp;R'!$L$10:$L$11,MATCH($F36,'L&amp;R'!$B$10:$B$11,0))="","Cell will autofill based on response",INDEX('L&amp;R'!$L$10:$L$11,MATCH($F36,'L&amp;R'!$B$10:$B$11,0))),"N/A")</f>
        <v/>
      </c>
      <c r="Z36" s="10">
        <f>SUMPRODUCT(--($H36:$X36&lt;&gt;"N/A"))</f>
        <v/>
      </c>
      <c r="AA36" s="10">
        <f>SUMPRODUCT(--(((($H36:$X36&lt;&gt;"N/A")*($H36:$X36&lt;&gt;"Cell will autofill based on response"))+(($H37:$X37&lt;&gt;"N/A")*($H37:$X37&lt;&gt;"Cell will autofill based on response")))&gt;0))</f>
        <v/>
      </c>
      <c r="AB36" s="10">
        <f>Z36-AA36</f>
        <v/>
      </c>
      <c r="AC36" s="10">
        <f>COUNTIF($H40:$X40,"Yes")</f>
        <v/>
      </c>
    </row>
    <row r="37">
      <c r="A37">
        <f>F37&amp;"|"&amp;G37</f>
        <v/>
      </c>
      <c r="B37" s="13" t="inlineStr"/>
      <c r="C37" s="8" t="inlineStr"/>
      <c r="D37" s="8" t="inlineStr"/>
      <c r="E37" s="8" t="inlineStr"/>
      <c r="F37" s="8" t="inlineStr">
        <is>
          <t>TR1(b)</t>
        </is>
      </c>
      <c r="G37" s="8" t="inlineStr">
        <is>
          <t>OPTION 2:  Indicator level reporting</t>
        </is>
      </c>
      <c r="H37" s="52">
        <f>IFERROR(IF(INDEX('Faculties'!$M$10:$M$19,MATCH($F37,'Faculties'!$B$10:$B$19,0))="","Cell will autofill based on response",INDEX('Faculties'!$M$10:$M$19,MATCH($F37,'Faculties'!$B$10:$B$19,0))),"N/A")</f>
        <v/>
      </c>
      <c r="I37" s="52">
        <f>IFERROR(IF(INDEX('Faculties'!$M$26:$M$35,MATCH($F37,'Faculties'!$B$26:$B$35,0))="","Cell will autofill based on response",INDEX('Faculties'!$M$26:$M$35,MATCH($F37,'Faculties'!$B$26:$B$35,0))),"N/A")</f>
        <v/>
      </c>
      <c r="J37" s="52">
        <f>IFERROR(IF(INDEX('Faculties'!$M$42:$M$51,MATCH($F37,'Faculties'!$B$42:$B$51,0))="","Cell will autofill based on response",INDEX('Faculties'!$M$42:$M$51,MATCH($F37,'Faculties'!$B$42:$B$51,0))),"N/A")</f>
        <v/>
      </c>
      <c r="K37" s="52">
        <f>IFERROR(IF(INDEX('Faculties'!$M$58:$M$67,MATCH($F37,'Faculties'!$B$58:$B$67,0))="","Cell will autofill based on response",INDEX('Faculties'!$M$58:$M$67,MATCH($F37,'Faculties'!$B$58:$B$67,0))),"N/A")</f>
        <v/>
      </c>
      <c r="L37" s="52">
        <f>IFERROR(IF(INDEX('CI&amp;S'!$M$10:$M$15,MATCH($F37,'CI&amp;S'!$B$10:$B$15,0))="","Cell will autofill based on response",INDEX('CI&amp;S'!$M$10:$M$15,MATCH($F37,'CI&amp;S'!$B$10:$B$15,0))),"N/A")</f>
        <v/>
      </c>
      <c r="M37" s="52">
        <f>IFERROR(IF(INDEX('CI&amp;S'!$M$22:$M$36,MATCH($F37,'CI&amp;S'!$B$22:$B$36,0))="","Cell will autofill based on response",INDEX('CI&amp;S'!$M$22:$M$36,MATCH($F37,'CI&amp;S'!$B$22:$B$36,0))),"N/A")</f>
        <v/>
      </c>
      <c r="N37" s="52">
        <f>IFERROR(IF(INDEX('CFOG'!$M$10:$M$16,MATCH($F37,'CFOG'!$B$10:$B$16,0))="","Cell will autofill based on response",INDEX('CFOG'!$M$10:$M$16,MATCH($F37,'CFOG'!$B$10:$B$16,0))),"N/A")</f>
        <v/>
      </c>
      <c r="O37" s="52">
        <f>IFERROR(IF(INDEX('CFOG'!$M$23:$M$24,MATCH($F37,'CFOG'!$B$23:$B$24,0))="","Cell will autofill based on response",INDEX('CFOG'!$M$23:$M$24,MATCH($F37,'CFOG'!$B$23:$B$24,0))),"N/A")</f>
        <v/>
      </c>
      <c r="P37" s="52">
        <f>IFERROR(IF(INDEX('ESG'!$M$10:$M$17,MATCH($F37,'ESG'!$B$10:$B$17,0))="","Cell will autofill based on response",INDEX('ESG'!$M$10:$M$17,MATCH($F37,'ESG'!$B$10:$B$17,0))),"N/A")</f>
        <v/>
      </c>
      <c r="Q37" s="52">
        <f>IFERROR(IF(INDEX('CIOG'!$M$10:$M$14,MATCH($F37,'CIOG'!$B$10:$B$14,0))="","Cell will autofill based on response",INDEX('CIOG'!$M$10:$M$14,MATCH($F37,'CIOG'!$B$10:$B$14,0))),"N/A")</f>
        <v/>
      </c>
      <c r="R37" s="52">
        <f>IFERROR(IF(INDEX('MRE'!$M$10:$M$18,MATCH($F37,'MRE'!$B$10:$B$18,0))="","Cell will autofill based on response",INDEX('MRE'!$M$10:$M$18,MATCH($F37,'MRE'!$B$10:$B$18,0))),"N/A")</f>
        <v/>
      </c>
      <c r="S37" s="52">
        <f>IFERROR(IF(INDEX('AC&amp;M'!$M$10:$M$14,MATCH($F37,'AC&amp;M'!$B$10:$B$14,0))="","Cell will autofill based on response",INDEX('AC&amp;M'!$M$10:$M$14,MATCH($F37,'AC&amp;M'!$B$10:$B$14,0))),"N/A")</f>
        <v/>
      </c>
      <c r="T37" s="52">
        <f>IFERROR(IF(INDEX('GCE'!$M$10:$M$12,MATCH($F37,'GCE'!$B$10:$B$12,0))="","Cell will autofill based on response",INDEX('GCE'!$M$10:$M$12,MATCH($F37,'GCE'!$B$10:$B$12,0))),"N/A")</f>
        <v/>
      </c>
      <c r="U37" s="52">
        <f>IFERROR(IF(INDEX('Education'!$M$10:$M$13,MATCH($F37,'Education'!$B$10:$B$13,0))="","Cell will autofill based on response",INDEX('Education'!$M$10:$M$13,MATCH($F37,'Education'!$B$10:$B$13,0))),"N/A")</f>
        <v/>
      </c>
      <c r="V37" s="52">
        <f>IFERROR(IF(INDEX('SaSS'!$M$10:$M$12,MATCH($F37,'SaSS'!$B$10:$B$12,0))="","Cell will autofill based on response",INDEX('SaSS'!$M$10:$M$12,MATCH($F37,'SaSS'!$B$10:$B$12,0))),"N/A")</f>
        <v/>
      </c>
      <c r="W37" s="52">
        <f>IFERROR(IF(INDEX('Indigenous'!$M$10:$M$11,MATCH($F37,'Indigenous'!$B$10:$B$11,0))="","Cell will autofill based on response",INDEX('Indigenous'!$M$10:$M$11,MATCH($F37,'Indigenous'!$B$10:$B$11,0))),"N/A")</f>
        <v/>
      </c>
      <c r="X37" s="52">
        <f>IFERROR(IF(INDEX('L&amp;R'!$M$10:$M$11,MATCH($F37,'L&amp;R'!$B$10:$B$11,0))="","Cell will autofill based on response",INDEX('L&amp;R'!$M$10:$M$11,MATCH($F37,'L&amp;R'!$B$10:$B$11,0))),"N/A")</f>
        <v/>
      </c>
    </row>
    <row r="38">
      <c r="A38">
        <f>F38&amp;"|"&amp;G38</f>
        <v/>
      </c>
      <c r="B38" s="13" t="inlineStr"/>
      <c r="C38" s="8" t="inlineStr"/>
      <c r="D38" s="8" t="inlineStr"/>
      <c r="E38" s="8" t="inlineStr"/>
      <c r="F38" s="8" t="inlineStr">
        <is>
          <t>TR1(b)</t>
        </is>
      </c>
      <c r="G38" s="8" t="inlineStr">
        <is>
          <t>Supporting information/comments</t>
        </is>
      </c>
      <c r="H38" s="52">
        <f>IFERROR(IF(INDEX('Faculties'!$N$10:$N$19,MATCH($F38,'Faculties'!$B$10:$B$19,0))="","Cell will autofill based on response",INDEX('Faculties'!$N$10:$N$19,MATCH($F38,'Faculties'!$B$10:$B$19,0))),"N/A")</f>
        <v/>
      </c>
      <c r="I38" s="52">
        <f>IFERROR(IF(INDEX('Faculties'!$N$26:$N$35,MATCH($F38,'Faculties'!$B$26:$B$35,0))="","Cell will autofill based on response",INDEX('Faculties'!$N$26:$N$35,MATCH($F38,'Faculties'!$B$26:$B$35,0))),"N/A")</f>
        <v/>
      </c>
      <c r="J38" s="52">
        <f>IFERROR(IF(INDEX('Faculties'!$N$42:$N$51,MATCH($F38,'Faculties'!$B$42:$B$51,0))="","Cell will autofill based on response",INDEX('Faculties'!$N$42:$N$51,MATCH($F38,'Faculties'!$B$42:$B$51,0))),"N/A")</f>
        <v/>
      </c>
      <c r="K38" s="52">
        <f>IFERROR(IF(INDEX('Faculties'!$N$58:$N$67,MATCH($F38,'Faculties'!$B$58:$B$67,0))="","Cell will autofill based on response",INDEX('Faculties'!$N$58:$N$67,MATCH($F38,'Faculties'!$B$58:$B$67,0))),"N/A")</f>
        <v/>
      </c>
      <c r="L38" s="52">
        <f>IFERROR(IF(INDEX('CI&amp;S'!$N$10:$N$15,MATCH($F38,'CI&amp;S'!$B$10:$B$15,0))="","Cell will autofill based on response",INDEX('CI&amp;S'!$N$10:$N$15,MATCH($F38,'CI&amp;S'!$B$10:$B$15,0))),"N/A")</f>
        <v/>
      </c>
      <c r="M38" s="52">
        <f>IFERROR(IF(INDEX('CI&amp;S'!$N$22:$N$36,MATCH($F38,'CI&amp;S'!$B$22:$B$36,0))="","Cell will autofill based on response",INDEX('CI&amp;S'!$N$22:$N$36,MATCH($F38,'CI&amp;S'!$B$22:$B$36,0))),"N/A")</f>
        <v/>
      </c>
      <c r="N38" s="52">
        <f>IFERROR(IF(INDEX('CFOG'!$N$10:$N$16,MATCH($F38,'CFOG'!$B$10:$B$16,0))="","Cell will autofill based on response",INDEX('CFOG'!$N$10:$N$16,MATCH($F38,'CFOG'!$B$10:$B$16,0))),"N/A")</f>
        <v/>
      </c>
      <c r="O38" s="52">
        <f>IFERROR(IF(INDEX('CFOG'!$N$23:$N$24,MATCH($F38,'CFOG'!$B$23:$B$24,0))="","Cell will autofill based on response",INDEX('CFOG'!$N$23:$N$24,MATCH($F38,'CFOG'!$B$23:$B$24,0))),"N/A")</f>
        <v/>
      </c>
      <c r="P38" s="52">
        <f>IFERROR(IF(INDEX('ESG'!$N$10:$N$17,MATCH($F38,'ESG'!$B$10:$B$17,0))="","Cell will autofill based on response",INDEX('ESG'!$N$10:$N$17,MATCH($F38,'ESG'!$B$10:$B$17,0))),"N/A")</f>
        <v/>
      </c>
      <c r="Q38" s="52">
        <f>IFERROR(IF(INDEX('CIOG'!$N$10:$N$14,MATCH($F38,'CIOG'!$B$10:$B$14,0))="","Cell will autofill based on response",INDEX('CIOG'!$N$10:$N$14,MATCH($F38,'CIOG'!$B$10:$B$14,0))),"N/A")</f>
        <v/>
      </c>
      <c r="R38" s="52">
        <f>IFERROR(IF(INDEX('MRE'!$N$10:$N$18,MATCH($F38,'MRE'!$B$10:$B$18,0))="","Cell will autofill based on response",INDEX('MRE'!$N$10:$N$18,MATCH($F38,'MRE'!$B$10:$B$18,0))),"N/A")</f>
        <v/>
      </c>
      <c r="S38" s="52">
        <f>IFERROR(IF(INDEX('AC&amp;M'!$N$10:$N$14,MATCH($F38,'AC&amp;M'!$B$10:$B$14,0))="","Cell will autofill based on response",INDEX('AC&amp;M'!$N$10:$N$14,MATCH($F38,'AC&amp;M'!$B$10:$B$14,0))),"N/A")</f>
        <v/>
      </c>
      <c r="T38" s="52">
        <f>IFERROR(IF(INDEX('GCE'!$N$10:$N$12,MATCH($F38,'GCE'!$B$10:$B$12,0))="","Cell will autofill based on response",INDEX('GCE'!$N$10:$N$12,MATCH($F38,'GCE'!$B$10:$B$12,0))),"N/A")</f>
        <v/>
      </c>
      <c r="U38" s="52">
        <f>IFERROR(IF(INDEX('Education'!$N$10:$N$13,MATCH($F38,'Education'!$B$10:$B$13,0))="","Cell will autofill based on response",INDEX('Education'!$N$10:$N$13,MATCH($F38,'Education'!$B$10:$B$13,0))),"N/A")</f>
        <v/>
      </c>
      <c r="V38" s="52">
        <f>IFERROR(IF(INDEX('SaSS'!$N$10:$N$12,MATCH($F38,'SaSS'!$B$10:$B$12,0))="","Cell will autofill based on response",INDEX('SaSS'!$N$10:$N$12,MATCH($F38,'SaSS'!$B$10:$B$12,0))),"N/A")</f>
        <v/>
      </c>
      <c r="W38" s="52">
        <f>IFERROR(IF(INDEX('Indigenous'!$N$10:$N$11,MATCH($F38,'Indigenous'!$B$10:$B$11,0))="","Cell will autofill based on response",INDEX('Indigenous'!$N$10:$N$11,MATCH($F38,'Indigenous'!$B$10:$B$11,0))),"N/A")</f>
        <v/>
      </c>
      <c r="X38" s="52">
        <f>IFERROR(IF(INDEX('L&amp;R'!$N$10:$N$11,MATCH($F38,'L&amp;R'!$B$10:$B$11,0))="","Cell will autofill based on response",INDEX('L&amp;R'!$N$10:$N$11,MATCH($F38,'L&amp;R'!$B$10:$B$11,0))),"N/A")</f>
        <v/>
      </c>
    </row>
    <row r="39">
      <c r="A39">
        <f>F39&amp;"|"&amp;G39</f>
        <v/>
      </c>
      <c r="B39" s="13" t="inlineStr"/>
      <c r="C39" s="8" t="inlineStr"/>
      <c r="D39" s="8" t="inlineStr"/>
      <c r="E39" s="8" t="inlineStr"/>
      <c r="F39" s="8" t="inlineStr">
        <is>
          <t>TR1(b)</t>
        </is>
      </c>
      <c r="G39" s="8" t="inlineStr">
        <is>
          <t>Data source and limitations</t>
        </is>
      </c>
      <c r="H39" s="52">
        <f>IFERROR(IF(INDEX('Faculties'!$O$10:$O$19,MATCH($F39,'Faculties'!$B$10:$B$19,0))="","Cell will autofill based on response",INDEX('Faculties'!$O$10:$O$19,MATCH($F39,'Faculties'!$B$10:$B$19,0))),"N/A")</f>
        <v/>
      </c>
      <c r="I39" s="52">
        <f>IFERROR(IF(INDEX('Faculties'!$O$26:$O$35,MATCH($F39,'Faculties'!$B$26:$B$35,0))="","Cell will autofill based on response",INDEX('Faculties'!$O$26:$O$35,MATCH($F39,'Faculties'!$B$26:$B$35,0))),"N/A")</f>
        <v/>
      </c>
      <c r="J39" s="52">
        <f>IFERROR(IF(INDEX('Faculties'!$O$42:$O$51,MATCH($F39,'Faculties'!$B$42:$B$51,0))="","Cell will autofill based on response",INDEX('Faculties'!$O$42:$O$51,MATCH($F39,'Faculties'!$B$42:$B$51,0))),"N/A")</f>
        <v/>
      </c>
      <c r="K39" s="52">
        <f>IFERROR(IF(INDEX('Faculties'!$O$58:$O$67,MATCH($F39,'Faculties'!$B$58:$B$67,0))="","Cell will autofill based on response",INDEX('Faculties'!$O$58:$O$67,MATCH($F39,'Faculties'!$B$58:$B$67,0))),"N/A")</f>
        <v/>
      </c>
      <c r="L39" s="52">
        <f>IFERROR(IF(INDEX('CI&amp;S'!$O$10:$O$15,MATCH($F39,'CI&amp;S'!$B$10:$B$15,0))="","Cell will autofill based on response",INDEX('CI&amp;S'!$O$10:$O$15,MATCH($F39,'CI&amp;S'!$B$10:$B$15,0))),"N/A")</f>
        <v/>
      </c>
      <c r="M39" s="52">
        <f>IFERROR(IF(INDEX('CI&amp;S'!$O$22:$O$36,MATCH($F39,'CI&amp;S'!$B$22:$B$36,0))="","Cell will autofill based on response",INDEX('CI&amp;S'!$O$22:$O$36,MATCH($F39,'CI&amp;S'!$B$22:$B$36,0))),"N/A")</f>
        <v/>
      </c>
      <c r="N39" s="52">
        <f>IFERROR(IF(INDEX('CFOG'!$O$10:$O$16,MATCH($F39,'CFOG'!$B$10:$B$16,0))="","Cell will autofill based on response",INDEX('CFOG'!$O$10:$O$16,MATCH($F39,'CFOG'!$B$10:$B$16,0))),"N/A")</f>
        <v/>
      </c>
      <c r="O39" s="52">
        <f>IFERROR(IF(INDEX('CFOG'!$O$23:$O$24,MATCH($F39,'CFOG'!$B$23:$B$24,0))="","Cell will autofill based on response",INDEX('CFOG'!$O$23:$O$24,MATCH($F39,'CFOG'!$B$23:$B$24,0))),"N/A")</f>
        <v/>
      </c>
      <c r="P39" s="52">
        <f>IFERROR(IF(INDEX('ESG'!$O$10:$O$17,MATCH($F39,'ESG'!$B$10:$B$17,0))="","Cell will autofill based on response",INDEX('ESG'!$O$10:$O$17,MATCH($F39,'ESG'!$B$10:$B$17,0))),"N/A")</f>
        <v/>
      </c>
      <c r="Q39" s="52">
        <f>IFERROR(IF(INDEX('CIOG'!$O$10:$O$14,MATCH($F39,'CIOG'!$B$10:$B$14,0))="","Cell will autofill based on response",INDEX('CIOG'!$O$10:$O$14,MATCH($F39,'CIOG'!$B$10:$B$14,0))),"N/A")</f>
        <v/>
      </c>
      <c r="R39" s="52">
        <f>IFERROR(IF(INDEX('MRE'!$O$10:$O$18,MATCH($F39,'MRE'!$B$10:$B$18,0))="","Cell will autofill based on response",INDEX('MRE'!$O$10:$O$18,MATCH($F39,'MRE'!$B$10:$B$18,0))),"N/A")</f>
        <v/>
      </c>
      <c r="S39" s="52">
        <f>IFERROR(IF(INDEX('AC&amp;M'!$O$10:$O$14,MATCH($F39,'AC&amp;M'!$B$10:$B$14,0))="","Cell will autofill based on response",INDEX('AC&amp;M'!$O$10:$O$14,MATCH($F39,'AC&amp;M'!$B$10:$B$14,0))),"N/A")</f>
        <v/>
      </c>
      <c r="T39" s="52">
        <f>IFERROR(IF(INDEX('GCE'!$O$10:$O$12,MATCH($F39,'GCE'!$B$10:$B$12,0))="","Cell will autofill based on response",INDEX('GCE'!$O$10:$O$12,MATCH($F39,'GCE'!$B$10:$B$12,0))),"N/A")</f>
        <v/>
      </c>
      <c r="U39" s="52">
        <f>IFERROR(IF(INDEX('Education'!$O$10:$O$13,MATCH($F39,'Education'!$B$10:$B$13,0))="","Cell will autofill based on response",INDEX('Education'!$O$10:$O$13,MATCH($F39,'Education'!$B$10:$B$13,0))),"N/A")</f>
        <v/>
      </c>
      <c r="V39" s="52">
        <f>IFERROR(IF(INDEX('SaSS'!$O$10:$O$12,MATCH($F39,'SaSS'!$B$10:$B$12,0))="","Cell will autofill based on response",INDEX('SaSS'!$O$10:$O$12,MATCH($F39,'SaSS'!$B$10:$B$12,0))),"N/A")</f>
        <v/>
      </c>
      <c r="W39" s="52">
        <f>IFERROR(IF(INDEX('Indigenous'!$O$10:$O$11,MATCH($F39,'Indigenous'!$B$10:$B$11,0))="","Cell will autofill based on response",INDEX('Indigenous'!$O$10:$O$11,MATCH($F39,'Indigenous'!$B$10:$B$11,0))),"N/A")</f>
        <v/>
      </c>
      <c r="X39" s="52">
        <f>IFERROR(IF(INDEX('L&amp;R'!$O$10:$O$11,MATCH($F39,'L&amp;R'!$B$10:$B$11,0))="","Cell will autofill based on response",INDEX('L&amp;R'!$O$10:$O$11,MATCH($F39,'L&amp;R'!$B$10:$B$11,0))),"N/A")</f>
        <v/>
      </c>
    </row>
    <row r="40">
      <c r="A40">
        <f>F40&amp;"|"&amp;G40</f>
        <v/>
      </c>
      <c r="B40" s="13" t="inlineStr"/>
      <c r="C40" s="8" t="inlineStr"/>
      <c r="D40" s="8" t="inlineStr"/>
      <c r="E40" s="8" t="inlineStr"/>
      <c r="F40" s="8" t="inlineStr">
        <is>
          <t>TR1(b)</t>
        </is>
      </c>
      <c r="G40" s="8" t="inlineStr">
        <is>
          <t>Data owner confirms</t>
        </is>
      </c>
      <c r="H40" s="52">
        <f>IFERROR(IF(INDEX('Faculties'!$P$10:$P$19,MATCH($F40,'Faculties'!$B$10:$B$19,0))="","Cell will autofill based on response",INDEX('Faculties'!$P$10:$P$19,MATCH($F40,'Faculties'!$B$10:$B$19,0))),"N/A")</f>
        <v/>
      </c>
      <c r="I40" s="52">
        <f>IFERROR(IF(INDEX('Faculties'!$P$26:$P$35,MATCH($F40,'Faculties'!$B$26:$B$35,0))="","Cell will autofill based on response",INDEX('Faculties'!$P$26:$P$35,MATCH($F40,'Faculties'!$B$26:$B$35,0))),"N/A")</f>
        <v/>
      </c>
      <c r="J40" s="52">
        <f>IFERROR(IF(INDEX('Faculties'!$P$42:$P$51,MATCH($F40,'Faculties'!$B$42:$B$51,0))="","Cell will autofill based on response",INDEX('Faculties'!$P$42:$P$51,MATCH($F40,'Faculties'!$B$42:$B$51,0))),"N/A")</f>
        <v/>
      </c>
      <c r="K40" s="52">
        <f>IFERROR(IF(INDEX('Faculties'!$P$58:$P$67,MATCH($F40,'Faculties'!$B$58:$B$67,0))="","Cell will autofill based on response",INDEX('Faculties'!$P$58:$P$67,MATCH($F40,'Faculties'!$B$58:$B$67,0))),"N/A")</f>
        <v/>
      </c>
      <c r="L40" s="52">
        <f>IFERROR(IF(INDEX('CI&amp;S'!$P$10:$P$15,MATCH($F40,'CI&amp;S'!$B$10:$B$15,0))="","Cell will autofill based on response",INDEX('CI&amp;S'!$P$10:$P$15,MATCH($F40,'CI&amp;S'!$B$10:$B$15,0))),"N/A")</f>
        <v/>
      </c>
      <c r="M40" s="52">
        <f>IFERROR(IF(INDEX('CI&amp;S'!$P$22:$P$36,MATCH($F40,'CI&amp;S'!$B$22:$B$36,0))="","Cell will autofill based on response",INDEX('CI&amp;S'!$P$22:$P$36,MATCH($F40,'CI&amp;S'!$B$22:$B$36,0))),"N/A")</f>
        <v/>
      </c>
      <c r="N40" s="52">
        <f>IFERROR(IF(INDEX('CFOG'!$P$10:$P$16,MATCH($F40,'CFOG'!$B$10:$B$16,0))="","Cell will autofill based on response",INDEX('CFOG'!$P$10:$P$16,MATCH($F40,'CFOG'!$B$10:$B$16,0))),"N/A")</f>
        <v/>
      </c>
      <c r="O40" s="52">
        <f>IFERROR(IF(INDEX('CFOG'!$P$23:$P$24,MATCH($F40,'CFOG'!$B$23:$B$24,0))="","Cell will autofill based on response",INDEX('CFOG'!$P$23:$P$24,MATCH($F40,'CFOG'!$B$23:$B$24,0))),"N/A")</f>
        <v/>
      </c>
      <c r="P40" s="52">
        <f>IFERROR(IF(INDEX('ESG'!$P$10:$P$17,MATCH($F40,'ESG'!$B$10:$B$17,0))="","Cell will autofill based on response",INDEX('ESG'!$P$10:$P$17,MATCH($F40,'ESG'!$B$10:$B$17,0))),"N/A")</f>
        <v/>
      </c>
      <c r="Q40" s="52">
        <f>IFERROR(IF(INDEX('CIOG'!$P$10:$P$14,MATCH($F40,'CIOG'!$B$10:$B$14,0))="","Cell will autofill based on response",INDEX('CIOG'!$P$10:$P$14,MATCH($F40,'CIOG'!$B$10:$B$14,0))),"N/A")</f>
        <v/>
      </c>
      <c r="R40" s="52">
        <f>IFERROR(IF(INDEX('MRE'!$P$10:$P$18,MATCH($F40,'MRE'!$B$10:$B$18,0))="","Cell will autofill based on response",INDEX('MRE'!$P$10:$P$18,MATCH($F40,'MRE'!$B$10:$B$18,0))),"N/A")</f>
        <v/>
      </c>
      <c r="S40" s="52">
        <f>IFERROR(IF(INDEX('AC&amp;M'!$P$10:$P$14,MATCH($F40,'AC&amp;M'!$B$10:$B$14,0))="","Cell will autofill based on response",INDEX('AC&amp;M'!$P$10:$P$14,MATCH($F40,'AC&amp;M'!$B$10:$B$14,0))),"N/A")</f>
        <v/>
      </c>
      <c r="T40" s="52">
        <f>IFERROR(IF(INDEX('GCE'!$P$10:$P$12,MATCH($F40,'GCE'!$B$10:$B$12,0))="","Cell will autofill based on response",INDEX('GCE'!$P$10:$P$12,MATCH($F40,'GCE'!$B$10:$B$12,0))),"N/A")</f>
        <v/>
      </c>
      <c r="U40" s="52">
        <f>IFERROR(IF(INDEX('Education'!$P$10:$P$13,MATCH($F40,'Education'!$B$10:$B$13,0))="","Cell will autofill based on response",INDEX('Education'!$P$10:$P$13,MATCH($F40,'Education'!$B$10:$B$13,0))),"N/A")</f>
        <v/>
      </c>
      <c r="V40" s="52">
        <f>IFERROR(IF(INDEX('SaSS'!$P$10:$P$12,MATCH($F40,'SaSS'!$B$10:$B$12,0))="","Cell will autofill based on response",INDEX('SaSS'!$P$10:$P$12,MATCH($F40,'SaSS'!$B$10:$B$12,0))),"N/A")</f>
        <v/>
      </c>
      <c r="W40" s="52">
        <f>IFERROR(IF(INDEX('Indigenous'!$P$10:$P$11,MATCH($F40,'Indigenous'!$B$10:$B$11,0))="","Cell will autofill based on response",INDEX('Indigenous'!$P$10:$P$11,MATCH($F40,'Indigenous'!$B$10:$B$11,0))),"N/A")</f>
        <v/>
      </c>
      <c r="X40" s="52">
        <f>IFERROR(IF(INDEX('L&amp;R'!$P$10:$P$11,MATCH($F40,'L&amp;R'!$B$10:$B$11,0))="","Cell will autofill based on response",INDEX('L&amp;R'!$P$10:$P$11,MATCH($F40,'L&amp;R'!$B$10:$B$11,0))),"N/A")</f>
        <v/>
      </c>
    </row>
    <row r="41">
      <c r="A41">
        <f>F41&amp;"|"&amp;G41</f>
        <v/>
      </c>
      <c r="B41" s="7" t="inlineStr">
        <is>
          <t>TR1(c)</t>
        </is>
      </c>
      <c r="C41" s="50" t="inlineStr">
        <is>
          <t>Transformational research</t>
        </is>
      </c>
      <c r="D41" s="50" t="inlineStr">
        <is>
          <t>Expert assessment of the quality, relevance and continuity of these collaborations</t>
        </is>
      </c>
      <c r="E41" s="50"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50" t="inlineStr">
        <is>
          <t>TR1(c)</t>
        </is>
      </c>
      <c r="G41" s="50" t="inlineStr">
        <is>
          <t>OPTION 1:  Target-level reporting</t>
        </is>
      </c>
      <c r="H41" s="52">
        <f>IFERROR(IF(INDEX('Faculties'!$L$10:$L$19,MATCH($F41,'Faculties'!$B$10:$B$19,0))="","Cell will autofill based on response",INDEX('Faculties'!$L$10:$L$19,MATCH($F41,'Faculties'!$B$10:$B$19,0))),"N/A")</f>
        <v/>
      </c>
      <c r="I41" s="52">
        <f>IFERROR(IF(INDEX('Faculties'!$L$26:$L$35,MATCH($F41,'Faculties'!$B$26:$B$35,0))="","Cell will autofill based on response",INDEX('Faculties'!$L$26:$L$35,MATCH($F41,'Faculties'!$B$26:$B$35,0))),"N/A")</f>
        <v/>
      </c>
      <c r="J41" s="52">
        <f>IFERROR(IF(INDEX('Faculties'!$L$42:$L$51,MATCH($F41,'Faculties'!$B$42:$B$51,0))="","Cell will autofill based on response",INDEX('Faculties'!$L$42:$L$51,MATCH($F41,'Faculties'!$B$42:$B$51,0))),"N/A")</f>
        <v/>
      </c>
      <c r="K41" s="52">
        <f>IFERROR(IF(INDEX('Faculties'!$L$58:$L$67,MATCH($F41,'Faculties'!$B$58:$B$67,0))="","Cell will autofill based on response",INDEX('Faculties'!$L$58:$L$67,MATCH($F41,'Faculties'!$B$58:$B$67,0))),"N/A")</f>
        <v/>
      </c>
      <c r="L41" s="52">
        <f>IFERROR(IF(INDEX('CI&amp;S'!$L$10:$L$15,MATCH($F41,'CI&amp;S'!$B$10:$B$15,0))="","Cell will autofill based on response",INDEX('CI&amp;S'!$L$10:$L$15,MATCH($F41,'CI&amp;S'!$B$10:$B$15,0))),"N/A")</f>
        <v/>
      </c>
      <c r="M41" s="52">
        <f>IFERROR(IF(INDEX('CI&amp;S'!$L$22:$L$36,MATCH($F41,'CI&amp;S'!$B$22:$B$36,0))="","Cell will autofill based on response",INDEX('CI&amp;S'!$L$22:$L$36,MATCH($F41,'CI&amp;S'!$B$22:$B$36,0))),"N/A")</f>
        <v/>
      </c>
      <c r="N41" s="52">
        <f>IFERROR(IF(INDEX('CFOG'!$L$10:$L$16,MATCH($F41,'CFOG'!$B$10:$B$16,0))="","Cell will autofill based on response",INDEX('CFOG'!$L$10:$L$16,MATCH($F41,'CFOG'!$B$10:$B$16,0))),"N/A")</f>
        <v/>
      </c>
      <c r="O41" s="52">
        <f>IFERROR(IF(INDEX('CFOG'!$L$23:$L$24,MATCH($F41,'CFOG'!$B$23:$B$24,0))="","Cell will autofill based on response",INDEX('CFOG'!$L$23:$L$24,MATCH($F41,'CFOG'!$B$23:$B$24,0))),"N/A")</f>
        <v/>
      </c>
      <c r="P41" s="52">
        <f>IFERROR(IF(INDEX('ESG'!$L$10:$L$17,MATCH($F41,'ESG'!$B$10:$B$17,0))="","Cell will autofill based on response",INDEX('ESG'!$L$10:$L$17,MATCH($F41,'ESG'!$B$10:$B$17,0))),"N/A")</f>
        <v/>
      </c>
      <c r="Q41" s="52">
        <f>IFERROR(IF(INDEX('CIOG'!$L$10:$L$14,MATCH($F41,'CIOG'!$B$10:$B$14,0))="","Cell will autofill based on response",INDEX('CIOG'!$L$10:$L$14,MATCH($F41,'CIOG'!$B$10:$B$14,0))),"N/A")</f>
        <v/>
      </c>
      <c r="R41" s="52">
        <f>IFERROR(IF(INDEX('MRE'!$L$10:$L$18,MATCH($F41,'MRE'!$B$10:$B$18,0))="","Cell will autofill based on response",INDEX('MRE'!$L$10:$L$18,MATCH($F41,'MRE'!$B$10:$B$18,0))),"N/A")</f>
        <v/>
      </c>
      <c r="S41" s="52">
        <f>IFERROR(IF(INDEX('AC&amp;M'!$L$10:$L$14,MATCH($F41,'AC&amp;M'!$B$10:$B$14,0))="","Cell will autofill based on response",INDEX('AC&amp;M'!$L$10:$L$14,MATCH($F41,'AC&amp;M'!$B$10:$B$14,0))),"N/A")</f>
        <v/>
      </c>
      <c r="T41" s="52">
        <f>IFERROR(IF(INDEX('GCE'!$L$10:$L$12,MATCH($F41,'GCE'!$B$10:$B$12,0))="","Cell will autofill based on response",INDEX('GCE'!$L$10:$L$12,MATCH($F41,'GCE'!$B$10:$B$12,0))),"N/A")</f>
        <v/>
      </c>
      <c r="U41" s="52">
        <f>IFERROR(IF(INDEX('Education'!$L$10:$L$13,MATCH($F41,'Education'!$B$10:$B$13,0))="","Cell will autofill based on response",INDEX('Education'!$L$10:$L$13,MATCH($F41,'Education'!$B$10:$B$13,0))),"N/A")</f>
        <v/>
      </c>
      <c r="V41" s="52">
        <f>IFERROR(IF(INDEX('SaSS'!$L$10:$L$12,MATCH($F41,'SaSS'!$B$10:$B$12,0))="","Cell will autofill based on response",INDEX('SaSS'!$L$10:$L$12,MATCH($F41,'SaSS'!$B$10:$B$12,0))),"N/A")</f>
        <v/>
      </c>
      <c r="W41" s="52">
        <f>IFERROR(IF(INDEX('Indigenous'!$L$10:$L$11,MATCH($F41,'Indigenous'!$B$10:$B$11,0))="","Cell will autofill based on response",INDEX('Indigenous'!$L$10:$L$11,MATCH($F41,'Indigenous'!$B$10:$B$11,0))),"N/A")</f>
        <v/>
      </c>
      <c r="X41" s="52">
        <f>IFERROR(IF(INDEX('L&amp;R'!$L$10:$L$11,MATCH($F41,'L&amp;R'!$B$10:$B$11,0))="","Cell will autofill based on response",INDEX('L&amp;R'!$L$10:$L$11,MATCH($F41,'L&amp;R'!$B$10:$B$11,0))),"N/A")</f>
        <v/>
      </c>
      <c r="Z41" s="10">
        <f>SUMPRODUCT(--($H41:$X41&lt;&gt;"N/A"))</f>
        <v/>
      </c>
      <c r="AA41" s="10">
        <f>SUMPRODUCT(--(((($H41:$X41&lt;&gt;"N/A")*($H41:$X41&lt;&gt;"Cell will autofill based on response"))+(($H42:$X42&lt;&gt;"N/A")*($H42:$X42&lt;&gt;"Cell will autofill based on response")))&gt;0))</f>
        <v/>
      </c>
      <c r="AB41" s="10">
        <f>Z41-AA41</f>
        <v/>
      </c>
      <c r="AC41" s="10">
        <f>COUNTIF($H45:$X45,"Yes")</f>
        <v/>
      </c>
    </row>
    <row r="42">
      <c r="A42">
        <f>F42&amp;"|"&amp;G42</f>
        <v/>
      </c>
      <c r="B42" s="13" t="inlineStr"/>
      <c r="C42" s="8" t="inlineStr"/>
      <c r="D42" s="8" t="inlineStr"/>
      <c r="E42" s="8" t="inlineStr"/>
      <c r="F42" s="8" t="inlineStr">
        <is>
          <t>TR1(c)</t>
        </is>
      </c>
      <c r="G42" s="8" t="inlineStr">
        <is>
          <t>OPTION 2:  Indicator level reporting</t>
        </is>
      </c>
      <c r="H42" s="52">
        <f>IFERROR(IF(INDEX('Faculties'!$M$10:$M$19,MATCH($F42,'Faculties'!$B$10:$B$19,0))="","Cell will autofill based on response",INDEX('Faculties'!$M$10:$M$19,MATCH($F42,'Faculties'!$B$10:$B$19,0))),"N/A")</f>
        <v/>
      </c>
      <c r="I42" s="52">
        <f>IFERROR(IF(INDEX('Faculties'!$M$26:$M$35,MATCH($F42,'Faculties'!$B$26:$B$35,0))="","Cell will autofill based on response",INDEX('Faculties'!$M$26:$M$35,MATCH($F42,'Faculties'!$B$26:$B$35,0))),"N/A")</f>
        <v/>
      </c>
      <c r="J42" s="52">
        <f>IFERROR(IF(INDEX('Faculties'!$M$42:$M$51,MATCH($F42,'Faculties'!$B$42:$B$51,0))="","Cell will autofill based on response",INDEX('Faculties'!$M$42:$M$51,MATCH($F42,'Faculties'!$B$42:$B$51,0))),"N/A")</f>
        <v/>
      </c>
      <c r="K42" s="52">
        <f>IFERROR(IF(INDEX('Faculties'!$M$58:$M$67,MATCH($F42,'Faculties'!$B$58:$B$67,0))="","Cell will autofill based on response",INDEX('Faculties'!$M$58:$M$67,MATCH($F42,'Faculties'!$B$58:$B$67,0))),"N/A")</f>
        <v/>
      </c>
      <c r="L42" s="52">
        <f>IFERROR(IF(INDEX('CI&amp;S'!$M$10:$M$15,MATCH($F42,'CI&amp;S'!$B$10:$B$15,0))="","Cell will autofill based on response",INDEX('CI&amp;S'!$M$10:$M$15,MATCH($F42,'CI&amp;S'!$B$10:$B$15,0))),"N/A")</f>
        <v/>
      </c>
      <c r="M42" s="52">
        <f>IFERROR(IF(INDEX('CI&amp;S'!$M$22:$M$36,MATCH($F42,'CI&amp;S'!$B$22:$B$36,0))="","Cell will autofill based on response",INDEX('CI&amp;S'!$M$22:$M$36,MATCH($F42,'CI&amp;S'!$B$22:$B$36,0))),"N/A")</f>
        <v/>
      </c>
      <c r="N42" s="52">
        <f>IFERROR(IF(INDEX('CFOG'!$M$10:$M$16,MATCH($F42,'CFOG'!$B$10:$B$16,0))="","Cell will autofill based on response",INDEX('CFOG'!$M$10:$M$16,MATCH($F42,'CFOG'!$B$10:$B$16,0))),"N/A")</f>
        <v/>
      </c>
      <c r="O42" s="52">
        <f>IFERROR(IF(INDEX('CFOG'!$M$23:$M$24,MATCH($F42,'CFOG'!$B$23:$B$24,0))="","Cell will autofill based on response",INDEX('CFOG'!$M$23:$M$24,MATCH($F42,'CFOG'!$B$23:$B$24,0))),"N/A")</f>
        <v/>
      </c>
      <c r="P42" s="52">
        <f>IFERROR(IF(INDEX('ESG'!$M$10:$M$17,MATCH($F42,'ESG'!$B$10:$B$17,0))="","Cell will autofill based on response",INDEX('ESG'!$M$10:$M$17,MATCH($F42,'ESG'!$B$10:$B$17,0))),"N/A")</f>
        <v/>
      </c>
      <c r="Q42" s="52">
        <f>IFERROR(IF(INDEX('CIOG'!$M$10:$M$14,MATCH($F42,'CIOG'!$B$10:$B$14,0))="","Cell will autofill based on response",INDEX('CIOG'!$M$10:$M$14,MATCH($F42,'CIOG'!$B$10:$B$14,0))),"N/A")</f>
        <v/>
      </c>
      <c r="R42" s="52">
        <f>IFERROR(IF(INDEX('MRE'!$M$10:$M$18,MATCH($F42,'MRE'!$B$10:$B$18,0))="","Cell will autofill based on response",INDEX('MRE'!$M$10:$M$18,MATCH($F42,'MRE'!$B$10:$B$18,0))),"N/A")</f>
        <v/>
      </c>
      <c r="S42" s="52">
        <f>IFERROR(IF(INDEX('AC&amp;M'!$M$10:$M$14,MATCH($F42,'AC&amp;M'!$B$10:$B$14,0))="","Cell will autofill based on response",INDEX('AC&amp;M'!$M$10:$M$14,MATCH($F42,'AC&amp;M'!$B$10:$B$14,0))),"N/A")</f>
        <v/>
      </c>
      <c r="T42" s="52">
        <f>IFERROR(IF(INDEX('GCE'!$M$10:$M$12,MATCH($F42,'GCE'!$B$10:$B$12,0))="","Cell will autofill based on response",INDEX('GCE'!$M$10:$M$12,MATCH($F42,'GCE'!$B$10:$B$12,0))),"N/A")</f>
        <v/>
      </c>
      <c r="U42" s="52">
        <f>IFERROR(IF(INDEX('Education'!$M$10:$M$13,MATCH($F42,'Education'!$B$10:$B$13,0))="","Cell will autofill based on response",INDEX('Education'!$M$10:$M$13,MATCH($F42,'Education'!$B$10:$B$13,0))),"N/A")</f>
        <v/>
      </c>
      <c r="V42" s="52">
        <f>IFERROR(IF(INDEX('SaSS'!$M$10:$M$12,MATCH($F42,'SaSS'!$B$10:$B$12,0))="","Cell will autofill based on response",INDEX('SaSS'!$M$10:$M$12,MATCH($F42,'SaSS'!$B$10:$B$12,0))),"N/A")</f>
        <v/>
      </c>
      <c r="W42" s="52">
        <f>IFERROR(IF(INDEX('Indigenous'!$M$10:$M$11,MATCH($F42,'Indigenous'!$B$10:$B$11,0))="","Cell will autofill based on response",INDEX('Indigenous'!$M$10:$M$11,MATCH($F42,'Indigenous'!$B$10:$B$11,0))),"N/A")</f>
        <v/>
      </c>
      <c r="X42" s="52">
        <f>IFERROR(IF(INDEX('L&amp;R'!$M$10:$M$11,MATCH($F42,'L&amp;R'!$B$10:$B$11,0))="","Cell will autofill based on response",INDEX('L&amp;R'!$M$10:$M$11,MATCH($F42,'L&amp;R'!$B$10:$B$11,0))),"N/A")</f>
        <v/>
      </c>
    </row>
    <row r="43">
      <c r="A43">
        <f>F43&amp;"|"&amp;G43</f>
        <v/>
      </c>
      <c r="B43" s="13" t="inlineStr"/>
      <c r="C43" s="8" t="inlineStr"/>
      <c r="D43" s="8" t="inlineStr"/>
      <c r="E43" s="8" t="inlineStr"/>
      <c r="F43" s="8" t="inlineStr">
        <is>
          <t>TR1(c)</t>
        </is>
      </c>
      <c r="G43" s="8" t="inlineStr">
        <is>
          <t>Supporting information/comments</t>
        </is>
      </c>
      <c r="H43" s="52">
        <f>IFERROR(IF(INDEX('Faculties'!$N$10:$N$19,MATCH($F43,'Faculties'!$B$10:$B$19,0))="","Cell will autofill based on response",INDEX('Faculties'!$N$10:$N$19,MATCH($F43,'Faculties'!$B$10:$B$19,0))),"N/A")</f>
        <v/>
      </c>
      <c r="I43" s="52">
        <f>IFERROR(IF(INDEX('Faculties'!$N$26:$N$35,MATCH($F43,'Faculties'!$B$26:$B$35,0))="","Cell will autofill based on response",INDEX('Faculties'!$N$26:$N$35,MATCH($F43,'Faculties'!$B$26:$B$35,0))),"N/A")</f>
        <v/>
      </c>
      <c r="J43" s="52">
        <f>IFERROR(IF(INDEX('Faculties'!$N$42:$N$51,MATCH($F43,'Faculties'!$B$42:$B$51,0))="","Cell will autofill based on response",INDEX('Faculties'!$N$42:$N$51,MATCH($F43,'Faculties'!$B$42:$B$51,0))),"N/A")</f>
        <v/>
      </c>
      <c r="K43" s="52">
        <f>IFERROR(IF(INDEX('Faculties'!$N$58:$N$67,MATCH($F43,'Faculties'!$B$58:$B$67,0))="","Cell will autofill based on response",INDEX('Faculties'!$N$58:$N$67,MATCH($F43,'Faculties'!$B$58:$B$67,0))),"N/A")</f>
        <v/>
      </c>
      <c r="L43" s="52">
        <f>IFERROR(IF(INDEX('CI&amp;S'!$N$10:$N$15,MATCH($F43,'CI&amp;S'!$B$10:$B$15,0))="","Cell will autofill based on response",INDEX('CI&amp;S'!$N$10:$N$15,MATCH($F43,'CI&amp;S'!$B$10:$B$15,0))),"N/A")</f>
        <v/>
      </c>
      <c r="M43" s="52">
        <f>IFERROR(IF(INDEX('CI&amp;S'!$N$22:$N$36,MATCH($F43,'CI&amp;S'!$B$22:$B$36,0))="","Cell will autofill based on response",INDEX('CI&amp;S'!$N$22:$N$36,MATCH($F43,'CI&amp;S'!$B$22:$B$36,0))),"N/A")</f>
        <v/>
      </c>
      <c r="N43" s="52">
        <f>IFERROR(IF(INDEX('CFOG'!$N$10:$N$16,MATCH($F43,'CFOG'!$B$10:$B$16,0))="","Cell will autofill based on response",INDEX('CFOG'!$N$10:$N$16,MATCH($F43,'CFOG'!$B$10:$B$16,0))),"N/A")</f>
        <v/>
      </c>
      <c r="O43" s="52">
        <f>IFERROR(IF(INDEX('CFOG'!$N$23:$N$24,MATCH($F43,'CFOG'!$B$23:$B$24,0))="","Cell will autofill based on response",INDEX('CFOG'!$N$23:$N$24,MATCH($F43,'CFOG'!$B$23:$B$24,0))),"N/A")</f>
        <v/>
      </c>
      <c r="P43" s="52">
        <f>IFERROR(IF(INDEX('ESG'!$N$10:$N$17,MATCH($F43,'ESG'!$B$10:$B$17,0))="","Cell will autofill based on response",INDEX('ESG'!$N$10:$N$17,MATCH($F43,'ESG'!$B$10:$B$17,0))),"N/A")</f>
        <v/>
      </c>
      <c r="Q43" s="52">
        <f>IFERROR(IF(INDEX('CIOG'!$N$10:$N$14,MATCH($F43,'CIOG'!$B$10:$B$14,0))="","Cell will autofill based on response",INDEX('CIOG'!$N$10:$N$14,MATCH($F43,'CIOG'!$B$10:$B$14,0))),"N/A")</f>
        <v/>
      </c>
      <c r="R43" s="52">
        <f>IFERROR(IF(INDEX('MRE'!$N$10:$N$18,MATCH($F43,'MRE'!$B$10:$B$18,0))="","Cell will autofill based on response",INDEX('MRE'!$N$10:$N$18,MATCH($F43,'MRE'!$B$10:$B$18,0))),"N/A")</f>
        <v/>
      </c>
      <c r="S43" s="52">
        <f>IFERROR(IF(INDEX('AC&amp;M'!$N$10:$N$14,MATCH($F43,'AC&amp;M'!$B$10:$B$14,0))="","Cell will autofill based on response",INDEX('AC&amp;M'!$N$10:$N$14,MATCH($F43,'AC&amp;M'!$B$10:$B$14,0))),"N/A")</f>
        <v/>
      </c>
      <c r="T43" s="52">
        <f>IFERROR(IF(INDEX('GCE'!$N$10:$N$12,MATCH($F43,'GCE'!$B$10:$B$12,0))="","Cell will autofill based on response",INDEX('GCE'!$N$10:$N$12,MATCH($F43,'GCE'!$B$10:$B$12,0))),"N/A")</f>
        <v/>
      </c>
      <c r="U43" s="52">
        <f>IFERROR(IF(INDEX('Education'!$N$10:$N$13,MATCH($F43,'Education'!$B$10:$B$13,0))="","Cell will autofill based on response",INDEX('Education'!$N$10:$N$13,MATCH($F43,'Education'!$B$10:$B$13,0))),"N/A")</f>
        <v/>
      </c>
      <c r="V43" s="52">
        <f>IFERROR(IF(INDEX('SaSS'!$N$10:$N$12,MATCH($F43,'SaSS'!$B$10:$B$12,0))="","Cell will autofill based on response",INDEX('SaSS'!$N$10:$N$12,MATCH($F43,'SaSS'!$B$10:$B$12,0))),"N/A")</f>
        <v/>
      </c>
      <c r="W43" s="52">
        <f>IFERROR(IF(INDEX('Indigenous'!$N$10:$N$11,MATCH($F43,'Indigenous'!$B$10:$B$11,0))="","Cell will autofill based on response",INDEX('Indigenous'!$N$10:$N$11,MATCH($F43,'Indigenous'!$B$10:$B$11,0))),"N/A")</f>
        <v/>
      </c>
      <c r="X43" s="52">
        <f>IFERROR(IF(INDEX('L&amp;R'!$N$10:$N$11,MATCH($F43,'L&amp;R'!$B$10:$B$11,0))="","Cell will autofill based on response",INDEX('L&amp;R'!$N$10:$N$11,MATCH($F43,'L&amp;R'!$B$10:$B$11,0))),"N/A")</f>
        <v/>
      </c>
    </row>
    <row r="44">
      <c r="A44">
        <f>F44&amp;"|"&amp;G44</f>
        <v/>
      </c>
      <c r="B44" s="13" t="inlineStr"/>
      <c r="C44" s="8" t="inlineStr"/>
      <c r="D44" s="8" t="inlineStr"/>
      <c r="E44" s="8" t="inlineStr"/>
      <c r="F44" s="8" t="inlineStr">
        <is>
          <t>TR1(c)</t>
        </is>
      </c>
      <c r="G44" s="8" t="inlineStr">
        <is>
          <t>Data source and limitations</t>
        </is>
      </c>
      <c r="H44" s="52">
        <f>IFERROR(IF(INDEX('Faculties'!$O$10:$O$19,MATCH($F44,'Faculties'!$B$10:$B$19,0))="","Cell will autofill based on response",INDEX('Faculties'!$O$10:$O$19,MATCH($F44,'Faculties'!$B$10:$B$19,0))),"N/A")</f>
        <v/>
      </c>
      <c r="I44" s="52">
        <f>IFERROR(IF(INDEX('Faculties'!$O$26:$O$35,MATCH($F44,'Faculties'!$B$26:$B$35,0))="","Cell will autofill based on response",INDEX('Faculties'!$O$26:$O$35,MATCH($F44,'Faculties'!$B$26:$B$35,0))),"N/A")</f>
        <v/>
      </c>
      <c r="J44" s="52">
        <f>IFERROR(IF(INDEX('Faculties'!$O$42:$O$51,MATCH($F44,'Faculties'!$B$42:$B$51,0))="","Cell will autofill based on response",INDEX('Faculties'!$O$42:$O$51,MATCH($F44,'Faculties'!$B$42:$B$51,0))),"N/A")</f>
        <v/>
      </c>
      <c r="K44" s="52">
        <f>IFERROR(IF(INDEX('Faculties'!$O$58:$O$67,MATCH($F44,'Faculties'!$B$58:$B$67,0))="","Cell will autofill based on response",INDEX('Faculties'!$O$58:$O$67,MATCH($F44,'Faculties'!$B$58:$B$67,0))),"N/A")</f>
        <v/>
      </c>
      <c r="L44" s="52">
        <f>IFERROR(IF(INDEX('CI&amp;S'!$O$10:$O$15,MATCH($F44,'CI&amp;S'!$B$10:$B$15,0))="","Cell will autofill based on response",INDEX('CI&amp;S'!$O$10:$O$15,MATCH($F44,'CI&amp;S'!$B$10:$B$15,0))),"N/A")</f>
        <v/>
      </c>
      <c r="M44" s="52">
        <f>IFERROR(IF(INDEX('CI&amp;S'!$O$22:$O$36,MATCH($F44,'CI&amp;S'!$B$22:$B$36,0))="","Cell will autofill based on response",INDEX('CI&amp;S'!$O$22:$O$36,MATCH($F44,'CI&amp;S'!$B$22:$B$36,0))),"N/A")</f>
        <v/>
      </c>
      <c r="N44" s="52">
        <f>IFERROR(IF(INDEX('CFOG'!$O$10:$O$16,MATCH($F44,'CFOG'!$B$10:$B$16,0))="","Cell will autofill based on response",INDEX('CFOG'!$O$10:$O$16,MATCH($F44,'CFOG'!$B$10:$B$16,0))),"N/A")</f>
        <v/>
      </c>
      <c r="O44" s="52">
        <f>IFERROR(IF(INDEX('CFOG'!$O$23:$O$24,MATCH($F44,'CFOG'!$B$23:$B$24,0))="","Cell will autofill based on response",INDEX('CFOG'!$O$23:$O$24,MATCH($F44,'CFOG'!$B$23:$B$24,0))),"N/A")</f>
        <v/>
      </c>
      <c r="P44" s="52">
        <f>IFERROR(IF(INDEX('ESG'!$O$10:$O$17,MATCH($F44,'ESG'!$B$10:$B$17,0))="","Cell will autofill based on response",INDEX('ESG'!$O$10:$O$17,MATCH($F44,'ESG'!$B$10:$B$17,0))),"N/A")</f>
        <v/>
      </c>
      <c r="Q44" s="52">
        <f>IFERROR(IF(INDEX('CIOG'!$O$10:$O$14,MATCH($F44,'CIOG'!$B$10:$B$14,0))="","Cell will autofill based on response",INDEX('CIOG'!$O$10:$O$14,MATCH($F44,'CIOG'!$B$10:$B$14,0))),"N/A")</f>
        <v/>
      </c>
      <c r="R44" s="52">
        <f>IFERROR(IF(INDEX('MRE'!$O$10:$O$18,MATCH($F44,'MRE'!$B$10:$B$18,0))="","Cell will autofill based on response",INDEX('MRE'!$O$10:$O$18,MATCH($F44,'MRE'!$B$10:$B$18,0))),"N/A")</f>
        <v/>
      </c>
      <c r="S44" s="52">
        <f>IFERROR(IF(INDEX('AC&amp;M'!$O$10:$O$14,MATCH($F44,'AC&amp;M'!$B$10:$B$14,0))="","Cell will autofill based on response",INDEX('AC&amp;M'!$O$10:$O$14,MATCH($F44,'AC&amp;M'!$B$10:$B$14,0))),"N/A")</f>
        <v/>
      </c>
      <c r="T44" s="52">
        <f>IFERROR(IF(INDEX('GCE'!$O$10:$O$12,MATCH($F44,'GCE'!$B$10:$B$12,0))="","Cell will autofill based on response",INDEX('GCE'!$O$10:$O$12,MATCH($F44,'GCE'!$B$10:$B$12,0))),"N/A")</f>
        <v/>
      </c>
      <c r="U44" s="52">
        <f>IFERROR(IF(INDEX('Education'!$O$10:$O$13,MATCH($F44,'Education'!$B$10:$B$13,0))="","Cell will autofill based on response",INDEX('Education'!$O$10:$O$13,MATCH($F44,'Education'!$B$10:$B$13,0))),"N/A")</f>
        <v/>
      </c>
      <c r="V44" s="52">
        <f>IFERROR(IF(INDEX('SaSS'!$O$10:$O$12,MATCH($F44,'SaSS'!$B$10:$B$12,0))="","Cell will autofill based on response",INDEX('SaSS'!$O$10:$O$12,MATCH($F44,'SaSS'!$B$10:$B$12,0))),"N/A")</f>
        <v/>
      </c>
      <c r="W44" s="52">
        <f>IFERROR(IF(INDEX('Indigenous'!$O$10:$O$11,MATCH($F44,'Indigenous'!$B$10:$B$11,0))="","Cell will autofill based on response",INDEX('Indigenous'!$O$10:$O$11,MATCH($F44,'Indigenous'!$B$10:$B$11,0))),"N/A")</f>
        <v/>
      </c>
      <c r="X44" s="52">
        <f>IFERROR(IF(INDEX('L&amp;R'!$O$10:$O$11,MATCH($F44,'L&amp;R'!$B$10:$B$11,0))="","Cell will autofill based on response",INDEX('L&amp;R'!$O$10:$O$11,MATCH($F44,'L&amp;R'!$B$10:$B$11,0))),"N/A")</f>
        <v/>
      </c>
    </row>
    <row r="45">
      <c r="A45">
        <f>F45&amp;"|"&amp;G45</f>
        <v/>
      </c>
      <c r="B45" s="13" t="inlineStr"/>
      <c r="C45" s="8" t="inlineStr"/>
      <c r="D45" s="8" t="inlineStr"/>
      <c r="E45" s="8" t="inlineStr"/>
      <c r="F45" s="8" t="inlineStr">
        <is>
          <t>TR1(c)</t>
        </is>
      </c>
      <c r="G45" s="8" t="inlineStr">
        <is>
          <t>Data owner confirms</t>
        </is>
      </c>
      <c r="H45" s="52">
        <f>IFERROR(IF(INDEX('Faculties'!$P$10:$P$19,MATCH($F45,'Faculties'!$B$10:$B$19,0))="","Cell will autofill based on response",INDEX('Faculties'!$P$10:$P$19,MATCH($F45,'Faculties'!$B$10:$B$19,0))),"N/A")</f>
        <v/>
      </c>
      <c r="I45" s="52">
        <f>IFERROR(IF(INDEX('Faculties'!$P$26:$P$35,MATCH($F45,'Faculties'!$B$26:$B$35,0))="","Cell will autofill based on response",INDEX('Faculties'!$P$26:$P$35,MATCH($F45,'Faculties'!$B$26:$B$35,0))),"N/A")</f>
        <v/>
      </c>
      <c r="J45" s="52">
        <f>IFERROR(IF(INDEX('Faculties'!$P$42:$P$51,MATCH($F45,'Faculties'!$B$42:$B$51,0))="","Cell will autofill based on response",INDEX('Faculties'!$P$42:$P$51,MATCH($F45,'Faculties'!$B$42:$B$51,0))),"N/A")</f>
        <v/>
      </c>
      <c r="K45" s="52">
        <f>IFERROR(IF(INDEX('Faculties'!$P$58:$P$67,MATCH($F45,'Faculties'!$B$58:$B$67,0))="","Cell will autofill based on response",INDEX('Faculties'!$P$58:$P$67,MATCH($F45,'Faculties'!$B$58:$B$67,0))),"N/A")</f>
        <v/>
      </c>
      <c r="L45" s="52">
        <f>IFERROR(IF(INDEX('CI&amp;S'!$P$10:$P$15,MATCH($F45,'CI&amp;S'!$B$10:$B$15,0))="","Cell will autofill based on response",INDEX('CI&amp;S'!$P$10:$P$15,MATCH($F45,'CI&amp;S'!$B$10:$B$15,0))),"N/A")</f>
        <v/>
      </c>
      <c r="M45" s="52">
        <f>IFERROR(IF(INDEX('CI&amp;S'!$P$22:$P$36,MATCH($F45,'CI&amp;S'!$B$22:$B$36,0))="","Cell will autofill based on response",INDEX('CI&amp;S'!$P$22:$P$36,MATCH($F45,'CI&amp;S'!$B$22:$B$36,0))),"N/A")</f>
        <v/>
      </c>
      <c r="N45" s="52">
        <f>IFERROR(IF(INDEX('CFOG'!$P$10:$P$16,MATCH($F45,'CFOG'!$B$10:$B$16,0))="","Cell will autofill based on response",INDEX('CFOG'!$P$10:$P$16,MATCH($F45,'CFOG'!$B$10:$B$16,0))),"N/A")</f>
        <v/>
      </c>
      <c r="O45" s="52">
        <f>IFERROR(IF(INDEX('CFOG'!$P$23:$P$24,MATCH($F45,'CFOG'!$B$23:$B$24,0))="","Cell will autofill based on response",INDEX('CFOG'!$P$23:$P$24,MATCH($F45,'CFOG'!$B$23:$B$24,0))),"N/A")</f>
        <v/>
      </c>
      <c r="P45" s="52">
        <f>IFERROR(IF(INDEX('ESG'!$P$10:$P$17,MATCH($F45,'ESG'!$B$10:$B$17,0))="","Cell will autofill based on response",INDEX('ESG'!$P$10:$P$17,MATCH($F45,'ESG'!$B$10:$B$17,0))),"N/A")</f>
        <v/>
      </c>
      <c r="Q45" s="52">
        <f>IFERROR(IF(INDEX('CIOG'!$P$10:$P$14,MATCH($F45,'CIOG'!$B$10:$B$14,0))="","Cell will autofill based on response",INDEX('CIOG'!$P$10:$P$14,MATCH($F45,'CIOG'!$B$10:$B$14,0))),"N/A")</f>
        <v/>
      </c>
      <c r="R45" s="52">
        <f>IFERROR(IF(INDEX('MRE'!$P$10:$P$18,MATCH($F45,'MRE'!$B$10:$B$18,0))="","Cell will autofill based on response",INDEX('MRE'!$P$10:$P$18,MATCH($F45,'MRE'!$B$10:$B$18,0))),"N/A")</f>
        <v/>
      </c>
      <c r="S45" s="52">
        <f>IFERROR(IF(INDEX('AC&amp;M'!$P$10:$P$14,MATCH($F45,'AC&amp;M'!$B$10:$B$14,0))="","Cell will autofill based on response",INDEX('AC&amp;M'!$P$10:$P$14,MATCH($F45,'AC&amp;M'!$B$10:$B$14,0))),"N/A")</f>
        <v/>
      </c>
      <c r="T45" s="52">
        <f>IFERROR(IF(INDEX('GCE'!$P$10:$P$12,MATCH($F45,'GCE'!$B$10:$B$12,0))="","Cell will autofill based on response",INDEX('GCE'!$P$10:$P$12,MATCH($F45,'GCE'!$B$10:$B$12,0))),"N/A")</f>
        <v/>
      </c>
      <c r="U45" s="52">
        <f>IFERROR(IF(INDEX('Education'!$P$10:$P$13,MATCH($F45,'Education'!$B$10:$B$13,0))="","Cell will autofill based on response",INDEX('Education'!$P$10:$P$13,MATCH($F45,'Education'!$B$10:$B$13,0))),"N/A")</f>
        <v/>
      </c>
      <c r="V45" s="52">
        <f>IFERROR(IF(INDEX('SaSS'!$P$10:$P$12,MATCH($F45,'SaSS'!$B$10:$B$12,0))="","Cell will autofill based on response",INDEX('SaSS'!$P$10:$P$12,MATCH($F45,'SaSS'!$B$10:$B$12,0))),"N/A")</f>
        <v/>
      </c>
      <c r="W45" s="52">
        <f>IFERROR(IF(INDEX('Indigenous'!$P$10:$P$11,MATCH($F45,'Indigenous'!$B$10:$B$11,0))="","Cell will autofill based on response",INDEX('Indigenous'!$P$10:$P$11,MATCH($F45,'Indigenous'!$B$10:$B$11,0))),"N/A")</f>
        <v/>
      </c>
      <c r="X45" s="52">
        <f>IFERROR(IF(INDEX('L&amp;R'!$P$10:$P$11,MATCH($F45,'L&amp;R'!$B$10:$B$11,0))="","Cell will autofill based on response",INDEX('L&amp;R'!$P$10:$P$11,MATCH($F45,'L&amp;R'!$B$10:$B$11,0))),"N/A")</f>
        <v/>
      </c>
    </row>
    <row r="46">
      <c r="A46">
        <f>F46&amp;"|"&amp;G46</f>
        <v/>
      </c>
      <c r="B46" s="7" t="inlineStr">
        <is>
          <t>TR1(d)</t>
        </is>
      </c>
      <c r="C46" s="50" t="inlineStr">
        <is>
          <t>Transformational research</t>
        </is>
      </c>
      <c r="D46" s="50" t="inlineStr">
        <is>
          <t>Periodic feedback from participants on the effectiveness and mutual benefit of collaboration mechanisms.</t>
        </is>
      </c>
      <c r="E46" s="50"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50" t="inlineStr">
        <is>
          <t>TR1(d)</t>
        </is>
      </c>
      <c r="G46" s="50" t="inlineStr">
        <is>
          <t>OPTION 1:  Target-level reporting</t>
        </is>
      </c>
      <c r="H46" s="52">
        <f>IFERROR(IF(INDEX('Faculties'!$L$10:$L$19,MATCH($F46,'Faculties'!$B$10:$B$19,0))="","Cell will autofill based on response",INDEX('Faculties'!$L$10:$L$19,MATCH($F46,'Faculties'!$B$10:$B$19,0))),"N/A")</f>
        <v/>
      </c>
      <c r="I46" s="52">
        <f>IFERROR(IF(INDEX('Faculties'!$L$26:$L$35,MATCH($F46,'Faculties'!$B$26:$B$35,0))="","Cell will autofill based on response",INDEX('Faculties'!$L$26:$L$35,MATCH($F46,'Faculties'!$B$26:$B$35,0))),"N/A")</f>
        <v/>
      </c>
      <c r="J46" s="52">
        <f>IFERROR(IF(INDEX('Faculties'!$L$42:$L$51,MATCH($F46,'Faculties'!$B$42:$B$51,0))="","Cell will autofill based on response",INDEX('Faculties'!$L$42:$L$51,MATCH($F46,'Faculties'!$B$42:$B$51,0))),"N/A")</f>
        <v/>
      </c>
      <c r="K46" s="52">
        <f>IFERROR(IF(INDEX('Faculties'!$L$58:$L$67,MATCH($F46,'Faculties'!$B$58:$B$67,0))="","Cell will autofill based on response",INDEX('Faculties'!$L$58:$L$67,MATCH($F46,'Faculties'!$B$58:$B$67,0))),"N/A")</f>
        <v/>
      </c>
      <c r="L46" s="52">
        <f>IFERROR(IF(INDEX('CI&amp;S'!$L$10:$L$15,MATCH($F46,'CI&amp;S'!$B$10:$B$15,0))="","Cell will autofill based on response",INDEX('CI&amp;S'!$L$10:$L$15,MATCH($F46,'CI&amp;S'!$B$10:$B$15,0))),"N/A")</f>
        <v/>
      </c>
      <c r="M46" s="52">
        <f>IFERROR(IF(INDEX('CI&amp;S'!$L$22:$L$36,MATCH($F46,'CI&amp;S'!$B$22:$B$36,0))="","Cell will autofill based on response",INDEX('CI&amp;S'!$L$22:$L$36,MATCH($F46,'CI&amp;S'!$B$22:$B$36,0))),"N/A")</f>
        <v/>
      </c>
      <c r="N46" s="52">
        <f>IFERROR(IF(INDEX('CFOG'!$L$10:$L$16,MATCH($F46,'CFOG'!$B$10:$B$16,0))="","Cell will autofill based on response",INDEX('CFOG'!$L$10:$L$16,MATCH($F46,'CFOG'!$B$10:$B$16,0))),"N/A")</f>
        <v/>
      </c>
      <c r="O46" s="52">
        <f>IFERROR(IF(INDEX('CFOG'!$L$23:$L$24,MATCH($F46,'CFOG'!$B$23:$B$24,0))="","Cell will autofill based on response",INDEX('CFOG'!$L$23:$L$24,MATCH($F46,'CFOG'!$B$23:$B$24,0))),"N/A")</f>
        <v/>
      </c>
      <c r="P46" s="52">
        <f>IFERROR(IF(INDEX('ESG'!$L$10:$L$17,MATCH($F46,'ESG'!$B$10:$B$17,0))="","Cell will autofill based on response",INDEX('ESG'!$L$10:$L$17,MATCH($F46,'ESG'!$B$10:$B$17,0))),"N/A")</f>
        <v/>
      </c>
      <c r="Q46" s="52">
        <f>IFERROR(IF(INDEX('CIOG'!$L$10:$L$14,MATCH($F46,'CIOG'!$B$10:$B$14,0))="","Cell will autofill based on response",INDEX('CIOG'!$L$10:$L$14,MATCH($F46,'CIOG'!$B$10:$B$14,0))),"N/A")</f>
        <v/>
      </c>
      <c r="R46" s="52">
        <f>IFERROR(IF(INDEX('MRE'!$L$10:$L$18,MATCH($F46,'MRE'!$B$10:$B$18,0))="","Cell will autofill based on response",INDEX('MRE'!$L$10:$L$18,MATCH($F46,'MRE'!$B$10:$B$18,0))),"N/A")</f>
        <v/>
      </c>
      <c r="S46" s="52">
        <f>IFERROR(IF(INDEX('AC&amp;M'!$L$10:$L$14,MATCH($F46,'AC&amp;M'!$B$10:$B$14,0))="","Cell will autofill based on response",INDEX('AC&amp;M'!$L$10:$L$14,MATCH($F46,'AC&amp;M'!$B$10:$B$14,0))),"N/A")</f>
        <v/>
      </c>
      <c r="T46" s="52">
        <f>IFERROR(IF(INDEX('GCE'!$L$10:$L$12,MATCH($F46,'GCE'!$B$10:$B$12,0))="","Cell will autofill based on response",INDEX('GCE'!$L$10:$L$12,MATCH($F46,'GCE'!$B$10:$B$12,0))),"N/A")</f>
        <v/>
      </c>
      <c r="U46" s="52">
        <f>IFERROR(IF(INDEX('Education'!$L$10:$L$13,MATCH($F46,'Education'!$B$10:$B$13,0))="","Cell will autofill based on response",INDEX('Education'!$L$10:$L$13,MATCH($F46,'Education'!$B$10:$B$13,0))),"N/A")</f>
        <v/>
      </c>
      <c r="V46" s="52">
        <f>IFERROR(IF(INDEX('SaSS'!$L$10:$L$12,MATCH($F46,'SaSS'!$B$10:$B$12,0))="","Cell will autofill based on response",INDEX('SaSS'!$L$10:$L$12,MATCH($F46,'SaSS'!$B$10:$B$12,0))),"N/A")</f>
        <v/>
      </c>
      <c r="W46" s="52">
        <f>IFERROR(IF(INDEX('Indigenous'!$L$10:$L$11,MATCH($F46,'Indigenous'!$B$10:$B$11,0))="","Cell will autofill based on response",INDEX('Indigenous'!$L$10:$L$11,MATCH($F46,'Indigenous'!$B$10:$B$11,0))),"N/A")</f>
        <v/>
      </c>
      <c r="X46" s="52">
        <f>IFERROR(IF(INDEX('L&amp;R'!$L$10:$L$11,MATCH($F46,'L&amp;R'!$B$10:$B$11,0))="","Cell will autofill based on response",INDEX('L&amp;R'!$L$10:$L$11,MATCH($F46,'L&amp;R'!$B$10:$B$11,0))),"N/A")</f>
        <v/>
      </c>
      <c r="Z46" s="10">
        <f>SUMPRODUCT(--($H46:$X46&lt;&gt;"N/A"))</f>
        <v/>
      </c>
      <c r="AA46" s="10">
        <f>SUMPRODUCT(--(((($H46:$X46&lt;&gt;"N/A")*($H46:$X46&lt;&gt;"Cell will autofill based on response"))+(($H47:$X47&lt;&gt;"N/A")*($H47:$X47&lt;&gt;"Cell will autofill based on response")))&gt;0))</f>
        <v/>
      </c>
      <c r="AB46" s="10">
        <f>Z46-AA46</f>
        <v/>
      </c>
      <c r="AC46" s="10">
        <f>COUNTIF($H50:$X50,"Yes")</f>
        <v/>
      </c>
    </row>
    <row r="47">
      <c r="A47">
        <f>F47&amp;"|"&amp;G47</f>
        <v/>
      </c>
      <c r="B47" s="13" t="inlineStr"/>
      <c r="C47" s="8" t="inlineStr"/>
      <c r="D47" s="8" t="inlineStr"/>
      <c r="E47" s="8" t="inlineStr"/>
      <c r="F47" s="8" t="inlineStr">
        <is>
          <t>TR1(d)</t>
        </is>
      </c>
      <c r="G47" s="8" t="inlineStr">
        <is>
          <t>OPTION 2:  Indicator level reporting</t>
        </is>
      </c>
      <c r="H47" s="52">
        <f>IFERROR(IF(INDEX('Faculties'!$M$10:$M$19,MATCH($F47,'Faculties'!$B$10:$B$19,0))="","Cell will autofill based on response",INDEX('Faculties'!$M$10:$M$19,MATCH($F47,'Faculties'!$B$10:$B$19,0))),"N/A")</f>
        <v/>
      </c>
      <c r="I47" s="52">
        <f>IFERROR(IF(INDEX('Faculties'!$M$26:$M$35,MATCH($F47,'Faculties'!$B$26:$B$35,0))="","Cell will autofill based on response",INDEX('Faculties'!$M$26:$M$35,MATCH($F47,'Faculties'!$B$26:$B$35,0))),"N/A")</f>
        <v/>
      </c>
      <c r="J47" s="52">
        <f>IFERROR(IF(INDEX('Faculties'!$M$42:$M$51,MATCH($F47,'Faculties'!$B$42:$B$51,0))="","Cell will autofill based on response",INDEX('Faculties'!$M$42:$M$51,MATCH($F47,'Faculties'!$B$42:$B$51,0))),"N/A")</f>
        <v/>
      </c>
      <c r="K47" s="52">
        <f>IFERROR(IF(INDEX('Faculties'!$M$58:$M$67,MATCH($F47,'Faculties'!$B$58:$B$67,0))="","Cell will autofill based on response",INDEX('Faculties'!$M$58:$M$67,MATCH($F47,'Faculties'!$B$58:$B$67,0))),"N/A")</f>
        <v/>
      </c>
      <c r="L47" s="52">
        <f>IFERROR(IF(INDEX('CI&amp;S'!$M$10:$M$15,MATCH($F47,'CI&amp;S'!$B$10:$B$15,0))="","Cell will autofill based on response",INDEX('CI&amp;S'!$M$10:$M$15,MATCH($F47,'CI&amp;S'!$B$10:$B$15,0))),"N/A")</f>
        <v/>
      </c>
      <c r="M47" s="52">
        <f>IFERROR(IF(INDEX('CI&amp;S'!$M$22:$M$36,MATCH($F47,'CI&amp;S'!$B$22:$B$36,0))="","Cell will autofill based on response",INDEX('CI&amp;S'!$M$22:$M$36,MATCH($F47,'CI&amp;S'!$B$22:$B$36,0))),"N/A")</f>
        <v/>
      </c>
      <c r="N47" s="52">
        <f>IFERROR(IF(INDEX('CFOG'!$M$10:$M$16,MATCH($F47,'CFOG'!$B$10:$B$16,0))="","Cell will autofill based on response",INDEX('CFOG'!$M$10:$M$16,MATCH($F47,'CFOG'!$B$10:$B$16,0))),"N/A")</f>
        <v/>
      </c>
      <c r="O47" s="52">
        <f>IFERROR(IF(INDEX('CFOG'!$M$23:$M$24,MATCH($F47,'CFOG'!$B$23:$B$24,0))="","Cell will autofill based on response",INDEX('CFOG'!$M$23:$M$24,MATCH($F47,'CFOG'!$B$23:$B$24,0))),"N/A")</f>
        <v/>
      </c>
      <c r="P47" s="52">
        <f>IFERROR(IF(INDEX('ESG'!$M$10:$M$17,MATCH($F47,'ESG'!$B$10:$B$17,0))="","Cell will autofill based on response",INDEX('ESG'!$M$10:$M$17,MATCH($F47,'ESG'!$B$10:$B$17,0))),"N/A")</f>
        <v/>
      </c>
      <c r="Q47" s="52">
        <f>IFERROR(IF(INDEX('CIOG'!$M$10:$M$14,MATCH($F47,'CIOG'!$B$10:$B$14,0))="","Cell will autofill based on response",INDEX('CIOG'!$M$10:$M$14,MATCH($F47,'CIOG'!$B$10:$B$14,0))),"N/A")</f>
        <v/>
      </c>
      <c r="R47" s="52">
        <f>IFERROR(IF(INDEX('MRE'!$M$10:$M$18,MATCH($F47,'MRE'!$B$10:$B$18,0))="","Cell will autofill based on response",INDEX('MRE'!$M$10:$M$18,MATCH($F47,'MRE'!$B$10:$B$18,0))),"N/A")</f>
        <v/>
      </c>
      <c r="S47" s="52">
        <f>IFERROR(IF(INDEX('AC&amp;M'!$M$10:$M$14,MATCH($F47,'AC&amp;M'!$B$10:$B$14,0))="","Cell will autofill based on response",INDEX('AC&amp;M'!$M$10:$M$14,MATCH($F47,'AC&amp;M'!$B$10:$B$14,0))),"N/A")</f>
        <v/>
      </c>
      <c r="T47" s="52">
        <f>IFERROR(IF(INDEX('GCE'!$M$10:$M$12,MATCH($F47,'GCE'!$B$10:$B$12,0))="","Cell will autofill based on response",INDEX('GCE'!$M$10:$M$12,MATCH($F47,'GCE'!$B$10:$B$12,0))),"N/A")</f>
        <v/>
      </c>
      <c r="U47" s="52">
        <f>IFERROR(IF(INDEX('Education'!$M$10:$M$13,MATCH($F47,'Education'!$B$10:$B$13,0))="","Cell will autofill based on response",INDEX('Education'!$M$10:$M$13,MATCH($F47,'Education'!$B$10:$B$13,0))),"N/A")</f>
        <v/>
      </c>
      <c r="V47" s="52">
        <f>IFERROR(IF(INDEX('SaSS'!$M$10:$M$12,MATCH($F47,'SaSS'!$B$10:$B$12,0))="","Cell will autofill based on response",INDEX('SaSS'!$M$10:$M$12,MATCH($F47,'SaSS'!$B$10:$B$12,0))),"N/A")</f>
        <v/>
      </c>
      <c r="W47" s="52">
        <f>IFERROR(IF(INDEX('Indigenous'!$M$10:$M$11,MATCH($F47,'Indigenous'!$B$10:$B$11,0))="","Cell will autofill based on response",INDEX('Indigenous'!$M$10:$M$11,MATCH($F47,'Indigenous'!$B$10:$B$11,0))),"N/A")</f>
        <v/>
      </c>
      <c r="X47" s="52">
        <f>IFERROR(IF(INDEX('L&amp;R'!$M$10:$M$11,MATCH($F47,'L&amp;R'!$B$10:$B$11,0))="","Cell will autofill based on response",INDEX('L&amp;R'!$M$10:$M$11,MATCH($F47,'L&amp;R'!$B$10:$B$11,0))),"N/A")</f>
        <v/>
      </c>
    </row>
    <row r="48">
      <c r="A48">
        <f>F48&amp;"|"&amp;G48</f>
        <v/>
      </c>
      <c r="B48" s="13" t="inlineStr"/>
      <c r="C48" s="8" t="inlineStr"/>
      <c r="D48" s="8" t="inlineStr"/>
      <c r="E48" s="8" t="inlineStr"/>
      <c r="F48" s="8" t="inlineStr">
        <is>
          <t>TR1(d)</t>
        </is>
      </c>
      <c r="G48" s="8" t="inlineStr">
        <is>
          <t>Supporting information/comments</t>
        </is>
      </c>
      <c r="H48" s="52">
        <f>IFERROR(IF(INDEX('Faculties'!$N$10:$N$19,MATCH($F48,'Faculties'!$B$10:$B$19,0))="","Cell will autofill based on response",INDEX('Faculties'!$N$10:$N$19,MATCH($F48,'Faculties'!$B$10:$B$19,0))),"N/A")</f>
        <v/>
      </c>
      <c r="I48" s="52">
        <f>IFERROR(IF(INDEX('Faculties'!$N$26:$N$35,MATCH($F48,'Faculties'!$B$26:$B$35,0))="","Cell will autofill based on response",INDEX('Faculties'!$N$26:$N$35,MATCH($F48,'Faculties'!$B$26:$B$35,0))),"N/A")</f>
        <v/>
      </c>
      <c r="J48" s="52">
        <f>IFERROR(IF(INDEX('Faculties'!$N$42:$N$51,MATCH($F48,'Faculties'!$B$42:$B$51,0))="","Cell will autofill based on response",INDEX('Faculties'!$N$42:$N$51,MATCH($F48,'Faculties'!$B$42:$B$51,0))),"N/A")</f>
        <v/>
      </c>
      <c r="K48" s="52">
        <f>IFERROR(IF(INDEX('Faculties'!$N$58:$N$67,MATCH($F48,'Faculties'!$B$58:$B$67,0))="","Cell will autofill based on response",INDEX('Faculties'!$N$58:$N$67,MATCH($F48,'Faculties'!$B$58:$B$67,0))),"N/A")</f>
        <v/>
      </c>
      <c r="L48" s="52">
        <f>IFERROR(IF(INDEX('CI&amp;S'!$N$10:$N$15,MATCH($F48,'CI&amp;S'!$B$10:$B$15,0))="","Cell will autofill based on response",INDEX('CI&amp;S'!$N$10:$N$15,MATCH($F48,'CI&amp;S'!$B$10:$B$15,0))),"N/A")</f>
        <v/>
      </c>
      <c r="M48" s="52">
        <f>IFERROR(IF(INDEX('CI&amp;S'!$N$22:$N$36,MATCH($F48,'CI&amp;S'!$B$22:$B$36,0))="","Cell will autofill based on response",INDEX('CI&amp;S'!$N$22:$N$36,MATCH($F48,'CI&amp;S'!$B$22:$B$36,0))),"N/A")</f>
        <v/>
      </c>
      <c r="N48" s="52">
        <f>IFERROR(IF(INDEX('CFOG'!$N$10:$N$16,MATCH($F48,'CFOG'!$B$10:$B$16,0))="","Cell will autofill based on response",INDEX('CFOG'!$N$10:$N$16,MATCH($F48,'CFOG'!$B$10:$B$16,0))),"N/A")</f>
        <v/>
      </c>
      <c r="O48" s="52">
        <f>IFERROR(IF(INDEX('CFOG'!$N$23:$N$24,MATCH($F48,'CFOG'!$B$23:$B$24,0))="","Cell will autofill based on response",INDEX('CFOG'!$N$23:$N$24,MATCH($F48,'CFOG'!$B$23:$B$24,0))),"N/A")</f>
        <v/>
      </c>
      <c r="P48" s="52">
        <f>IFERROR(IF(INDEX('ESG'!$N$10:$N$17,MATCH($F48,'ESG'!$B$10:$B$17,0))="","Cell will autofill based on response",INDEX('ESG'!$N$10:$N$17,MATCH($F48,'ESG'!$B$10:$B$17,0))),"N/A")</f>
        <v/>
      </c>
      <c r="Q48" s="52">
        <f>IFERROR(IF(INDEX('CIOG'!$N$10:$N$14,MATCH($F48,'CIOG'!$B$10:$B$14,0))="","Cell will autofill based on response",INDEX('CIOG'!$N$10:$N$14,MATCH($F48,'CIOG'!$B$10:$B$14,0))),"N/A")</f>
        <v/>
      </c>
      <c r="R48" s="52">
        <f>IFERROR(IF(INDEX('MRE'!$N$10:$N$18,MATCH($F48,'MRE'!$B$10:$B$18,0))="","Cell will autofill based on response",INDEX('MRE'!$N$10:$N$18,MATCH($F48,'MRE'!$B$10:$B$18,0))),"N/A")</f>
        <v/>
      </c>
      <c r="S48" s="52">
        <f>IFERROR(IF(INDEX('AC&amp;M'!$N$10:$N$14,MATCH($F48,'AC&amp;M'!$B$10:$B$14,0))="","Cell will autofill based on response",INDEX('AC&amp;M'!$N$10:$N$14,MATCH($F48,'AC&amp;M'!$B$10:$B$14,0))),"N/A")</f>
        <v/>
      </c>
      <c r="T48" s="52">
        <f>IFERROR(IF(INDEX('GCE'!$N$10:$N$12,MATCH($F48,'GCE'!$B$10:$B$12,0))="","Cell will autofill based on response",INDEX('GCE'!$N$10:$N$12,MATCH($F48,'GCE'!$B$10:$B$12,0))),"N/A")</f>
        <v/>
      </c>
      <c r="U48" s="52">
        <f>IFERROR(IF(INDEX('Education'!$N$10:$N$13,MATCH($F48,'Education'!$B$10:$B$13,0))="","Cell will autofill based on response",INDEX('Education'!$N$10:$N$13,MATCH($F48,'Education'!$B$10:$B$13,0))),"N/A")</f>
        <v/>
      </c>
      <c r="V48" s="52">
        <f>IFERROR(IF(INDEX('SaSS'!$N$10:$N$12,MATCH($F48,'SaSS'!$B$10:$B$12,0))="","Cell will autofill based on response",INDEX('SaSS'!$N$10:$N$12,MATCH($F48,'SaSS'!$B$10:$B$12,0))),"N/A")</f>
        <v/>
      </c>
      <c r="W48" s="52">
        <f>IFERROR(IF(INDEX('Indigenous'!$N$10:$N$11,MATCH($F48,'Indigenous'!$B$10:$B$11,0))="","Cell will autofill based on response",INDEX('Indigenous'!$N$10:$N$11,MATCH($F48,'Indigenous'!$B$10:$B$11,0))),"N/A")</f>
        <v/>
      </c>
      <c r="X48" s="52">
        <f>IFERROR(IF(INDEX('L&amp;R'!$N$10:$N$11,MATCH($F48,'L&amp;R'!$B$10:$B$11,0))="","Cell will autofill based on response",INDEX('L&amp;R'!$N$10:$N$11,MATCH($F48,'L&amp;R'!$B$10:$B$11,0))),"N/A")</f>
        <v/>
      </c>
    </row>
    <row r="49">
      <c r="A49">
        <f>F49&amp;"|"&amp;G49</f>
        <v/>
      </c>
      <c r="B49" s="13" t="inlineStr"/>
      <c r="C49" s="8" t="inlineStr"/>
      <c r="D49" s="8" t="inlineStr"/>
      <c r="E49" s="8" t="inlineStr"/>
      <c r="F49" s="8" t="inlineStr">
        <is>
          <t>TR1(d)</t>
        </is>
      </c>
      <c r="G49" s="8" t="inlineStr">
        <is>
          <t>Data source and limitations</t>
        </is>
      </c>
      <c r="H49" s="52">
        <f>IFERROR(IF(INDEX('Faculties'!$O$10:$O$19,MATCH($F49,'Faculties'!$B$10:$B$19,0))="","Cell will autofill based on response",INDEX('Faculties'!$O$10:$O$19,MATCH($F49,'Faculties'!$B$10:$B$19,0))),"N/A")</f>
        <v/>
      </c>
      <c r="I49" s="52">
        <f>IFERROR(IF(INDEX('Faculties'!$O$26:$O$35,MATCH($F49,'Faculties'!$B$26:$B$35,0))="","Cell will autofill based on response",INDEX('Faculties'!$O$26:$O$35,MATCH($F49,'Faculties'!$B$26:$B$35,0))),"N/A")</f>
        <v/>
      </c>
      <c r="J49" s="52">
        <f>IFERROR(IF(INDEX('Faculties'!$O$42:$O$51,MATCH($F49,'Faculties'!$B$42:$B$51,0))="","Cell will autofill based on response",INDEX('Faculties'!$O$42:$O$51,MATCH($F49,'Faculties'!$B$42:$B$51,0))),"N/A")</f>
        <v/>
      </c>
      <c r="K49" s="52">
        <f>IFERROR(IF(INDEX('Faculties'!$O$58:$O$67,MATCH($F49,'Faculties'!$B$58:$B$67,0))="","Cell will autofill based on response",INDEX('Faculties'!$O$58:$O$67,MATCH($F49,'Faculties'!$B$58:$B$67,0))),"N/A")</f>
        <v/>
      </c>
      <c r="L49" s="52">
        <f>IFERROR(IF(INDEX('CI&amp;S'!$O$10:$O$15,MATCH($F49,'CI&amp;S'!$B$10:$B$15,0))="","Cell will autofill based on response",INDEX('CI&amp;S'!$O$10:$O$15,MATCH($F49,'CI&amp;S'!$B$10:$B$15,0))),"N/A")</f>
        <v/>
      </c>
      <c r="M49" s="52">
        <f>IFERROR(IF(INDEX('CI&amp;S'!$O$22:$O$36,MATCH($F49,'CI&amp;S'!$B$22:$B$36,0))="","Cell will autofill based on response",INDEX('CI&amp;S'!$O$22:$O$36,MATCH($F49,'CI&amp;S'!$B$22:$B$36,0))),"N/A")</f>
        <v/>
      </c>
      <c r="N49" s="52">
        <f>IFERROR(IF(INDEX('CFOG'!$O$10:$O$16,MATCH($F49,'CFOG'!$B$10:$B$16,0))="","Cell will autofill based on response",INDEX('CFOG'!$O$10:$O$16,MATCH($F49,'CFOG'!$B$10:$B$16,0))),"N/A")</f>
        <v/>
      </c>
      <c r="O49" s="52">
        <f>IFERROR(IF(INDEX('CFOG'!$O$23:$O$24,MATCH($F49,'CFOG'!$B$23:$B$24,0))="","Cell will autofill based on response",INDEX('CFOG'!$O$23:$O$24,MATCH($F49,'CFOG'!$B$23:$B$24,0))),"N/A")</f>
        <v/>
      </c>
      <c r="P49" s="52">
        <f>IFERROR(IF(INDEX('ESG'!$O$10:$O$17,MATCH($F49,'ESG'!$B$10:$B$17,0))="","Cell will autofill based on response",INDEX('ESG'!$O$10:$O$17,MATCH($F49,'ESG'!$B$10:$B$17,0))),"N/A")</f>
        <v/>
      </c>
      <c r="Q49" s="52">
        <f>IFERROR(IF(INDEX('CIOG'!$O$10:$O$14,MATCH($F49,'CIOG'!$B$10:$B$14,0))="","Cell will autofill based on response",INDEX('CIOG'!$O$10:$O$14,MATCH($F49,'CIOG'!$B$10:$B$14,0))),"N/A")</f>
        <v/>
      </c>
      <c r="R49" s="52">
        <f>IFERROR(IF(INDEX('MRE'!$O$10:$O$18,MATCH($F49,'MRE'!$B$10:$B$18,0))="","Cell will autofill based on response",INDEX('MRE'!$O$10:$O$18,MATCH($F49,'MRE'!$B$10:$B$18,0))),"N/A")</f>
        <v/>
      </c>
      <c r="S49" s="52">
        <f>IFERROR(IF(INDEX('AC&amp;M'!$O$10:$O$14,MATCH($F49,'AC&amp;M'!$B$10:$B$14,0))="","Cell will autofill based on response",INDEX('AC&amp;M'!$O$10:$O$14,MATCH($F49,'AC&amp;M'!$B$10:$B$14,0))),"N/A")</f>
        <v/>
      </c>
      <c r="T49" s="52">
        <f>IFERROR(IF(INDEX('GCE'!$O$10:$O$12,MATCH($F49,'GCE'!$B$10:$B$12,0))="","Cell will autofill based on response",INDEX('GCE'!$O$10:$O$12,MATCH($F49,'GCE'!$B$10:$B$12,0))),"N/A")</f>
        <v/>
      </c>
      <c r="U49" s="52">
        <f>IFERROR(IF(INDEX('Education'!$O$10:$O$13,MATCH($F49,'Education'!$B$10:$B$13,0))="","Cell will autofill based on response",INDEX('Education'!$O$10:$O$13,MATCH($F49,'Education'!$B$10:$B$13,0))),"N/A")</f>
        <v/>
      </c>
      <c r="V49" s="52">
        <f>IFERROR(IF(INDEX('SaSS'!$O$10:$O$12,MATCH($F49,'SaSS'!$B$10:$B$12,0))="","Cell will autofill based on response",INDEX('SaSS'!$O$10:$O$12,MATCH($F49,'SaSS'!$B$10:$B$12,0))),"N/A")</f>
        <v/>
      </c>
      <c r="W49" s="52">
        <f>IFERROR(IF(INDEX('Indigenous'!$O$10:$O$11,MATCH($F49,'Indigenous'!$B$10:$B$11,0))="","Cell will autofill based on response",INDEX('Indigenous'!$O$10:$O$11,MATCH($F49,'Indigenous'!$B$10:$B$11,0))),"N/A")</f>
        <v/>
      </c>
      <c r="X49" s="52">
        <f>IFERROR(IF(INDEX('L&amp;R'!$O$10:$O$11,MATCH($F49,'L&amp;R'!$B$10:$B$11,0))="","Cell will autofill based on response",INDEX('L&amp;R'!$O$10:$O$11,MATCH($F49,'L&amp;R'!$B$10:$B$11,0))),"N/A")</f>
        <v/>
      </c>
    </row>
    <row r="50">
      <c r="A50">
        <f>F50&amp;"|"&amp;G50</f>
        <v/>
      </c>
      <c r="B50" s="13" t="inlineStr"/>
      <c r="C50" s="8" t="inlineStr"/>
      <c r="D50" s="8" t="inlineStr"/>
      <c r="E50" s="8" t="inlineStr"/>
      <c r="F50" s="8" t="inlineStr">
        <is>
          <t>TR1(d)</t>
        </is>
      </c>
      <c r="G50" s="8" t="inlineStr">
        <is>
          <t>Data owner confirms</t>
        </is>
      </c>
      <c r="H50" s="52">
        <f>IFERROR(IF(INDEX('Faculties'!$P$10:$P$19,MATCH($F50,'Faculties'!$B$10:$B$19,0))="","Cell will autofill based on response",INDEX('Faculties'!$P$10:$P$19,MATCH($F50,'Faculties'!$B$10:$B$19,0))),"N/A")</f>
        <v/>
      </c>
      <c r="I50" s="52">
        <f>IFERROR(IF(INDEX('Faculties'!$P$26:$P$35,MATCH($F50,'Faculties'!$B$26:$B$35,0))="","Cell will autofill based on response",INDEX('Faculties'!$P$26:$P$35,MATCH($F50,'Faculties'!$B$26:$B$35,0))),"N/A")</f>
        <v/>
      </c>
      <c r="J50" s="52">
        <f>IFERROR(IF(INDEX('Faculties'!$P$42:$P$51,MATCH($F50,'Faculties'!$B$42:$B$51,0))="","Cell will autofill based on response",INDEX('Faculties'!$P$42:$P$51,MATCH($F50,'Faculties'!$B$42:$B$51,0))),"N/A")</f>
        <v/>
      </c>
      <c r="K50" s="52">
        <f>IFERROR(IF(INDEX('Faculties'!$P$58:$P$67,MATCH($F50,'Faculties'!$B$58:$B$67,0))="","Cell will autofill based on response",INDEX('Faculties'!$P$58:$P$67,MATCH($F50,'Faculties'!$B$58:$B$67,0))),"N/A")</f>
        <v/>
      </c>
      <c r="L50" s="52">
        <f>IFERROR(IF(INDEX('CI&amp;S'!$P$10:$P$15,MATCH($F50,'CI&amp;S'!$B$10:$B$15,0))="","Cell will autofill based on response",INDEX('CI&amp;S'!$P$10:$P$15,MATCH($F50,'CI&amp;S'!$B$10:$B$15,0))),"N/A")</f>
        <v/>
      </c>
      <c r="M50" s="52">
        <f>IFERROR(IF(INDEX('CI&amp;S'!$P$22:$P$36,MATCH($F50,'CI&amp;S'!$B$22:$B$36,0))="","Cell will autofill based on response",INDEX('CI&amp;S'!$P$22:$P$36,MATCH($F50,'CI&amp;S'!$B$22:$B$36,0))),"N/A")</f>
        <v/>
      </c>
      <c r="N50" s="52">
        <f>IFERROR(IF(INDEX('CFOG'!$P$10:$P$16,MATCH($F50,'CFOG'!$B$10:$B$16,0))="","Cell will autofill based on response",INDEX('CFOG'!$P$10:$P$16,MATCH($F50,'CFOG'!$B$10:$B$16,0))),"N/A")</f>
        <v/>
      </c>
      <c r="O50" s="52">
        <f>IFERROR(IF(INDEX('CFOG'!$P$23:$P$24,MATCH($F50,'CFOG'!$B$23:$B$24,0))="","Cell will autofill based on response",INDEX('CFOG'!$P$23:$P$24,MATCH($F50,'CFOG'!$B$23:$B$24,0))),"N/A")</f>
        <v/>
      </c>
      <c r="P50" s="52">
        <f>IFERROR(IF(INDEX('ESG'!$P$10:$P$17,MATCH($F50,'ESG'!$B$10:$B$17,0))="","Cell will autofill based on response",INDEX('ESG'!$P$10:$P$17,MATCH($F50,'ESG'!$B$10:$B$17,0))),"N/A")</f>
        <v/>
      </c>
      <c r="Q50" s="52">
        <f>IFERROR(IF(INDEX('CIOG'!$P$10:$P$14,MATCH($F50,'CIOG'!$B$10:$B$14,0))="","Cell will autofill based on response",INDEX('CIOG'!$P$10:$P$14,MATCH($F50,'CIOG'!$B$10:$B$14,0))),"N/A")</f>
        <v/>
      </c>
      <c r="R50" s="52">
        <f>IFERROR(IF(INDEX('MRE'!$P$10:$P$18,MATCH($F50,'MRE'!$B$10:$B$18,0))="","Cell will autofill based on response",INDEX('MRE'!$P$10:$P$18,MATCH($F50,'MRE'!$B$10:$B$18,0))),"N/A")</f>
        <v/>
      </c>
      <c r="S50" s="52">
        <f>IFERROR(IF(INDEX('AC&amp;M'!$P$10:$P$14,MATCH($F50,'AC&amp;M'!$B$10:$B$14,0))="","Cell will autofill based on response",INDEX('AC&amp;M'!$P$10:$P$14,MATCH($F50,'AC&amp;M'!$B$10:$B$14,0))),"N/A")</f>
        <v/>
      </c>
      <c r="T50" s="52">
        <f>IFERROR(IF(INDEX('GCE'!$P$10:$P$12,MATCH($F50,'GCE'!$B$10:$B$12,0))="","Cell will autofill based on response",INDEX('GCE'!$P$10:$P$12,MATCH($F50,'GCE'!$B$10:$B$12,0))),"N/A")</f>
        <v/>
      </c>
      <c r="U50" s="52">
        <f>IFERROR(IF(INDEX('Education'!$P$10:$P$13,MATCH($F50,'Education'!$B$10:$B$13,0))="","Cell will autofill based on response",INDEX('Education'!$P$10:$P$13,MATCH($F50,'Education'!$B$10:$B$13,0))),"N/A")</f>
        <v/>
      </c>
      <c r="V50" s="52">
        <f>IFERROR(IF(INDEX('SaSS'!$P$10:$P$12,MATCH($F50,'SaSS'!$B$10:$B$12,0))="","Cell will autofill based on response",INDEX('SaSS'!$P$10:$P$12,MATCH($F50,'SaSS'!$B$10:$B$12,0))),"N/A")</f>
        <v/>
      </c>
      <c r="W50" s="52">
        <f>IFERROR(IF(INDEX('Indigenous'!$P$10:$P$11,MATCH($F50,'Indigenous'!$B$10:$B$11,0))="","Cell will autofill based on response",INDEX('Indigenous'!$P$10:$P$11,MATCH($F50,'Indigenous'!$B$10:$B$11,0))),"N/A")</f>
        <v/>
      </c>
      <c r="X50" s="52">
        <f>IFERROR(IF(INDEX('L&amp;R'!$P$10:$P$11,MATCH($F50,'L&amp;R'!$B$10:$B$11,0))="","Cell will autofill based on response",INDEX('L&amp;R'!$P$10:$P$11,MATCH($F50,'L&amp;R'!$B$10:$B$11,0))),"N/A")</f>
        <v/>
      </c>
    </row>
    <row r="51">
      <c r="A51">
        <f>F51&amp;"|"&amp;G51</f>
        <v/>
      </c>
      <c r="B51" s="7" t="inlineStr">
        <is>
          <t>TR2(a)</t>
        </is>
      </c>
      <c r="C51" s="50" t="inlineStr">
        <is>
          <t>Transformational research</t>
        </is>
      </c>
      <c r="D51" s="50" t="inlineStr">
        <is>
          <t>Evidence of sustainability-related research impact across diverse pathways, could include policy, industry, community, practice, cultural and institutional outcomes</t>
        </is>
      </c>
      <c r="E51" s="50"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50" t="inlineStr">
        <is>
          <t>TR2(a)</t>
        </is>
      </c>
      <c r="G51" s="50" t="inlineStr">
        <is>
          <t>OPTION 1:  Target-level reporting</t>
        </is>
      </c>
      <c r="H51" s="52">
        <f>IFERROR(IF(INDEX('Faculties'!$L$10:$L$19,MATCH($F51,'Faculties'!$B$10:$B$19,0))="","Cell will autofill based on response",INDEX('Faculties'!$L$10:$L$19,MATCH($F51,'Faculties'!$B$10:$B$19,0))),"N/A")</f>
        <v/>
      </c>
      <c r="I51" s="52">
        <f>IFERROR(IF(INDEX('Faculties'!$L$26:$L$35,MATCH($F51,'Faculties'!$B$26:$B$35,0))="","Cell will autofill based on response",INDEX('Faculties'!$L$26:$L$35,MATCH($F51,'Faculties'!$B$26:$B$35,0))),"N/A")</f>
        <v/>
      </c>
      <c r="J51" s="52">
        <f>IFERROR(IF(INDEX('Faculties'!$L$42:$L$51,MATCH($F51,'Faculties'!$B$42:$B$51,0))="","Cell will autofill based on response",INDEX('Faculties'!$L$42:$L$51,MATCH($F51,'Faculties'!$B$42:$B$51,0))),"N/A")</f>
        <v/>
      </c>
      <c r="K51" s="52">
        <f>IFERROR(IF(INDEX('Faculties'!$L$58:$L$67,MATCH($F51,'Faculties'!$B$58:$B$67,0))="","Cell will autofill based on response",INDEX('Faculties'!$L$58:$L$67,MATCH($F51,'Faculties'!$B$58:$B$67,0))),"N/A")</f>
        <v/>
      </c>
      <c r="L51" s="52">
        <f>IFERROR(IF(INDEX('CI&amp;S'!$L$10:$L$15,MATCH($F51,'CI&amp;S'!$B$10:$B$15,0))="","Cell will autofill based on response",INDEX('CI&amp;S'!$L$10:$L$15,MATCH($F51,'CI&amp;S'!$B$10:$B$15,0))),"N/A")</f>
        <v/>
      </c>
      <c r="M51" s="52">
        <f>IFERROR(IF(INDEX('CI&amp;S'!$L$22:$L$36,MATCH($F51,'CI&amp;S'!$B$22:$B$36,0))="","Cell will autofill based on response",INDEX('CI&amp;S'!$L$22:$L$36,MATCH($F51,'CI&amp;S'!$B$22:$B$36,0))),"N/A")</f>
        <v/>
      </c>
      <c r="N51" s="52">
        <f>IFERROR(IF(INDEX('CFOG'!$L$10:$L$16,MATCH($F51,'CFOG'!$B$10:$B$16,0))="","Cell will autofill based on response",INDEX('CFOG'!$L$10:$L$16,MATCH($F51,'CFOG'!$B$10:$B$16,0))),"N/A")</f>
        <v/>
      </c>
      <c r="O51" s="52">
        <f>IFERROR(IF(INDEX('CFOG'!$L$23:$L$24,MATCH($F51,'CFOG'!$B$23:$B$24,0))="","Cell will autofill based on response",INDEX('CFOG'!$L$23:$L$24,MATCH($F51,'CFOG'!$B$23:$B$24,0))),"N/A")</f>
        <v/>
      </c>
      <c r="P51" s="52">
        <f>IFERROR(IF(INDEX('ESG'!$L$10:$L$17,MATCH($F51,'ESG'!$B$10:$B$17,0))="","Cell will autofill based on response",INDEX('ESG'!$L$10:$L$17,MATCH($F51,'ESG'!$B$10:$B$17,0))),"N/A")</f>
        <v/>
      </c>
      <c r="Q51" s="52">
        <f>IFERROR(IF(INDEX('CIOG'!$L$10:$L$14,MATCH($F51,'CIOG'!$B$10:$B$14,0))="","Cell will autofill based on response",INDEX('CIOG'!$L$10:$L$14,MATCH($F51,'CIOG'!$B$10:$B$14,0))),"N/A")</f>
        <v/>
      </c>
      <c r="R51" s="52">
        <f>IFERROR(IF(INDEX('MRE'!$L$10:$L$18,MATCH($F51,'MRE'!$B$10:$B$18,0))="","Cell will autofill based on response",INDEX('MRE'!$L$10:$L$18,MATCH($F51,'MRE'!$B$10:$B$18,0))),"N/A")</f>
        <v/>
      </c>
      <c r="S51" s="52">
        <f>IFERROR(IF(INDEX('AC&amp;M'!$L$10:$L$14,MATCH($F51,'AC&amp;M'!$B$10:$B$14,0))="","Cell will autofill based on response",INDEX('AC&amp;M'!$L$10:$L$14,MATCH($F51,'AC&amp;M'!$B$10:$B$14,0))),"N/A")</f>
        <v/>
      </c>
      <c r="T51" s="52">
        <f>IFERROR(IF(INDEX('GCE'!$L$10:$L$12,MATCH($F51,'GCE'!$B$10:$B$12,0))="","Cell will autofill based on response",INDEX('GCE'!$L$10:$L$12,MATCH($F51,'GCE'!$B$10:$B$12,0))),"N/A")</f>
        <v/>
      </c>
      <c r="U51" s="52">
        <f>IFERROR(IF(INDEX('Education'!$L$10:$L$13,MATCH($F51,'Education'!$B$10:$B$13,0))="","Cell will autofill based on response",INDEX('Education'!$L$10:$L$13,MATCH($F51,'Education'!$B$10:$B$13,0))),"N/A")</f>
        <v/>
      </c>
      <c r="V51" s="52">
        <f>IFERROR(IF(INDEX('SaSS'!$L$10:$L$12,MATCH($F51,'SaSS'!$B$10:$B$12,0))="","Cell will autofill based on response",INDEX('SaSS'!$L$10:$L$12,MATCH($F51,'SaSS'!$B$10:$B$12,0))),"N/A")</f>
        <v/>
      </c>
      <c r="W51" s="52">
        <f>IFERROR(IF(INDEX('Indigenous'!$L$10:$L$11,MATCH($F51,'Indigenous'!$B$10:$B$11,0))="","Cell will autofill based on response",INDEX('Indigenous'!$L$10:$L$11,MATCH($F51,'Indigenous'!$B$10:$B$11,0))),"N/A")</f>
        <v/>
      </c>
      <c r="X51" s="52">
        <f>IFERROR(IF(INDEX('L&amp;R'!$L$10:$L$11,MATCH($F51,'L&amp;R'!$B$10:$B$11,0))="","Cell will autofill based on response",INDEX('L&amp;R'!$L$10:$L$11,MATCH($F51,'L&amp;R'!$B$10:$B$11,0))),"N/A")</f>
        <v/>
      </c>
      <c r="Z51" s="10">
        <f>SUMPRODUCT(--($H51:$X51&lt;&gt;"N/A"))</f>
        <v/>
      </c>
      <c r="AA51" s="10">
        <f>SUMPRODUCT(--(((($H51:$X51&lt;&gt;"N/A")*($H51:$X51&lt;&gt;"Cell will autofill based on response"))+(($H52:$X52&lt;&gt;"N/A")*($H52:$X52&lt;&gt;"Cell will autofill based on response")))&gt;0))</f>
        <v/>
      </c>
      <c r="AB51" s="10">
        <f>Z51-AA51</f>
        <v/>
      </c>
      <c r="AC51" s="10">
        <f>COUNTIF($H55:$X55,"Yes")</f>
        <v/>
      </c>
    </row>
    <row r="52">
      <c r="A52">
        <f>F52&amp;"|"&amp;G52</f>
        <v/>
      </c>
      <c r="B52" s="13" t="inlineStr"/>
      <c r="C52" s="8" t="inlineStr"/>
      <c r="D52" s="8" t="inlineStr"/>
      <c r="E52" s="8" t="inlineStr"/>
      <c r="F52" s="8" t="inlineStr">
        <is>
          <t>TR2(a)</t>
        </is>
      </c>
      <c r="G52" s="8" t="inlineStr">
        <is>
          <t>OPTION 2:  Indicator level reporting</t>
        </is>
      </c>
      <c r="H52" s="52">
        <f>IFERROR(IF(INDEX('Faculties'!$M$10:$M$19,MATCH($F52,'Faculties'!$B$10:$B$19,0))="","Cell will autofill based on response",INDEX('Faculties'!$M$10:$M$19,MATCH($F52,'Faculties'!$B$10:$B$19,0))),"N/A")</f>
        <v/>
      </c>
      <c r="I52" s="52">
        <f>IFERROR(IF(INDEX('Faculties'!$M$26:$M$35,MATCH($F52,'Faculties'!$B$26:$B$35,0))="","Cell will autofill based on response",INDEX('Faculties'!$M$26:$M$35,MATCH($F52,'Faculties'!$B$26:$B$35,0))),"N/A")</f>
        <v/>
      </c>
      <c r="J52" s="52">
        <f>IFERROR(IF(INDEX('Faculties'!$M$42:$M$51,MATCH($F52,'Faculties'!$B$42:$B$51,0))="","Cell will autofill based on response",INDEX('Faculties'!$M$42:$M$51,MATCH($F52,'Faculties'!$B$42:$B$51,0))),"N/A")</f>
        <v/>
      </c>
      <c r="K52" s="52">
        <f>IFERROR(IF(INDEX('Faculties'!$M$58:$M$67,MATCH($F52,'Faculties'!$B$58:$B$67,0))="","Cell will autofill based on response",INDEX('Faculties'!$M$58:$M$67,MATCH($F52,'Faculties'!$B$58:$B$67,0))),"N/A")</f>
        <v/>
      </c>
      <c r="L52" s="52">
        <f>IFERROR(IF(INDEX('CI&amp;S'!$M$10:$M$15,MATCH($F52,'CI&amp;S'!$B$10:$B$15,0))="","Cell will autofill based on response",INDEX('CI&amp;S'!$M$10:$M$15,MATCH($F52,'CI&amp;S'!$B$10:$B$15,0))),"N/A")</f>
        <v/>
      </c>
      <c r="M52" s="52">
        <f>IFERROR(IF(INDEX('CI&amp;S'!$M$22:$M$36,MATCH($F52,'CI&amp;S'!$B$22:$B$36,0))="","Cell will autofill based on response",INDEX('CI&amp;S'!$M$22:$M$36,MATCH($F52,'CI&amp;S'!$B$22:$B$36,0))),"N/A")</f>
        <v/>
      </c>
      <c r="N52" s="52">
        <f>IFERROR(IF(INDEX('CFOG'!$M$10:$M$16,MATCH($F52,'CFOG'!$B$10:$B$16,0))="","Cell will autofill based on response",INDEX('CFOG'!$M$10:$M$16,MATCH($F52,'CFOG'!$B$10:$B$16,0))),"N/A")</f>
        <v/>
      </c>
      <c r="O52" s="52">
        <f>IFERROR(IF(INDEX('CFOG'!$M$23:$M$24,MATCH($F52,'CFOG'!$B$23:$B$24,0))="","Cell will autofill based on response",INDEX('CFOG'!$M$23:$M$24,MATCH($F52,'CFOG'!$B$23:$B$24,0))),"N/A")</f>
        <v/>
      </c>
      <c r="P52" s="52">
        <f>IFERROR(IF(INDEX('ESG'!$M$10:$M$17,MATCH($F52,'ESG'!$B$10:$B$17,0))="","Cell will autofill based on response",INDEX('ESG'!$M$10:$M$17,MATCH($F52,'ESG'!$B$10:$B$17,0))),"N/A")</f>
        <v/>
      </c>
      <c r="Q52" s="52">
        <f>IFERROR(IF(INDEX('CIOG'!$M$10:$M$14,MATCH($F52,'CIOG'!$B$10:$B$14,0))="","Cell will autofill based on response",INDEX('CIOG'!$M$10:$M$14,MATCH($F52,'CIOG'!$B$10:$B$14,0))),"N/A")</f>
        <v/>
      </c>
      <c r="R52" s="52">
        <f>IFERROR(IF(INDEX('MRE'!$M$10:$M$18,MATCH($F52,'MRE'!$B$10:$B$18,0))="","Cell will autofill based on response",INDEX('MRE'!$M$10:$M$18,MATCH($F52,'MRE'!$B$10:$B$18,0))),"N/A")</f>
        <v/>
      </c>
      <c r="S52" s="52">
        <f>IFERROR(IF(INDEX('AC&amp;M'!$M$10:$M$14,MATCH($F52,'AC&amp;M'!$B$10:$B$14,0))="","Cell will autofill based on response",INDEX('AC&amp;M'!$M$10:$M$14,MATCH($F52,'AC&amp;M'!$B$10:$B$14,0))),"N/A")</f>
        <v/>
      </c>
      <c r="T52" s="52">
        <f>IFERROR(IF(INDEX('GCE'!$M$10:$M$12,MATCH($F52,'GCE'!$B$10:$B$12,0))="","Cell will autofill based on response",INDEX('GCE'!$M$10:$M$12,MATCH($F52,'GCE'!$B$10:$B$12,0))),"N/A")</f>
        <v/>
      </c>
      <c r="U52" s="52">
        <f>IFERROR(IF(INDEX('Education'!$M$10:$M$13,MATCH($F52,'Education'!$B$10:$B$13,0))="","Cell will autofill based on response",INDEX('Education'!$M$10:$M$13,MATCH($F52,'Education'!$B$10:$B$13,0))),"N/A")</f>
        <v/>
      </c>
      <c r="V52" s="52">
        <f>IFERROR(IF(INDEX('SaSS'!$M$10:$M$12,MATCH($F52,'SaSS'!$B$10:$B$12,0))="","Cell will autofill based on response",INDEX('SaSS'!$M$10:$M$12,MATCH($F52,'SaSS'!$B$10:$B$12,0))),"N/A")</f>
        <v/>
      </c>
      <c r="W52" s="52">
        <f>IFERROR(IF(INDEX('Indigenous'!$M$10:$M$11,MATCH($F52,'Indigenous'!$B$10:$B$11,0))="","Cell will autofill based on response",INDEX('Indigenous'!$M$10:$M$11,MATCH($F52,'Indigenous'!$B$10:$B$11,0))),"N/A")</f>
        <v/>
      </c>
      <c r="X52" s="52">
        <f>IFERROR(IF(INDEX('L&amp;R'!$M$10:$M$11,MATCH($F52,'L&amp;R'!$B$10:$B$11,0))="","Cell will autofill based on response",INDEX('L&amp;R'!$M$10:$M$11,MATCH($F52,'L&amp;R'!$B$10:$B$11,0))),"N/A")</f>
        <v/>
      </c>
    </row>
    <row r="53">
      <c r="A53">
        <f>F53&amp;"|"&amp;G53</f>
        <v/>
      </c>
      <c r="B53" s="13" t="inlineStr"/>
      <c r="C53" s="8" t="inlineStr"/>
      <c r="D53" s="8" t="inlineStr"/>
      <c r="E53" s="8" t="inlineStr"/>
      <c r="F53" s="8" t="inlineStr">
        <is>
          <t>TR2(a)</t>
        </is>
      </c>
      <c r="G53" s="8" t="inlineStr">
        <is>
          <t>Supporting information/comments</t>
        </is>
      </c>
      <c r="H53" s="52">
        <f>IFERROR(IF(INDEX('Faculties'!$N$10:$N$19,MATCH($F53,'Faculties'!$B$10:$B$19,0))="","Cell will autofill based on response",INDEX('Faculties'!$N$10:$N$19,MATCH($F53,'Faculties'!$B$10:$B$19,0))),"N/A")</f>
        <v/>
      </c>
      <c r="I53" s="52">
        <f>IFERROR(IF(INDEX('Faculties'!$N$26:$N$35,MATCH($F53,'Faculties'!$B$26:$B$35,0))="","Cell will autofill based on response",INDEX('Faculties'!$N$26:$N$35,MATCH($F53,'Faculties'!$B$26:$B$35,0))),"N/A")</f>
        <v/>
      </c>
      <c r="J53" s="52">
        <f>IFERROR(IF(INDEX('Faculties'!$N$42:$N$51,MATCH($F53,'Faculties'!$B$42:$B$51,0))="","Cell will autofill based on response",INDEX('Faculties'!$N$42:$N$51,MATCH($F53,'Faculties'!$B$42:$B$51,0))),"N/A")</f>
        <v/>
      </c>
      <c r="K53" s="52">
        <f>IFERROR(IF(INDEX('Faculties'!$N$58:$N$67,MATCH($F53,'Faculties'!$B$58:$B$67,0))="","Cell will autofill based on response",INDEX('Faculties'!$N$58:$N$67,MATCH($F53,'Faculties'!$B$58:$B$67,0))),"N/A")</f>
        <v/>
      </c>
      <c r="L53" s="52">
        <f>IFERROR(IF(INDEX('CI&amp;S'!$N$10:$N$15,MATCH($F53,'CI&amp;S'!$B$10:$B$15,0))="","Cell will autofill based on response",INDEX('CI&amp;S'!$N$10:$N$15,MATCH($F53,'CI&amp;S'!$B$10:$B$15,0))),"N/A")</f>
        <v/>
      </c>
      <c r="M53" s="52">
        <f>IFERROR(IF(INDEX('CI&amp;S'!$N$22:$N$36,MATCH($F53,'CI&amp;S'!$B$22:$B$36,0))="","Cell will autofill based on response",INDEX('CI&amp;S'!$N$22:$N$36,MATCH($F53,'CI&amp;S'!$B$22:$B$36,0))),"N/A")</f>
        <v/>
      </c>
      <c r="N53" s="52">
        <f>IFERROR(IF(INDEX('CFOG'!$N$10:$N$16,MATCH($F53,'CFOG'!$B$10:$B$16,0))="","Cell will autofill based on response",INDEX('CFOG'!$N$10:$N$16,MATCH($F53,'CFOG'!$B$10:$B$16,0))),"N/A")</f>
        <v/>
      </c>
      <c r="O53" s="52">
        <f>IFERROR(IF(INDEX('CFOG'!$N$23:$N$24,MATCH($F53,'CFOG'!$B$23:$B$24,0))="","Cell will autofill based on response",INDEX('CFOG'!$N$23:$N$24,MATCH($F53,'CFOG'!$B$23:$B$24,0))),"N/A")</f>
        <v/>
      </c>
      <c r="P53" s="52">
        <f>IFERROR(IF(INDEX('ESG'!$N$10:$N$17,MATCH($F53,'ESG'!$B$10:$B$17,0))="","Cell will autofill based on response",INDEX('ESG'!$N$10:$N$17,MATCH($F53,'ESG'!$B$10:$B$17,0))),"N/A")</f>
        <v/>
      </c>
      <c r="Q53" s="52">
        <f>IFERROR(IF(INDEX('CIOG'!$N$10:$N$14,MATCH($F53,'CIOG'!$B$10:$B$14,0))="","Cell will autofill based on response",INDEX('CIOG'!$N$10:$N$14,MATCH($F53,'CIOG'!$B$10:$B$14,0))),"N/A")</f>
        <v/>
      </c>
      <c r="R53" s="52">
        <f>IFERROR(IF(INDEX('MRE'!$N$10:$N$18,MATCH($F53,'MRE'!$B$10:$B$18,0))="","Cell will autofill based on response",INDEX('MRE'!$N$10:$N$18,MATCH($F53,'MRE'!$B$10:$B$18,0))),"N/A")</f>
        <v/>
      </c>
      <c r="S53" s="52">
        <f>IFERROR(IF(INDEX('AC&amp;M'!$N$10:$N$14,MATCH($F53,'AC&amp;M'!$B$10:$B$14,0))="","Cell will autofill based on response",INDEX('AC&amp;M'!$N$10:$N$14,MATCH($F53,'AC&amp;M'!$B$10:$B$14,0))),"N/A")</f>
        <v/>
      </c>
      <c r="T53" s="52">
        <f>IFERROR(IF(INDEX('GCE'!$N$10:$N$12,MATCH($F53,'GCE'!$B$10:$B$12,0))="","Cell will autofill based on response",INDEX('GCE'!$N$10:$N$12,MATCH($F53,'GCE'!$B$10:$B$12,0))),"N/A")</f>
        <v/>
      </c>
      <c r="U53" s="52">
        <f>IFERROR(IF(INDEX('Education'!$N$10:$N$13,MATCH($F53,'Education'!$B$10:$B$13,0))="","Cell will autofill based on response",INDEX('Education'!$N$10:$N$13,MATCH($F53,'Education'!$B$10:$B$13,0))),"N/A")</f>
        <v/>
      </c>
      <c r="V53" s="52">
        <f>IFERROR(IF(INDEX('SaSS'!$N$10:$N$12,MATCH($F53,'SaSS'!$B$10:$B$12,0))="","Cell will autofill based on response",INDEX('SaSS'!$N$10:$N$12,MATCH($F53,'SaSS'!$B$10:$B$12,0))),"N/A")</f>
        <v/>
      </c>
      <c r="W53" s="52">
        <f>IFERROR(IF(INDEX('Indigenous'!$N$10:$N$11,MATCH($F53,'Indigenous'!$B$10:$B$11,0))="","Cell will autofill based on response",INDEX('Indigenous'!$N$10:$N$11,MATCH($F53,'Indigenous'!$B$10:$B$11,0))),"N/A")</f>
        <v/>
      </c>
      <c r="X53" s="52">
        <f>IFERROR(IF(INDEX('L&amp;R'!$N$10:$N$11,MATCH($F53,'L&amp;R'!$B$10:$B$11,0))="","Cell will autofill based on response",INDEX('L&amp;R'!$N$10:$N$11,MATCH($F53,'L&amp;R'!$B$10:$B$11,0))),"N/A")</f>
        <v/>
      </c>
    </row>
    <row r="54">
      <c r="A54">
        <f>F54&amp;"|"&amp;G54</f>
        <v/>
      </c>
      <c r="B54" s="13" t="inlineStr"/>
      <c r="C54" s="8" t="inlineStr"/>
      <c r="D54" s="8" t="inlineStr"/>
      <c r="E54" s="8" t="inlineStr"/>
      <c r="F54" s="8" t="inlineStr">
        <is>
          <t>TR2(a)</t>
        </is>
      </c>
      <c r="G54" s="8" t="inlineStr">
        <is>
          <t>Data source and limitations</t>
        </is>
      </c>
      <c r="H54" s="52">
        <f>IFERROR(IF(INDEX('Faculties'!$O$10:$O$19,MATCH($F54,'Faculties'!$B$10:$B$19,0))="","Cell will autofill based on response",INDEX('Faculties'!$O$10:$O$19,MATCH($F54,'Faculties'!$B$10:$B$19,0))),"N/A")</f>
        <v/>
      </c>
      <c r="I54" s="52">
        <f>IFERROR(IF(INDEX('Faculties'!$O$26:$O$35,MATCH($F54,'Faculties'!$B$26:$B$35,0))="","Cell will autofill based on response",INDEX('Faculties'!$O$26:$O$35,MATCH($F54,'Faculties'!$B$26:$B$35,0))),"N/A")</f>
        <v/>
      </c>
      <c r="J54" s="52">
        <f>IFERROR(IF(INDEX('Faculties'!$O$42:$O$51,MATCH($F54,'Faculties'!$B$42:$B$51,0))="","Cell will autofill based on response",INDEX('Faculties'!$O$42:$O$51,MATCH($F54,'Faculties'!$B$42:$B$51,0))),"N/A")</f>
        <v/>
      </c>
      <c r="K54" s="52">
        <f>IFERROR(IF(INDEX('Faculties'!$O$58:$O$67,MATCH($F54,'Faculties'!$B$58:$B$67,0))="","Cell will autofill based on response",INDEX('Faculties'!$O$58:$O$67,MATCH($F54,'Faculties'!$B$58:$B$67,0))),"N/A")</f>
        <v/>
      </c>
      <c r="L54" s="52">
        <f>IFERROR(IF(INDEX('CI&amp;S'!$O$10:$O$15,MATCH($F54,'CI&amp;S'!$B$10:$B$15,0))="","Cell will autofill based on response",INDEX('CI&amp;S'!$O$10:$O$15,MATCH($F54,'CI&amp;S'!$B$10:$B$15,0))),"N/A")</f>
        <v/>
      </c>
      <c r="M54" s="52">
        <f>IFERROR(IF(INDEX('CI&amp;S'!$O$22:$O$36,MATCH($F54,'CI&amp;S'!$B$22:$B$36,0))="","Cell will autofill based on response",INDEX('CI&amp;S'!$O$22:$O$36,MATCH($F54,'CI&amp;S'!$B$22:$B$36,0))),"N/A")</f>
        <v/>
      </c>
      <c r="N54" s="52">
        <f>IFERROR(IF(INDEX('CFOG'!$O$10:$O$16,MATCH($F54,'CFOG'!$B$10:$B$16,0))="","Cell will autofill based on response",INDEX('CFOG'!$O$10:$O$16,MATCH($F54,'CFOG'!$B$10:$B$16,0))),"N/A")</f>
        <v/>
      </c>
      <c r="O54" s="52">
        <f>IFERROR(IF(INDEX('CFOG'!$O$23:$O$24,MATCH($F54,'CFOG'!$B$23:$B$24,0))="","Cell will autofill based on response",INDEX('CFOG'!$O$23:$O$24,MATCH($F54,'CFOG'!$B$23:$B$24,0))),"N/A")</f>
        <v/>
      </c>
      <c r="P54" s="52">
        <f>IFERROR(IF(INDEX('ESG'!$O$10:$O$17,MATCH($F54,'ESG'!$B$10:$B$17,0))="","Cell will autofill based on response",INDEX('ESG'!$O$10:$O$17,MATCH($F54,'ESG'!$B$10:$B$17,0))),"N/A")</f>
        <v/>
      </c>
      <c r="Q54" s="52">
        <f>IFERROR(IF(INDEX('CIOG'!$O$10:$O$14,MATCH($F54,'CIOG'!$B$10:$B$14,0))="","Cell will autofill based on response",INDEX('CIOG'!$O$10:$O$14,MATCH($F54,'CIOG'!$B$10:$B$14,0))),"N/A")</f>
        <v/>
      </c>
      <c r="R54" s="52">
        <f>IFERROR(IF(INDEX('MRE'!$O$10:$O$18,MATCH($F54,'MRE'!$B$10:$B$18,0))="","Cell will autofill based on response",INDEX('MRE'!$O$10:$O$18,MATCH($F54,'MRE'!$B$10:$B$18,0))),"N/A")</f>
        <v/>
      </c>
      <c r="S54" s="52">
        <f>IFERROR(IF(INDEX('AC&amp;M'!$O$10:$O$14,MATCH($F54,'AC&amp;M'!$B$10:$B$14,0))="","Cell will autofill based on response",INDEX('AC&amp;M'!$O$10:$O$14,MATCH($F54,'AC&amp;M'!$B$10:$B$14,0))),"N/A")</f>
        <v/>
      </c>
      <c r="T54" s="52">
        <f>IFERROR(IF(INDEX('GCE'!$O$10:$O$12,MATCH($F54,'GCE'!$B$10:$B$12,0))="","Cell will autofill based on response",INDEX('GCE'!$O$10:$O$12,MATCH($F54,'GCE'!$B$10:$B$12,0))),"N/A")</f>
        <v/>
      </c>
      <c r="U54" s="52">
        <f>IFERROR(IF(INDEX('Education'!$O$10:$O$13,MATCH($F54,'Education'!$B$10:$B$13,0))="","Cell will autofill based on response",INDEX('Education'!$O$10:$O$13,MATCH($F54,'Education'!$B$10:$B$13,0))),"N/A")</f>
        <v/>
      </c>
      <c r="V54" s="52">
        <f>IFERROR(IF(INDEX('SaSS'!$O$10:$O$12,MATCH($F54,'SaSS'!$B$10:$B$12,0))="","Cell will autofill based on response",INDEX('SaSS'!$O$10:$O$12,MATCH($F54,'SaSS'!$B$10:$B$12,0))),"N/A")</f>
        <v/>
      </c>
      <c r="W54" s="52">
        <f>IFERROR(IF(INDEX('Indigenous'!$O$10:$O$11,MATCH($F54,'Indigenous'!$B$10:$B$11,0))="","Cell will autofill based on response",INDEX('Indigenous'!$O$10:$O$11,MATCH($F54,'Indigenous'!$B$10:$B$11,0))),"N/A")</f>
        <v/>
      </c>
      <c r="X54" s="52">
        <f>IFERROR(IF(INDEX('L&amp;R'!$O$10:$O$11,MATCH($F54,'L&amp;R'!$B$10:$B$11,0))="","Cell will autofill based on response",INDEX('L&amp;R'!$O$10:$O$11,MATCH($F54,'L&amp;R'!$B$10:$B$11,0))),"N/A")</f>
        <v/>
      </c>
    </row>
    <row r="55">
      <c r="A55">
        <f>F55&amp;"|"&amp;G55</f>
        <v/>
      </c>
      <c r="B55" s="13" t="inlineStr"/>
      <c r="C55" s="8" t="inlineStr"/>
      <c r="D55" s="8" t="inlineStr"/>
      <c r="E55" s="8" t="inlineStr"/>
      <c r="F55" s="8" t="inlineStr">
        <is>
          <t>TR2(a)</t>
        </is>
      </c>
      <c r="G55" s="8" t="inlineStr">
        <is>
          <t>Data owner confirms</t>
        </is>
      </c>
      <c r="H55" s="52">
        <f>IFERROR(IF(INDEX('Faculties'!$P$10:$P$19,MATCH($F55,'Faculties'!$B$10:$B$19,0))="","Cell will autofill based on response",INDEX('Faculties'!$P$10:$P$19,MATCH($F55,'Faculties'!$B$10:$B$19,0))),"N/A")</f>
        <v/>
      </c>
      <c r="I55" s="52">
        <f>IFERROR(IF(INDEX('Faculties'!$P$26:$P$35,MATCH($F55,'Faculties'!$B$26:$B$35,0))="","Cell will autofill based on response",INDEX('Faculties'!$P$26:$P$35,MATCH($F55,'Faculties'!$B$26:$B$35,0))),"N/A")</f>
        <v/>
      </c>
      <c r="J55" s="52">
        <f>IFERROR(IF(INDEX('Faculties'!$P$42:$P$51,MATCH($F55,'Faculties'!$B$42:$B$51,0))="","Cell will autofill based on response",INDEX('Faculties'!$P$42:$P$51,MATCH($F55,'Faculties'!$B$42:$B$51,0))),"N/A")</f>
        <v/>
      </c>
      <c r="K55" s="52">
        <f>IFERROR(IF(INDEX('Faculties'!$P$58:$P$67,MATCH($F55,'Faculties'!$B$58:$B$67,0))="","Cell will autofill based on response",INDEX('Faculties'!$P$58:$P$67,MATCH($F55,'Faculties'!$B$58:$B$67,0))),"N/A")</f>
        <v/>
      </c>
      <c r="L55" s="52">
        <f>IFERROR(IF(INDEX('CI&amp;S'!$P$10:$P$15,MATCH($F55,'CI&amp;S'!$B$10:$B$15,0))="","Cell will autofill based on response",INDEX('CI&amp;S'!$P$10:$P$15,MATCH($F55,'CI&amp;S'!$B$10:$B$15,0))),"N/A")</f>
        <v/>
      </c>
      <c r="M55" s="52">
        <f>IFERROR(IF(INDEX('CI&amp;S'!$P$22:$P$36,MATCH($F55,'CI&amp;S'!$B$22:$B$36,0))="","Cell will autofill based on response",INDEX('CI&amp;S'!$P$22:$P$36,MATCH($F55,'CI&amp;S'!$B$22:$B$36,0))),"N/A")</f>
        <v/>
      </c>
      <c r="N55" s="52">
        <f>IFERROR(IF(INDEX('CFOG'!$P$10:$P$16,MATCH($F55,'CFOG'!$B$10:$B$16,0))="","Cell will autofill based on response",INDEX('CFOG'!$P$10:$P$16,MATCH($F55,'CFOG'!$B$10:$B$16,0))),"N/A")</f>
        <v/>
      </c>
      <c r="O55" s="52">
        <f>IFERROR(IF(INDEX('CFOG'!$P$23:$P$24,MATCH($F55,'CFOG'!$B$23:$B$24,0))="","Cell will autofill based on response",INDEX('CFOG'!$P$23:$P$24,MATCH($F55,'CFOG'!$B$23:$B$24,0))),"N/A")</f>
        <v/>
      </c>
      <c r="P55" s="52">
        <f>IFERROR(IF(INDEX('ESG'!$P$10:$P$17,MATCH($F55,'ESG'!$B$10:$B$17,0))="","Cell will autofill based on response",INDEX('ESG'!$P$10:$P$17,MATCH($F55,'ESG'!$B$10:$B$17,0))),"N/A")</f>
        <v/>
      </c>
      <c r="Q55" s="52">
        <f>IFERROR(IF(INDEX('CIOG'!$P$10:$P$14,MATCH($F55,'CIOG'!$B$10:$B$14,0))="","Cell will autofill based on response",INDEX('CIOG'!$P$10:$P$14,MATCH($F55,'CIOG'!$B$10:$B$14,0))),"N/A")</f>
        <v/>
      </c>
      <c r="R55" s="52">
        <f>IFERROR(IF(INDEX('MRE'!$P$10:$P$18,MATCH($F55,'MRE'!$B$10:$B$18,0))="","Cell will autofill based on response",INDEX('MRE'!$P$10:$P$18,MATCH($F55,'MRE'!$B$10:$B$18,0))),"N/A")</f>
        <v/>
      </c>
      <c r="S55" s="52">
        <f>IFERROR(IF(INDEX('AC&amp;M'!$P$10:$P$14,MATCH($F55,'AC&amp;M'!$B$10:$B$14,0))="","Cell will autofill based on response",INDEX('AC&amp;M'!$P$10:$P$14,MATCH($F55,'AC&amp;M'!$B$10:$B$14,0))),"N/A")</f>
        <v/>
      </c>
      <c r="T55" s="52">
        <f>IFERROR(IF(INDEX('GCE'!$P$10:$P$12,MATCH($F55,'GCE'!$B$10:$B$12,0))="","Cell will autofill based on response",INDEX('GCE'!$P$10:$P$12,MATCH($F55,'GCE'!$B$10:$B$12,0))),"N/A")</f>
        <v/>
      </c>
      <c r="U55" s="52">
        <f>IFERROR(IF(INDEX('Education'!$P$10:$P$13,MATCH($F55,'Education'!$B$10:$B$13,0))="","Cell will autofill based on response",INDEX('Education'!$P$10:$P$13,MATCH($F55,'Education'!$B$10:$B$13,0))),"N/A")</f>
        <v/>
      </c>
      <c r="V55" s="52">
        <f>IFERROR(IF(INDEX('SaSS'!$P$10:$P$12,MATCH($F55,'SaSS'!$B$10:$B$12,0))="","Cell will autofill based on response",INDEX('SaSS'!$P$10:$P$12,MATCH($F55,'SaSS'!$B$10:$B$12,0))),"N/A")</f>
        <v/>
      </c>
      <c r="W55" s="52">
        <f>IFERROR(IF(INDEX('Indigenous'!$P$10:$P$11,MATCH($F55,'Indigenous'!$B$10:$B$11,0))="","Cell will autofill based on response",INDEX('Indigenous'!$P$10:$P$11,MATCH($F55,'Indigenous'!$B$10:$B$11,0))),"N/A")</f>
        <v/>
      </c>
      <c r="X55" s="52">
        <f>IFERROR(IF(INDEX('L&amp;R'!$P$10:$P$11,MATCH($F55,'L&amp;R'!$B$10:$B$11,0))="","Cell will autofill based on response",INDEX('L&amp;R'!$P$10:$P$11,MATCH($F55,'L&amp;R'!$B$10:$B$11,0))),"N/A")</f>
        <v/>
      </c>
    </row>
    <row r="56">
      <c r="A56">
        <f>F56&amp;"|"&amp;G56</f>
        <v/>
      </c>
      <c r="B56" s="7" t="inlineStr">
        <is>
          <t>TR2(c)</t>
        </is>
      </c>
      <c r="C56" s="50" t="inlineStr">
        <is>
          <t>Transformational research</t>
        </is>
      </c>
      <c r="D56" s="50" t="inlineStr">
        <is>
          <t>Expert-reviewed summary of sustainability-related research outputs, outcomes and influence using available institutional evidence sources</t>
        </is>
      </c>
      <c r="E56" s="50" t="inlineStr">
        <is>
          <t>currently mapped to the SDGs using SciVal</t>
        </is>
      </c>
      <c r="F56" s="50" t="inlineStr">
        <is>
          <t>TR2(c)</t>
        </is>
      </c>
      <c r="G56" s="50" t="inlineStr">
        <is>
          <t>OPTION 1:  Target-level reporting</t>
        </is>
      </c>
      <c r="H56" s="52">
        <f>IFERROR(IF(INDEX('Faculties'!$L$10:$L$19,MATCH($F56,'Faculties'!$B$10:$B$19,0))="","Cell will autofill based on response",INDEX('Faculties'!$L$10:$L$19,MATCH($F56,'Faculties'!$B$10:$B$19,0))),"N/A")</f>
        <v/>
      </c>
      <c r="I56" s="52">
        <f>IFERROR(IF(INDEX('Faculties'!$L$26:$L$35,MATCH($F56,'Faculties'!$B$26:$B$35,0))="","Cell will autofill based on response",INDEX('Faculties'!$L$26:$L$35,MATCH($F56,'Faculties'!$B$26:$B$35,0))),"N/A")</f>
        <v/>
      </c>
      <c r="J56" s="52">
        <f>IFERROR(IF(INDEX('Faculties'!$L$42:$L$51,MATCH($F56,'Faculties'!$B$42:$B$51,0))="","Cell will autofill based on response",INDEX('Faculties'!$L$42:$L$51,MATCH($F56,'Faculties'!$B$42:$B$51,0))),"N/A")</f>
        <v/>
      </c>
      <c r="K56" s="52">
        <f>IFERROR(IF(INDEX('Faculties'!$L$58:$L$67,MATCH($F56,'Faculties'!$B$58:$B$67,0))="","Cell will autofill based on response",INDEX('Faculties'!$L$58:$L$67,MATCH($F56,'Faculties'!$B$58:$B$67,0))),"N/A")</f>
        <v/>
      </c>
      <c r="L56" s="52">
        <f>IFERROR(IF(INDEX('CI&amp;S'!$L$10:$L$15,MATCH($F56,'CI&amp;S'!$B$10:$B$15,0))="","Cell will autofill based on response",INDEX('CI&amp;S'!$L$10:$L$15,MATCH($F56,'CI&amp;S'!$B$10:$B$15,0))),"N/A")</f>
        <v/>
      </c>
      <c r="M56" s="52">
        <f>IFERROR(IF(INDEX('CI&amp;S'!$L$22:$L$36,MATCH($F56,'CI&amp;S'!$B$22:$B$36,0))="","Cell will autofill based on response",INDEX('CI&amp;S'!$L$22:$L$36,MATCH($F56,'CI&amp;S'!$B$22:$B$36,0))),"N/A")</f>
        <v/>
      </c>
      <c r="N56" s="52">
        <f>IFERROR(IF(INDEX('CFOG'!$L$10:$L$16,MATCH($F56,'CFOG'!$B$10:$B$16,0))="","Cell will autofill based on response",INDEX('CFOG'!$L$10:$L$16,MATCH($F56,'CFOG'!$B$10:$B$16,0))),"N/A")</f>
        <v/>
      </c>
      <c r="O56" s="52">
        <f>IFERROR(IF(INDEX('CFOG'!$L$23:$L$24,MATCH($F56,'CFOG'!$B$23:$B$24,0))="","Cell will autofill based on response",INDEX('CFOG'!$L$23:$L$24,MATCH($F56,'CFOG'!$B$23:$B$24,0))),"N/A")</f>
        <v/>
      </c>
      <c r="P56" s="52">
        <f>IFERROR(IF(INDEX('ESG'!$L$10:$L$17,MATCH($F56,'ESG'!$B$10:$B$17,0))="","Cell will autofill based on response",INDEX('ESG'!$L$10:$L$17,MATCH($F56,'ESG'!$B$10:$B$17,0))),"N/A")</f>
        <v/>
      </c>
      <c r="Q56" s="52">
        <f>IFERROR(IF(INDEX('CIOG'!$L$10:$L$14,MATCH($F56,'CIOG'!$B$10:$B$14,0))="","Cell will autofill based on response",INDEX('CIOG'!$L$10:$L$14,MATCH($F56,'CIOG'!$B$10:$B$14,0))),"N/A")</f>
        <v/>
      </c>
      <c r="R56" s="52">
        <f>IFERROR(IF(INDEX('MRE'!$L$10:$L$18,MATCH($F56,'MRE'!$B$10:$B$18,0))="","Cell will autofill based on response",INDEX('MRE'!$L$10:$L$18,MATCH($F56,'MRE'!$B$10:$B$18,0))),"N/A")</f>
        <v/>
      </c>
      <c r="S56" s="52">
        <f>IFERROR(IF(INDEX('AC&amp;M'!$L$10:$L$14,MATCH($F56,'AC&amp;M'!$B$10:$B$14,0))="","Cell will autofill based on response",INDEX('AC&amp;M'!$L$10:$L$14,MATCH($F56,'AC&amp;M'!$B$10:$B$14,0))),"N/A")</f>
        <v/>
      </c>
      <c r="T56" s="52">
        <f>IFERROR(IF(INDEX('GCE'!$L$10:$L$12,MATCH($F56,'GCE'!$B$10:$B$12,0))="","Cell will autofill based on response",INDEX('GCE'!$L$10:$L$12,MATCH($F56,'GCE'!$B$10:$B$12,0))),"N/A")</f>
        <v/>
      </c>
      <c r="U56" s="52">
        <f>IFERROR(IF(INDEX('Education'!$L$10:$L$13,MATCH($F56,'Education'!$B$10:$B$13,0))="","Cell will autofill based on response",INDEX('Education'!$L$10:$L$13,MATCH($F56,'Education'!$B$10:$B$13,0))),"N/A")</f>
        <v/>
      </c>
      <c r="V56" s="52">
        <f>IFERROR(IF(INDEX('SaSS'!$L$10:$L$12,MATCH($F56,'SaSS'!$B$10:$B$12,0))="","Cell will autofill based on response",INDEX('SaSS'!$L$10:$L$12,MATCH($F56,'SaSS'!$B$10:$B$12,0))),"N/A")</f>
        <v/>
      </c>
      <c r="W56" s="52">
        <f>IFERROR(IF(INDEX('Indigenous'!$L$10:$L$11,MATCH($F56,'Indigenous'!$B$10:$B$11,0))="","Cell will autofill based on response",INDEX('Indigenous'!$L$10:$L$11,MATCH($F56,'Indigenous'!$B$10:$B$11,0))),"N/A")</f>
        <v/>
      </c>
      <c r="X56" s="52">
        <f>IFERROR(IF(INDEX('L&amp;R'!$L$10:$L$11,MATCH($F56,'L&amp;R'!$B$10:$B$11,0))="","Cell will autofill based on response",INDEX('L&amp;R'!$L$10:$L$11,MATCH($F56,'L&amp;R'!$B$10:$B$11,0))),"N/A")</f>
        <v/>
      </c>
      <c r="Z56" s="10">
        <f>SUMPRODUCT(--($H56:$X56&lt;&gt;"N/A"))</f>
        <v/>
      </c>
      <c r="AA56" s="10">
        <f>SUMPRODUCT(--(((($H56:$X56&lt;&gt;"N/A")*($H56:$X56&lt;&gt;"Cell will autofill based on response"))+(($H57:$X57&lt;&gt;"N/A")*($H57:$X57&lt;&gt;"Cell will autofill based on response")))&gt;0))</f>
        <v/>
      </c>
      <c r="AB56" s="10">
        <f>Z56-AA56</f>
        <v/>
      </c>
      <c r="AC56" s="10">
        <f>COUNTIF($H60:$X60,"Yes")</f>
        <v/>
      </c>
    </row>
    <row r="57">
      <c r="A57">
        <f>F57&amp;"|"&amp;G57</f>
        <v/>
      </c>
      <c r="B57" s="13" t="inlineStr"/>
      <c r="C57" s="8" t="inlineStr"/>
      <c r="D57" s="8" t="inlineStr"/>
      <c r="E57" s="8" t="inlineStr"/>
      <c r="F57" s="8" t="inlineStr">
        <is>
          <t>TR2(c)</t>
        </is>
      </c>
      <c r="G57" s="8" t="inlineStr">
        <is>
          <t>OPTION 2:  Indicator level reporting</t>
        </is>
      </c>
      <c r="H57" s="52">
        <f>IFERROR(IF(INDEX('Faculties'!$M$10:$M$19,MATCH($F57,'Faculties'!$B$10:$B$19,0))="","Cell will autofill based on response",INDEX('Faculties'!$M$10:$M$19,MATCH($F57,'Faculties'!$B$10:$B$19,0))),"N/A")</f>
        <v/>
      </c>
      <c r="I57" s="52">
        <f>IFERROR(IF(INDEX('Faculties'!$M$26:$M$35,MATCH($F57,'Faculties'!$B$26:$B$35,0))="","Cell will autofill based on response",INDEX('Faculties'!$M$26:$M$35,MATCH($F57,'Faculties'!$B$26:$B$35,0))),"N/A")</f>
        <v/>
      </c>
      <c r="J57" s="52">
        <f>IFERROR(IF(INDEX('Faculties'!$M$42:$M$51,MATCH($F57,'Faculties'!$B$42:$B$51,0))="","Cell will autofill based on response",INDEX('Faculties'!$M$42:$M$51,MATCH($F57,'Faculties'!$B$42:$B$51,0))),"N/A")</f>
        <v/>
      </c>
      <c r="K57" s="52">
        <f>IFERROR(IF(INDEX('Faculties'!$M$58:$M$67,MATCH($F57,'Faculties'!$B$58:$B$67,0))="","Cell will autofill based on response",INDEX('Faculties'!$M$58:$M$67,MATCH($F57,'Faculties'!$B$58:$B$67,0))),"N/A")</f>
        <v/>
      </c>
      <c r="L57" s="52">
        <f>IFERROR(IF(INDEX('CI&amp;S'!$M$10:$M$15,MATCH($F57,'CI&amp;S'!$B$10:$B$15,0))="","Cell will autofill based on response",INDEX('CI&amp;S'!$M$10:$M$15,MATCH($F57,'CI&amp;S'!$B$10:$B$15,0))),"N/A")</f>
        <v/>
      </c>
      <c r="M57" s="52">
        <f>IFERROR(IF(INDEX('CI&amp;S'!$M$22:$M$36,MATCH($F57,'CI&amp;S'!$B$22:$B$36,0))="","Cell will autofill based on response",INDEX('CI&amp;S'!$M$22:$M$36,MATCH($F57,'CI&amp;S'!$B$22:$B$36,0))),"N/A")</f>
        <v/>
      </c>
      <c r="N57" s="52">
        <f>IFERROR(IF(INDEX('CFOG'!$M$10:$M$16,MATCH($F57,'CFOG'!$B$10:$B$16,0))="","Cell will autofill based on response",INDEX('CFOG'!$M$10:$M$16,MATCH($F57,'CFOG'!$B$10:$B$16,0))),"N/A")</f>
        <v/>
      </c>
      <c r="O57" s="52">
        <f>IFERROR(IF(INDEX('CFOG'!$M$23:$M$24,MATCH($F57,'CFOG'!$B$23:$B$24,0))="","Cell will autofill based on response",INDEX('CFOG'!$M$23:$M$24,MATCH($F57,'CFOG'!$B$23:$B$24,0))),"N/A")</f>
        <v/>
      </c>
      <c r="P57" s="52">
        <f>IFERROR(IF(INDEX('ESG'!$M$10:$M$17,MATCH($F57,'ESG'!$B$10:$B$17,0))="","Cell will autofill based on response",INDEX('ESG'!$M$10:$M$17,MATCH($F57,'ESG'!$B$10:$B$17,0))),"N/A")</f>
        <v/>
      </c>
      <c r="Q57" s="52">
        <f>IFERROR(IF(INDEX('CIOG'!$M$10:$M$14,MATCH($F57,'CIOG'!$B$10:$B$14,0))="","Cell will autofill based on response",INDEX('CIOG'!$M$10:$M$14,MATCH($F57,'CIOG'!$B$10:$B$14,0))),"N/A")</f>
        <v/>
      </c>
      <c r="R57" s="52">
        <f>IFERROR(IF(INDEX('MRE'!$M$10:$M$18,MATCH($F57,'MRE'!$B$10:$B$18,0))="","Cell will autofill based on response",INDEX('MRE'!$M$10:$M$18,MATCH($F57,'MRE'!$B$10:$B$18,0))),"N/A")</f>
        <v/>
      </c>
      <c r="S57" s="52">
        <f>IFERROR(IF(INDEX('AC&amp;M'!$M$10:$M$14,MATCH($F57,'AC&amp;M'!$B$10:$B$14,0))="","Cell will autofill based on response",INDEX('AC&amp;M'!$M$10:$M$14,MATCH($F57,'AC&amp;M'!$B$10:$B$14,0))),"N/A")</f>
        <v/>
      </c>
      <c r="T57" s="52">
        <f>IFERROR(IF(INDEX('GCE'!$M$10:$M$12,MATCH($F57,'GCE'!$B$10:$B$12,0))="","Cell will autofill based on response",INDEX('GCE'!$M$10:$M$12,MATCH($F57,'GCE'!$B$10:$B$12,0))),"N/A")</f>
        <v/>
      </c>
      <c r="U57" s="52">
        <f>IFERROR(IF(INDEX('Education'!$M$10:$M$13,MATCH($F57,'Education'!$B$10:$B$13,0))="","Cell will autofill based on response",INDEX('Education'!$M$10:$M$13,MATCH($F57,'Education'!$B$10:$B$13,0))),"N/A")</f>
        <v/>
      </c>
      <c r="V57" s="52">
        <f>IFERROR(IF(INDEX('SaSS'!$M$10:$M$12,MATCH($F57,'SaSS'!$B$10:$B$12,0))="","Cell will autofill based on response",INDEX('SaSS'!$M$10:$M$12,MATCH($F57,'SaSS'!$B$10:$B$12,0))),"N/A")</f>
        <v/>
      </c>
      <c r="W57" s="52">
        <f>IFERROR(IF(INDEX('Indigenous'!$M$10:$M$11,MATCH($F57,'Indigenous'!$B$10:$B$11,0))="","Cell will autofill based on response",INDEX('Indigenous'!$M$10:$M$11,MATCH($F57,'Indigenous'!$B$10:$B$11,0))),"N/A")</f>
        <v/>
      </c>
      <c r="X57" s="52">
        <f>IFERROR(IF(INDEX('L&amp;R'!$M$10:$M$11,MATCH($F57,'L&amp;R'!$B$10:$B$11,0))="","Cell will autofill based on response",INDEX('L&amp;R'!$M$10:$M$11,MATCH($F57,'L&amp;R'!$B$10:$B$11,0))),"N/A")</f>
        <v/>
      </c>
    </row>
    <row r="58">
      <c r="A58">
        <f>F58&amp;"|"&amp;G58</f>
        <v/>
      </c>
      <c r="B58" s="13" t="inlineStr"/>
      <c r="C58" s="8" t="inlineStr"/>
      <c r="D58" s="8" t="inlineStr"/>
      <c r="E58" s="8" t="inlineStr"/>
      <c r="F58" s="8" t="inlineStr">
        <is>
          <t>TR2(c)</t>
        </is>
      </c>
      <c r="G58" s="8" t="inlineStr">
        <is>
          <t>Supporting information/comments</t>
        </is>
      </c>
      <c r="H58" s="52">
        <f>IFERROR(IF(INDEX('Faculties'!$N$10:$N$19,MATCH($F58,'Faculties'!$B$10:$B$19,0))="","Cell will autofill based on response",INDEX('Faculties'!$N$10:$N$19,MATCH($F58,'Faculties'!$B$10:$B$19,0))),"N/A")</f>
        <v/>
      </c>
      <c r="I58" s="52">
        <f>IFERROR(IF(INDEX('Faculties'!$N$26:$N$35,MATCH($F58,'Faculties'!$B$26:$B$35,0))="","Cell will autofill based on response",INDEX('Faculties'!$N$26:$N$35,MATCH($F58,'Faculties'!$B$26:$B$35,0))),"N/A")</f>
        <v/>
      </c>
      <c r="J58" s="52">
        <f>IFERROR(IF(INDEX('Faculties'!$N$42:$N$51,MATCH($F58,'Faculties'!$B$42:$B$51,0))="","Cell will autofill based on response",INDEX('Faculties'!$N$42:$N$51,MATCH($F58,'Faculties'!$B$42:$B$51,0))),"N/A")</f>
        <v/>
      </c>
      <c r="K58" s="52">
        <f>IFERROR(IF(INDEX('Faculties'!$N$58:$N$67,MATCH($F58,'Faculties'!$B$58:$B$67,0))="","Cell will autofill based on response",INDEX('Faculties'!$N$58:$N$67,MATCH($F58,'Faculties'!$B$58:$B$67,0))),"N/A")</f>
        <v/>
      </c>
      <c r="L58" s="52">
        <f>IFERROR(IF(INDEX('CI&amp;S'!$N$10:$N$15,MATCH($F58,'CI&amp;S'!$B$10:$B$15,0))="","Cell will autofill based on response",INDEX('CI&amp;S'!$N$10:$N$15,MATCH($F58,'CI&amp;S'!$B$10:$B$15,0))),"N/A")</f>
        <v/>
      </c>
      <c r="M58" s="52">
        <f>IFERROR(IF(INDEX('CI&amp;S'!$N$22:$N$36,MATCH($F58,'CI&amp;S'!$B$22:$B$36,0))="","Cell will autofill based on response",INDEX('CI&amp;S'!$N$22:$N$36,MATCH($F58,'CI&amp;S'!$B$22:$B$36,0))),"N/A")</f>
        <v/>
      </c>
      <c r="N58" s="52">
        <f>IFERROR(IF(INDEX('CFOG'!$N$10:$N$16,MATCH($F58,'CFOG'!$B$10:$B$16,0))="","Cell will autofill based on response",INDEX('CFOG'!$N$10:$N$16,MATCH($F58,'CFOG'!$B$10:$B$16,0))),"N/A")</f>
        <v/>
      </c>
      <c r="O58" s="52">
        <f>IFERROR(IF(INDEX('CFOG'!$N$23:$N$24,MATCH($F58,'CFOG'!$B$23:$B$24,0))="","Cell will autofill based on response",INDEX('CFOG'!$N$23:$N$24,MATCH($F58,'CFOG'!$B$23:$B$24,0))),"N/A")</f>
        <v/>
      </c>
      <c r="P58" s="52">
        <f>IFERROR(IF(INDEX('ESG'!$N$10:$N$17,MATCH($F58,'ESG'!$B$10:$B$17,0))="","Cell will autofill based on response",INDEX('ESG'!$N$10:$N$17,MATCH($F58,'ESG'!$B$10:$B$17,0))),"N/A")</f>
        <v/>
      </c>
      <c r="Q58" s="52">
        <f>IFERROR(IF(INDEX('CIOG'!$N$10:$N$14,MATCH($F58,'CIOG'!$B$10:$B$14,0))="","Cell will autofill based on response",INDEX('CIOG'!$N$10:$N$14,MATCH($F58,'CIOG'!$B$10:$B$14,0))),"N/A")</f>
        <v/>
      </c>
      <c r="R58" s="52">
        <f>IFERROR(IF(INDEX('MRE'!$N$10:$N$18,MATCH($F58,'MRE'!$B$10:$B$18,0))="","Cell will autofill based on response",INDEX('MRE'!$N$10:$N$18,MATCH($F58,'MRE'!$B$10:$B$18,0))),"N/A")</f>
        <v/>
      </c>
      <c r="S58" s="52">
        <f>IFERROR(IF(INDEX('AC&amp;M'!$N$10:$N$14,MATCH($F58,'AC&amp;M'!$B$10:$B$14,0))="","Cell will autofill based on response",INDEX('AC&amp;M'!$N$10:$N$14,MATCH($F58,'AC&amp;M'!$B$10:$B$14,0))),"N/A")</f>
        <v/>
      </c>
      <c r="T58" s="52">
        <f>IFERROR(IF(INDEX('GCE'!$N$10:$N$12,MATCH($F58,'GCE'!$B$10:$B$12,0))="","Cell will autofill based on response",INDEX('GCE'!$N$10:$N$12,MATCH($F58,'GCE'!$B$10:$B$12,0))),"N/A")</f>
        <v/>
      </c>
      <c r="U58" s="52">
        <f>IFERROR(IF(INDEX('Education'!$N$10:$N$13,MATCH($F58,'Education'!$B$10:$B$13,0))="","Cell will autofill based on response",INDEX('Education'!$N$10:$N$13,MATCH($F58,'Education'!$B$10:$B$13,0))),"N/A")</f>
        <v/>
      </c>
      <c r="V58" s="52">
        <f>IFERROR(IF(INDEX('SaSS'!$N$10:$N$12,MATCH($F58,'SaSS'!$B$10:$B$12,0))="","Cell will autofill based on response",INDEX('SaSS'!$N$10:$N$12,MATCH($F58,'SaSS'!$B$10:$B$12,0))),"N/A")</f>
        <v/>
      </c>
      <c r="W58" s="52">
        <f>IFERROR(IF(INDEX('Indigenous'!$N$10:$N$11,MATCH($F58,'Indigenous'!$B$10:$B$11,0))="","Cell will autofill based on response",INDEX('Indigenous'!$N$10:$N$11,MATCH($F58,'Indigenous'!$B$10:$B$11,0))),"N/A")</f>
        <v/>
      </c>
      <c r="X58" s="52">
        <f>IFERROR(IF(INDEX('L&amp;R'!$N$10:$N$11,MATCH($F58,'L&amp;R'!$B$10:$B$11,0))="","Cell will autofill based on response",INDEX('L&amp;R'!$N$10:$N$11,MATCH($F58,'L&amp;R'!$B$10:$B$11,0))),"N/A")</f>
        <v/>
      </c>
    </row>
    <row r="59">
      <c r="A59">
        <f>F59&amp;"|"&amp;G59</f>
        <v/>
      </c>
      <c r="B59" s="13" t="inlineStr"/>
      <c r="C59" s="8" t="inlineStr"/>
      <c r="D59" s="8" t="inlineStr"/>
      <c r="E59" s="8" t="inlineStr"/>
      <c r="F59" s="8" t="inlineStr">
        <is>
          <t>TR2(c)</t>
        </is>
      </c>
      <c r="G59" s="8" t="inlineStr">
        <is>
          <t>Data source and limitations</t>
        </is>
      </c>
      <c r="H59" s="52">
        <f>IFERROR(IF(INDEX('Faculties'!$O$10:$O$19,MATCH($F59,'Faculties'!$B$10:$B$19,0))="","Cell will autofill based on response",INDEX('Faculties'!$O$10:$O$19,MATCH($F59,'Faculties'!$B$10:$B$19,0))),"N/A")</f>
        <v/>
      </c>
      <c r="I59" s="52">
        <f>IFERROR(IF(INDEX('Faculties'!$O$26:$O$35,MATCH($F59,'Faculties'!$B$26:$B$35,0))="","Cell will autofill based on response",INDEX('Faculties'!$O$26:$O$35,MATCH($F59,'Faculties'!$B$26:$B$35,0))),"N/A")</f>
        <v/>
      </c>
      <c r="J59" s="52">
        <f>IFERROR(IF(INDEX('Faculties'!$O$42:$O$51,MATCH($F59,'Faculties'!$B$42:$B$51,0))="","Cell will autofill based on response",INDEX('Faculties'!$O$42:$O$51,MATCH($F59,'Faculties'!$B$42:$B$51,0))),"N/A")</f>
        <v/>
      </c>
      <c r="K59" s="52">
        <f>IFERROR(IF(INDEX('Faculties'!$O$58:$O$67,MATCH($F59,'Faculties'!$B$58:$B$67,0))="","Cell will autofill based on response",INDEX('Faculties'!$O$58:$O$67,MATCH($F59,'Faculties'!$B$58:$B$67,0))),"N/A")</f>
        <v/>
      </c>
      <c r="L59" s="52">
        <f>IFERROR(IF(INDEX('CI&amp;S'!$O$10:$O$15,MATCH($F59,'CI&amp;S'!$B$10:$B$15,0))="","Cell will autofill based on response",INDEX('CI&amp;S'!$O$10:$O$15,MATCH($F59,'CI&amp;S'!$B$10:$B$15,0))),"N/A")</f>
        <v/>
      </c>
      <c r="M59" s="52">
        <f>IFERROR(IF(INDEX('CI&amp;S'!$O$22:$O$36,MATCH($F59,'CI&amp;S'!$B$22:$B$36,0))="","Cell will autofill based on response",INDEX('CI&amp;S'!$O$22:$O$36,MATCH($F59,'CI&amp;S'!$B$22:$B$36,0))),"N/A")</f>
        <v/>
      </c>
      <c r="N59" s="52">
        <f>IFERROR(IF(INDEX('CFOG'!$O$10:$O$16,MATCH($F59,'CFOG'!$B$10:$B$16,0))="","Cell will autofill based on response",INDEX('CFOG'!$O$10:$O$16,MATCH($F59,'CFOG'!$B$10:$B$16,0))),"N/A")</f>
        <v/>
      </c>
      <c r="O59" s="52">
        <f>IFERROR(IF(INDEX('CFOG'!$O$23:$O$24,MATCH($F59,'CFOG'!$B$23:$B$24,0))="","Cell will autofill based on response",INDEX('CFOG'!$O$23:$O$24,MATCH($F59,'CFOG'!$B$23:$B$24,0))),"N/A")</f>
        <v/>
      </c>
      <c r="P59" s="52">
        <f>IFERROR(IF(INDEX('ESG'!$O$10:$O$17,MATCH($F59,'ESG'!$B$10:$B$17,0))="","Cell will autofill based on response",INDEX('ESG'!$O$10:$O$17,MATCH($F59,'ESG'!$B$10:$B$17,0))),"N/A")</f>
        <v/>
      </c>
      <c r="Q59" s="52">
        <f>IFERROR(IF(INDEX('CIOG'!$O$10:$O$14,MATCH($F59,'CIOG'!$B$10:$B$14,0))="","Cell will autofill based on response",INDEX('CIOG'!$O$10:$O$14,MATCH($F59,'CIOG'!$B$10:$B$14,0))),"N/A")</f>
        <v/>
      </c>
      <c r="R59" s="52">
        <f>IFERROR(IF(INDEX('MRE'!$O$10:$O$18,MATCH($F59,'MRE'!$B$10:$B$18,0))="","Cell will autofill based on response",INDEX('MRE'!$O$10:$O$18,MATCH($F59,'MRE'!$B$10:$B$18,0))),"N/A")</f>
        <v/>
      </c>
      <c r="S59" s="52">
        <f>IFERROR(IF(INDEX('AC&amp;M'!$O$10:$O$14,MATCH($F59,'AC&amp;M'!$B$10:$B$14,0))="","Cell will autofill based on response",INDEX('AC&amp;M'!$O$10:$O$14,MATCH($F59,'AC&amp;M'!$B$10:$B$14,0))),"N/A")</f>
        <v/>
      </c>
      <c r="T59" s="52">
        <f>IFERROR(IF(INDEX('GCE'!$O$10:$O$12,MATCH($F59,'GCE'!$B$10:$B$12,0))="","Cell will autofill based on response",INDEX('GCE'!$O$10:$O$12,MATCH($F59,'GCE'!$B$10:$B$12,0))),"N/A")</f>
        <v/>
      </c>
      <c r="U59" s="52">
        <f>IFERROR(IF(INDEX('Education'!$O$10:$O$13,MATCH($F59,'Education'!$B$10:$B$13,0))="","Cell will autofill based on response",INDEX('Education'!$O$10:$O$13,MATCH($F59,'Education'!$B$10:$B$13,0))),"N/A")</f>
        <v/>
      </c>
      <c r="V59" s="52">
        <f>IFERROR(IF(INDEX('SaSS'!$O$10:$O$12,MATCH($F59,'SaSS'!$B$10:$B$12,0))="","Cell will autofill based on response",INDEX('SaSS'!$O$10:$O$12,MATCH($F59,'SaSS'!$B$10:$B$12,0))),"N/A")</f>
        <v/>
      </c>
      <c r="W59" s="52">
        <f>IFERROR(IF(INDEX('Indigenous'!$O$10:$O$11,MATCH($F59,'Indigenous'!$B$10:$B$11,0))="","Cell will autofill based on response",INDEX('Indigenous'!$O$10:$O$11,MATCH($F59,'Indigenous'!$B$10:$B$11,0))),"N/A")</f>
        <v/>
      </c>
      <c r="X59" s="52">
        <f>IFERROR(IF(INDEX('L&amp;R'!$O$10:$O$11,MATCH($F59,'L&amp;R'!$B$10:$B$11,0))="","Cell will autofill based on response",INDEX('L&amp;R'!$O$10:$O$11,MATCH($F59,'L&amp;R'!$B$10:$B$11,0))),"N/A")</f>
        <v/>
      </c>
    </row>
    <row r="60">
      <c r="A60">
        <f>F60&amp;"|"&amp;G60</f>
        <v/>
      </c>
      <c r="B60" s="13" t="inlineStr"/>
      <c r="C60" s="8" t="inlineStr"/>
      <c r="D60" s="8" t="inlineStr"/>
      <c r="E60" s="8" t="inlineStr"/>
      <c r="F60" s="8" t="inlineStr">
        <is>
          <t>TR2(c)</t>
        </is>
      </c>
      <c r="G60" s="8" t="inlineStr">
        <is>
          <t>Data owner confirms</t>
        </is>
      </c>
      <c r="H60" s="52">
        <f>IFERROR(IF(INDEX('Faculties'!$P$10:$P$19,MATCH($F60,'Faculties'!$B$10:$B$19,0))="","Cell will autofill based on response",INDEX('Faculties'!$P$10:$P$19,MATCH($F60,'Faculties'!$B$10:$B$19,0))),"N/A")</f>
        <v/>
      </c>
      <c r="I60" s="52">
        <f>IFERROR(IF(INDEX('Faculties'!$P$26:$P$35,MATCH($F60,'Faculties'!$B$26:$B$35,0))="","Cell will autofill based on response",INDEX('Faculties'!$P$26:$P$35,MATCH($F60,'Faculties'!$B$26:$B$35,0))),"N/A")</f>
        <v/>
      </c>
      <c r="J60" s="52">
        <f>IFERROR(IF(INDEX('Faculties'!$P$42:$P$51,MATCH($F60,'Faculties'!$B$42:$B$51,0))="","Cell will autofill based on response",INDEX('Faculties'!$P$42:$P$51,MATCH($F60,'Faculties'!$B$42:$B$51,0))),"N/A")</f>
        <v/>
      </c>
      <c r="K60" s="52">
        <f>IFERROR(IF(INDEX('Faculties'!$P$58:$P$67,MATCH($F60,'Faculties'!$B$58:$B$67,0))="","Cell will autofill based on response",INDEX('Faculties'!$P$58:$P$67,MATCH($F60,'Faculties'!$B$58:$B$67,0))),"N/A")</f>
        <v/>
      </c>
      <c r="L60" s="52">
        <f>IFERROR(IF(INDEX('CI&amp;S'!$P$10:$P$15,MATCH($F60,'CI&amp;S'!$B$10:$B$15,0))="","Cell will autofill based on response",INDEX('CI&amp;S'!$P$10:$P$15,MATCH($F60,'CI&amp;S'!$B$10:$B$15,0))),"N/A")</f>
        <v/>
      </c>
      <c r="M60" s="52">
        <f>IFERROR(IF(INDEX('CI&amp;S'!$P$22:$P$36,MATCH($F60,'CI&amp;S'!$B$22:$B$36,0))="","Cell will autofill based on response",INDEX('CI&amp;S'!$P$22:$P$36,MATCH($F60,'CI&amp;S'!$B$22:$B$36,0))),"N/A")</f>
        <v/>
      </c>
      <c r="N60" s="52">
        <f>IFERROR(IF(INDEX('CFOG'!$P$10:$P$16,MATCH($F60,'CFOG'!$B$10:$B$16,0))="","Cell will autofill based on response",INDEX('CFOG'!$P$10:$P$16,MATCH($F60,'CFOG'!$B$10:$B$16,0))),"N/A")</f>
        <v/>
      </c>
      <c r="O60" s="52">
        <f>IFERROR(IF(INDEX('CFOG'!$P$23:$P$24,MATCH($F60,'CFOG'!$B$23:$B$24,0))="","Cell will autofill based on response",INDEX('CFOG'!$P$23:$P$24,MATCH($F60,'CFOG'!$B$23:$B$24,0))),"N/A")</f>
        <v/>
      </c>
      <c r="P60" s="52">
        <f>IFERROR(IF(INDEX('ESG'!$P$10:$P$17,MATCH($F60,'ESG'!$B$10:$B$17,0))="","Cell will autofill based on response",INDEX('ESG'!$P$10:$P$17,MATCH($F60,'ESG'!$B$10:$B$17,0))),"N/A")</f>
        <v/>
      </c>
      <c r="Q60" s="52">
        <f>IFERROR(IF(INDEX('CIOG'!$P$10:$P$14,MATCH($F60,'CIOG'!$B$10:$B$14,0))="","Cell will autofill based on response",INDEX('CIOG'!$P$10:$P$14,MATCH($F60,'CIOG'!$B$10:$B$14,0))),"N/A")</f>
        <v/>
      </c>
      <c r="R60" s="52">
        <f>IFERROR(IF(INDEX('MRE'!$P$10:$P$18,MATCH($F60,'MRE'!$B$10:$B$18,0))="","Cell will autofill based on response",INDEX('MRE'!$P$10:$P$18,MATCH($F60,'MRE'!$B$10:$B$18,0))),"N/A")</f>
        <v/>
      </c>
      <c r="S60" s="52">
        <f>IFERROR(IF(INDEX('AC&amp;M'!$P$10:$P$14,MATCH($F60,'AC&amp;M'!$B$10:$B$14,0))="","Cell will autofill based on response",INDEX('AC&amp;M'!$P$10:$P$14,MATCH($F60,'AC&amp;M'!$B$10:$B$14,0))),"N/A")</f>
        <v/>
      </c>
      <c r="T60" s="52">
        <f>IFERROR(IF(INDEX('GCE'!$P$10:$P$12,MATCH($F60,'GCE'!$B$10:$B$12,0))="","Cell will autofill based on response",INDEX('GCE'!$P$10:$P$12,MATCH($F60,'GCE'!$B$10:$B$12,0))),"N/A")</f>
        <v/>
      </c>
      <c r="U60" s="52">
        <f>IFERROR(IF(INDEX('Education'!$P$10:$P$13,MATCH($F60,'Education'!$B$10:$B$13,0))="","Cell will autofill based on response",INDEX('Education'!$P$10:$P$13,MATCH($F60,'Education'!$B$10:$B$13,0))),"N/A")</f>
        <v/>
      </c>
      <c r="V60" s="52">
        <f>IFERROR(IF(INDEX('SaSS'!$P$10:$P$12,MATCH($F60,'SaSS'!$B$10:$B$12,0))="","Cell will autofill based on response",INDEX('SaSS'!$P$10:$P$12,MATCH($F60,'SaSS'!$B$10:$B$12,0))),"N/A")</f>
        <v/>
      </c>
      <c r="W60" s="52">
        <f>IFERROR(IF(INDEX('Indigenous'!$P$10:$P$11,MATCH($F60,'Indigenous'!$B$10:$B$11,0))="","Cell will autofill based on response",INDEX('Indigenous'!$P$10:$P$11,MATCH($F60,'Indigenous'!$B$10:$B$11,0))),"N/A")</f>
        <v/>
      </c>
      <c r="X60" s="52">
        <f>IFERROR(IF(INDEX('L&amp;R'!$P$10:$P$11,MATCH($F60,'L&amp;R'!$B$10:$B$11,0))="","Cell will autofill based on response",INDEX('L&amp;R'!$P$10:$P$11,MATCH($F60,'L&amp;R'!$B$10:$B$11,0))),"N/A")</f>
        <v/>
      </c>
    </row>
    <row r="61">
      <c r="A61">
        <f>F61&amp;"|"&amp;G61</f>
        <v/>
      </c>
      <c r="B61" s="7" t="inlineStr">
        <is>
          <t>TR2(d)</t>
        </is>
      </c>
      <c r="C61" s="50" t="inlineStr">
        <is>
          <t>Transformational research</t>
        </is>
      </c>
      <c r="D61" s="50" t="inlineStr">
        <is>
          <t>Case-based evidence demonstrating how research has contributed to meaningful sustainability outcomes.</t>
        </is>
      </c>
      <c r="E61" s="50"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50" t="inlineStr">
        <is>
          <t>TR2(d)</t>
        </is>
      </c>
      <c r="G61" s="50" t="inlineStr">
        <is>
          <t>OPTION 1:  Target-level reporting</t>
        </is>
      </c>
      <c r="H61" s="52">
        <f>IFERROR(IF(INDEX('Faculties'!$L$10:$L$19,MATCH($F61,'Faculties'!$B$10:$B$19,0))="","Cell will autofill based on response",INDEX('Faculties'!$L$10:$L$19,MATCH($F61,'Faculties'!$B$10:$B$19,0))),"N/A")</f>
        <v/>
      </c>
      <c r="I61" s="52">
        <f>IFERROR(IF(INDEX('Faculties'!$L$26:$L$35,MATCH($F61,'Faculties'!$B$26:$B$35,0))="","Cell will autofill based on response",INDEX('Faculties'!$L$26:$L$35,MATCH($F61,'Faculties'!$B$26:$B$35,0))),"N/A")</f>
        <v/>
      </c>
      <c r="J61" s="52">
        <f>IFERROR(IF(INDEX('Faculties'!$L$42:$L$51,MATCH($F61,'Faculties'!$B$42:$B$51,0))="","Cell will autofill based on response",INDEX('Faculties'!$L$42:$L$51,MATCH($F61,'Faculties'!$B$42:$B$51,0))),"N/A")</f>
        <v/>
      </c>
      <c r="K61" s="52">
        <f>IFERROR(IF(INDEX('Faculties'!$L$58:$L$67,MATCH($F61,'Faculties'!$B$58:$B$67,0))="","Cell will autofill based on response",INDEX('Faculties'!$L$58:$L$67,MATCH($F61,'Faculties'!$B$58:$B$67,0))),"N/A")</f>
        <v/>
      </c>
      <c r="L61" s="52">
        <f>IFERROR(IF(INDEX('CI&amp;S'!$L$10:$L$15,MATCH($F61,'CI&amp;S'!$B$10:$B$15,0))="","Cell will autofill based on response",INDEX('CI&amp;S'!$L$10:$L$15,MATCH($F61,'CI&amp;S'!$B$10:$B$15,0))),"N/A")</f>
        <v/>
      </c>
      <c r="M61" s="52">
        <f>IFERROR(IF(INDEX('CI&amp;S'!$L$22:$L$36,MATCH($F61,'CI&amp;S'!$B$22:$B$36,0))="","Cell will autofill based on response",INDEX('CI&amp;S'!$L$22:$L$36,MATCH($F61,'CI&amp;S'!$B$22:$B$36,0))),"N/A")</f>
        <v/>
      </c>
      <c r="N61" s="52">
        <f>IFERROR(IF(INDEX('CFOG'!$L$10:$L$16,MATCH($F61,'CFOG'!$B$10:$B$16,0))="","Cell will autofill based on response",INDEX('CFOG'!$L$10:$L$16,MATCH($F61,'CFOG'!$B$10:$B$16,0))),"N/A")</f>
        <v/>
      </c>
      <c r="O61" s="52">
        <f>IFERROR(IF(INDEX('CFOG'!$L$23:$L$24,MATCH($F61,'CFOG'!$B$23:$B$24,0))="","Cell will autofill based on response",INDEX('CFOG'!$L$23:$L$24,MATCH($F61,'CFOG'!$B$23:$B$24,0))),"N/A")</f>
        <v/>
      </c>
      <c r="P61" s="52">
        <f>IFERROR(IF(INDEX('ESG'!$L$10:$L$17,MATCH($F61,'ESG'!$B$10:$B$17,0))="","Cell will autofill based on response",INDEX('ESG'!$L$10:$L$17,MATCH($F61,'ESG'!$B$10:$B$17,0))),"N/A")</f>
        <v/>
      </c>
      <c r="Q61" s="52">
        <f>IFERROR(IF(INDEX('CIOG'!$L$10:$L$14,MATCH($F61,'CIOG'!$B$10:$B$14,0))="","Cell will autofill based on response",INDEX('CIOG'!$L$10:$L$14,MATCH($F61,'CIOG'!$B$10:$B$14,0))),"N/A")</f>
        <v/>
      </c>
      <c r="R61" s="52">
        <f>IFERROR(IF(INDEX('MRE'!$L$10:$L$18,MATCH($F61,'MRE'!$B$10:$B$18,0))="","Cell will autofill based on response",INDEX('MRE'!$L$10:$L$18,MATCH($F61,'MRE'!$B$10:$B$18,0))),"N/A")</f>
        <v/>
      </c>
      <c r="S61" s="52">
        <f>IFERROR(IF(INDEX('AC&amp;M'!$L$10:$L$14,MATCH($F61,'AC&amp;M'!$B$10:$B$14,0))="","Cell will autofill based on response",INDEX('AC&amp;M'!$L$10:$L$14,MATCH($F61,'AC&amp;M'!$B$10:$B$14,0))),"N/A")</f>
        <v/>
      </c>
      <c r="T61" s="52">
        <f>IFERROR(IF(INDEX('GCE'!$L$10:$L$12,MATCH($F61,'GCE'!$B$10:$B$12,0))="","Cell will autofill based on response",INDEX('GCE'!$L$10:$L$12,MATCH($F61,'GCE'!$B$10:$B$12,0))),"N/A")</f>
        <v/>
      </c>
      <c r="U61" s="52">
        <f>IFERROR(IF(INDEX('Education'!$L$10:$L$13,MATCH($F61,'Education'!$B$10:$B$13,0))="","Cell will autofill based on response",INDEX('Education'!$L$10:$L$13,MATCH($F61,'Education'!$B$10:$B$13,0))),"N/A")</f>
        <v/>
      </c>
      <c r="V61" s="52">
        <f>IFERROR(IF(INDEX('SaSS'!$L$10:$L$12,MATCH($F61,'SaSS'!$B$10:$B$12,0))="","Cell will autofill based on response",INDEX('SaSS'!$L$10:$L$12,MATCH($F61,'SaSS'!$B$10:$B$12,0))),"N/A")</f>
        <v/>
      </c>
      <c r="W61" s="52">
        <f>IFERROR(IF(INDEX('Indigenous'!$L$10:$L$11,MATCH($F61,'Indigenous'!$B$10:$B$11,0))="","Cell will autofill based on response",INDEX('Indigenous'!$L$10:$L$11,MATCH($F61,'Indigenous'!$B$10:$B$11,0))),"N/A")</f>
        <v/>
      </c>
      <c r="X61" s="52">
        <f>IFERROR(IF(INDEX('L&amp;R'!$L$10:$L$11,MATCH($F61,'L&amp;R'!$B$10:$B$11,0))="","Cell will autofill based on response",INDEX('L&amp;R'!$L$10:$L$11,MATCH($F61,'L&amp;R'!$B$10:$B$11,0))),"N/A")</f>
        <v/>
      </c>
      <c r="Z61" s="10">
        <f>SUMPRODUCT(--($H61:$X61&lt;&gt;"N/A"))</f>
        <v/>
      </c>
      <c r="AA61" s="10">
        <f>SUMPRODUCT(--(((($H61:$X61&lt;&gt;"N/A")*($H61:$X61&lt;&gt;"Cell will autofill based on response"))+(($H62:$X62&lt;&gt;"N/A")*($H62:$X62&lt;&gt;"Cell will autofill based on response")))&gt;0))</f>
        <v/>
      </c>
      <c r="AB61" s="10">
        <f>Z61-AA61</f>
        <v/>
      </c>
      <c r="AC61" s="10">
        <f>COUNTIF($H65:$X65,"Yes")</f>
        <v/>
      </c>
    </row>
    <row r="62">
      <c r="A62">
        <f>F62&amp;"|"&amp;G62</f>
        <v/>
      </c>
      <c r="B62" s="13" t="inlineStr"/>
      <c r="C62" s="8" t="inlineStr"/>
      <c r="D62" s="8" t="inlineStr"/>
      <c r="E62" s="8" t="inlineStr"/>
      <c r="F62" s="8" t="inlineStr">
        <is>
          <t>TR2(d)</t>
        </is>
      </c>
      <c r="G62" s="8" t="inlineStr">
        <is>
          <t>OPTION 2:  Indicator level reporting</t>
        </is>
      </c>
      <c r="H62" s="52">
        <f>IFERROR(IF(INDEX('Faculties'!$M$10:$M$19,MATCH($F62,'Faculties'!$B$10:$B$19,0))="","Cell will autofill based on response",INDEX('Faculties'!$M$10:$M$19,MATCH($F62,'Faculties'!$B$10:$B$19,0))),"N/A")</f>
        <v/>
      </c>
      <c r="I62" s="52">
        <f>IFERROR(IF(INDEX('Faculties'!$M$26:$M$35,MATCH($F62,'Faculties'!$B$26:$B$35,0))="","Cell will autofill based on response",INDEX('Faculties'!$M$26:$M$35,MATCH($F62,'Faculties'!$B$26:$B$35,0))),"N/A")</f>
        <v/>
      </c>
      <c r="J62" s="52">
        <f>IFERROR(IF(INDEX('Faculties'!$M$42:$M$51,MATCH($F62,'Faculties'!$B$42:$B$51,0))="","Cell will autofill based on response",INDEX('Faculties'!$M$42:$M$51,MATCH($F62,'Faculties'!$B$42:$B$51,0))),"N/A")</f>
        <v/>
      </c>
      <c r="K62" s="52">
        <f>IFERROR(IF(INDEX('Faculties'!$M$58:$M$67,MATCH($F62,'Faculties'!$B$58:$B$67,0))="","Cell will autofill based on response",INDEX('Faculties'!$M$58:$M$67,MATCH($F62,'Faculties'!$B$58:$B$67,0))),"N/A")</f>
        <v/>
      </c>
      <c r="L62" s="52">
        <f>IFERROR(IF(INDEX('CI&amp;S'!$M$10:$M$15,MATCH($F62,'CI&amp;S'!$B$10:$B$15,0))="","Cell will autofill based on response",INDEX('CI&amp;S'!$M$10:$M$15,MATCH($F62,'CI&amp;S'!$B$10:$B$15,0))),"N/A")</f>
        <v/>
      </c>
      <c r="M62" s="52">
        <f>IFERROR(IF(INDEX('CI&amp;S'!$M$22:$M$36,MATCH($F62,'CI&amp;S'!$B$22:$B$36,0))="","Cell will autofill based on response",INDEX('CI&amp;S'!$M$22:$M$36,MATCH($F62,'CI&amp;S'!$B$22:$B$36,0))),"N/A")</f>
        <v/>
      </c>
      <c r="N62" s="52">
        <f>IFERROR(IF(INDEX('CFOG'!$M$10:$M$16,MATCH($F62,'CFOG'!$B$10:$B$16,0))="","Cell will autofill based on response",INDEX('CFOG'!$M$10:$M$16,MATCH($F62,'CFOG'!$B$10:$B$16,0))),"N/A")</f>
        <v/>
      </c>
      <c r="O62" s="52">
        <f>IFERROR(IF(INDEX('CFOG'!$M$23:$M$24,MATCH($F62,'CFOG'!$B$23:$B$24,0))="","Cell will autofill based on response",INDEX('CFOG'!$M$23:$M$24,MATCH($F62,'CFOG'!$B$23:$B$24,0))),"N/A")</f>
        <v/>
      </c>
      <c r="P62" s="52">
        <f>IFERROR(IF(INDEX('ESG'!$M$10:$M$17,MATCH($F62,'ESG'!$B$10:$B$17,0))="","Cell will autofill based on response",INDEX('ESG'!$M$10:$M$17,MATCH($F62,'ESG'!$B$10:$B$17,0))),"N/A")</f>
        <v/>
      </c>
      <c r="Q62" s="52">
        <f>IFERROR(IF(INDEX('CIOG'!$M$10:$M$14,MATCH($F62,'CIOG'!$B$10:$B$14,0))="","Cell will autofill based on response",INDEX('CIOG'!$M$10:$M$14,MATCH($F62,'CIOG'!$B$10:$B$14,0))),"N/A")</f>
        <v/>
      </c>
      <c r="R62" s="52">
        <f>IFERROR(IF(INDEX('MRE'!$M$10:$M$18,MATCH($F62,'MRE'!$B$10:$B$18,0))="","Cell will autofill based on response",INDEX('MRE'!$M$10:$M$18,MATCH($F62,'MRE'!$B$10:$B$18,0))),"N/A")</f>
        <v/>
      </c>
      <c r="S62" s="52">
        <f>IFERROR(IF(INDEX('AC&amp;M'!$M$10:$M$14,MATCH($F62,'AC&amp;M'!$B$10:$B$14,0))="","Cell will autofill based on response",INDEX('AC&amp;M'!$M$10:$M$14,MATCH($F62,'AC&amp;M'!$B$10:$B$14,0))),"N/A")</f>
        <v/>
      </c>
      <c r="T62" s="52">
        <f>IFERROR(IF(INDEX('GCE'!$M$10:$M$12,MATCH($F62,'GCE'!$B$10:$B$12,0))="","Cell will autofill based on response",INDEX('GCE'!$M$10:$M$12,MATCH($F62,'GCE'!$B$10:$B$12,0))),"N/A")</f>
        <v/>
      </c>
      <c r="U62" s="52">
        <f>IFERROR(IF(INDEX('Education'!$M$10:$M$13,MATCH($F62,'Education'!$B$10:$B$13,0))="","Cell will autofill based on response",INDEX('Education'!$M$10:$M$13,MATCH($F62,'Education'!$B$10:$B$13,0))),"N/A")</f>
        <v/>
      </c>
      <c r="V62" s="52">
        <f>IFERROR(IF(INDEX('SaSS'!$M$10:$M$12,MATCH($F62,'SaSS'!$B$10:$B$12,0))="","Cell will autofill based on response",INDEX('SaSS'!$M$10:$M$12,MATCH($F62,'SaSS'!$B$10:$B$12,0))),"N/A")</f>
        <v/>
      </c>
      <c r="W62" s="52">
        <f>IFERROR(IF(INDEX('Indigenous'!$M$10:$M$11,MATCH($F62,'Indigenous'!$B$10:$B$11,0))="","Cell will autofill based on response",INDEX('Indigenous'!$M$10:$M$11,MATCH($F62,'Indigenous'!$B$10:$B$11,0))),"N/A")</f>
        <v/>
      </c>
      <c r="X62" s="52">
        <f>IFERROR(IF(INDEX('L&amp;R'!$M$10:$M$11,MATCH($F62,'L&amp;R'!$B$10:$B$11,0))="","Cell will autofill based on response",INDEX('L&amp;R'!$M$10:$M$11,MATCH($F62,'L&amp;R'!$B$10:$B$11,0))),"N/A")</f>
        <v/>
      </c>
    </row>
    <row r="63">
      <c r="A63">
        <f>F63&amp;"|"&amp;G63</f>
        <v/>
      </c>
      <c r="B63" s="13" t="inlineStr"/>
      <c r="C63" s="8" t="inlineStr"/>
      <c r="D63" s="8" t="inlineStr"/>
      <c r="E63" s="8" t="inlineStr"/>
      <c r="F63" s="8" t="inlineStr">
        <is>
          <t>TR2(d)</t>
        </is>
      </c>
      <c r="G63" s="8" t="inlineStr">
        <is>
          <t>Supporting information/comments</t>
        </is>
      </c>
      <c r="H63" s="52">
        <f>IFERROR(IF(INDEX('Faculties'!$N$10:$N$19,MATCH($F63,'Faculties'!$B$10:$B$19,0))="","Cell will autofill based on response",INDEX('Faculties'!$N$10:$N$19,MATCH($F63,'Faculties'!$B$10:$B$19,0))),"N/A")</f>
        <v/>
      </c>
      <c r="I63" s="52">
        <f>IFERROR(IF(INDEX('Faculties'!$N$26:$N$35,MATCH($F63,'Faculties'!$B$26:$B$35,0))="","Cell will autofill based on response",INDEX('Faculties'!$N$26:$N$35,MATCH($F63,'Faculties'!$B$26:$B$35,0))),"N/A")</f>
        <v/>
      </c>
      <c r="J63" s="52">
        <f>IFERROR(IF(INDEX('Faculties'!$N$42:$N$51,MATCH($F63,'Faculties'!$B$42:$B$51,0))="","Cell will autofill based on response",INDEX('Faculties'!$N$42:$N$51,MATCH($F63,'Faculties'!$B$42:$B$51,0))),"N/A")</f>
        <v/>
      </c>
      <c r="K63" s="52">
        <f>IFERROR(IF(INDEX('Faculties'!$N$58:$N$67,MATCH($F63,'Faculties'!$B$58:$B$67,0))="","Cell will autofill based on response",INDEX('Faculties'!$N$58:$N$67,MATCH($F63,'Faculties'!$B$58:$B$67,0))),"N/A")</f>
        <v/>
      </c>
      <c r="L63" s="52">
        <f>IFERROR(IF(INDEX('CI&amp;S'!$N$10:$N$15,MATCH($F63,'CI&amp;S'!$B$10:$B$15,0))="","Cell will autofill based on response",INDEX('CI&amp;S'!$N$10:$N$15,MATCH($F63,'CI&amp;S'!$B$10:$B$15,0))),"N/A")</f>
        <v/>
      </c>
      <c r="M63" s="52">
        <f>IFERROR(IF(INDEX('CI&amp;S'!$N$22:$N$36,MATCH($F63,'CI&amp;S'!$B$22:$B$36,0))="","Cell will autofill based on response",INDEX('CI&amp;S'!$N$22:$N$36,MATCH($F63,'CI&amp;S'!$B$22:$B$36,0))),"N/A")</f>
        <v/>
      </c>
      <c r="N63" s="52">
        <f>IFERROR(IF(INDEX('CFOG'!$N$10:$N$16,MATCH($F63,'CFOG'!$B$10:$B$16,0))="","Cell will autofill based on response",INDEX('CFOG'!$N$10:$N$16,MATCH($F63,'CFOG'!$B$10:$B$16,0))),"N/A")</f>
        <v/>
      </c>
      <c r="O63" s="52">
        <f>IFERROR(IF(INDEX('CFOG'!$N$23:$N$24,MATCH($F63,'CFOG'!$B$23:$B$24,0))="","Cell will autofill based on response",INDEX('CFOG'!$N$23:$N$24,MATCH($F63,'CFOG'!$B$23:$B$24,0))),"N/A")</f>
        <v/>
      </c>
      <c r="P63" s="52">
        <f>IFERROR(IF(INDEX('ESG'!$N$10:$N$17,MATCH($F63,'ESG'!$B$10:$B$17,0))="","Cell will autofill based on response",INDEX('ESG'!$N$10:$N$17,MATCH($F63,'ESG'!$B$10:$B$17,0))),"N/A")</f>
        <v/>
      </c>
      <c r="Q63" s="52">
        <f>IFERROR(IF(INDEX('CIOG'!$N$10:$N$14,MATCH($F63,'CIOG'!$B$10:$B$14,0))="","Cell will autofill based on response",INDEX('CIOG'!$N$10:$N$14,MATCH($F63,'CIOG'!$B$10:$B$14,0))),"N/A")</f>
        <v/>
      </c>
      <c r="R63" s="52">
        <f>IFERROR(IF(INDEX('MRE'!$N$10:$N$18,MATCH($F63,'MRE'!$B$10:$B$18,0))="","Cell will autofill based on response",INDEX('MRE'!$N$10:$N$18,MATCH($F63,'MRE'!$B$10:$B$18,0))),"N/A")</f>
        <v/>
      </c>
      <c r="S63" s="52">
        <f>IFERROR(IF(INDEX('AC&amp;M'!$N$10:$N$14,MATCH($F63,'AC&amp;M'!$B$10:$B$14,0))="","Cell will autofill based on response",INDEX('AC&amp;M'!$N$10:$N$14,MATCH($F63,'AC&amp;M'!$B$10:$B$14,0))),"N/A")</f>
        <v/>
      </c>
      <c r="T63" s="52">
        <f>IFERROR(IF(INDEX('GCE'!$N$10:$N$12,MATCH($F63,'GCE'!$B$10:$B$12,0))="","Cell will autofill based on response",INDEX('GCE'!$N$10:$N$12,MATCH($F63,'GCE'!$B$10:$B$12,0))),"N/A")</f>
        <v/>
      </c>
      <c r="U63" s="52">
        <f>IFERROR(IF(INDEX('Education'!$N$10:$N$13,MATCH($F63,'Education'!$B$10:$B$13,0))="","Cell will autofill based on response",INDEX('Education'!$N$10:$N$13,MATCH($F63,'Education'!$B$10:$B$13,0))),"N/A")</f>
        <v/>
      </c>
      <c r="V63" s="52">
        <f>IFERROR(IF(INDEX('SaSS'!$N$10:$N$12,MATCH($F63,'SaSS'!$B$10:$B$12,0))="","Cell will autofill based on response",INDEX('SaSS'!$N$10:$N$12,MATCH($F63,'SaSS'!$B$10:$B$12,0))),"N/A")</f>
        <v/>
      </c>
      <c r="W63" s="52">
        <f>IFERROR(IF(INDEX('Indigenous'!$N$10:$N$11,MATCH($F63,'Indigenous'!$B$10:$B$11,0))="","Cell will autofill based on response",INDEX('Indigenous'!$N$10:$N$11,MATCH($F63,'Indigenous'!$B$10:$B$11,0))),"N/A")</f>
        <v/>
      </c>
      <c r="X63" s="52">
        <f>IFERROR(IF(INDEX('L&amp;R'!$N$10:$N$11,MATCH($F63,'L&amp;R'!$B$10:$B$11,0))="","Cell will autofill based on response",INDEX('L&amp;R'!$N$10:$N$11,MATCH($F63,'L&amp;R'!$B$10:$B$11,0))),"N/A")</f>
        <v/>
      </c>
    </row>
    <row r="64">
      <c r="A64">
        <f>F64&amp;"|"&amp;G64</f>
        <v/>
      </c>
      <c r="B64" s="13" t="inlineStr"/>
      <c r="C64" s="8" t="inlineStr"/>
      <c r="D64" s="8" t="inlineStr"/>
      <c r="E64" s="8" t="inlineStr"/>
      <c r="F64" s="8" t="inlineStr">
        <is>
          <t>TR2(d)</t>
        </is>
      </c>
      <c r="G64" s="8" t="inlineStr">
        <is>
          <t>Data source and limitations</t>
        </is>
      </c>
      <c r="H64" s="52">
        <f>IFERROR(IF(INDEX('Faculties'!$O$10:$O$19,MATCH($F64,'Faculties'!$B$10:$B$19,0))="","Cell will autofill based on response",INDEX('Faculties'!$O$10:$O$19,MATCH($F64,'Faculties'!$B$10:$B$19,0))),"N/A")</f>
        <v/>
      </c>
      <c r="I64" s="52">
        <f>IFERROR(IF(INDEX('Faculties'!$O$26:$O$35,MATCH($F64,'Faculties'!$B$26:$B$35,0))="","Cell will autofill based on response",INDEX('Faculties'!$O$26:$O$35,MATCH($F64,'Faculties'!$B$26:$B$35,0))),"N/A")</f>
        <v/>
      </c>
      <c r="J64" s="52">
        <f>IFERROR(IF(INDEX('Faculties'!$O$42:$O$51,MATCH($F64,'Faculties'!$B$42:$B$51,0))="","Cell will autofill based on response",INDEX('Faculties'!$O$42:$O$51,MATCH($F64,'Faculties'!$B$42:$B$51,0))),"N/A")</f>
        <v/>
      </c>
      <c r="K64" s="52">
        <f>IFERROR(IF(INDEX('Faculties'!$O$58:$O$67,MATCH($F64,'Faculties'!$B$58:$B$67,0))="","Cell will autofill based on response",INDEX('Faculties'!$O$58:$O$67,MATCH($F64,'Faculties'!$B$58:$B$67,0))),"N/A")</f>
        <v/>
      </c>
      <c r="L64" s="52">
        <f>IFERROR(IF(INDEX('CI&amp;S'!$O$10:$O$15,MATCH($F64,'CI&amp;S'!$B$10:$B$15,0))="","Cell will autofill based on response",INDEX('CI&amp;S'!$O$10:$O$15,MATCH($F64,'CI&amp;S'!$B$10:$B$15,0))),"N/A")</f>
        <v/>
      </c>
      <c r="M64" s="52">
        <f>IFERROR(IF(INDEX('CI&amp;S'!$O$22:$O$36,MATCH($F64,'CI&amp;S'!$B$22:$B$36,0))="","Cell will autofill based on response",INDEX('CI&amp;S'!$O$22:$O$36,MATCH($F64,'CI&amp;S'!$B$22:$B$36,0))),"N/A")</f>
        <v/>
      </c>
      <c r="N64" s="52">
        <f>IFERROR(IF(INDEX('CFOG'!$O$10:$O$16,MATCH($F64,'CFOG'!$B$10:$B$16,0))="","Cell will autofill based on response",INDEX('CFOG'!$O$10:$O$16,MATCH($F64,'CFOG'!$B$10:$B$16,0))),"N/A")</f>
        <v/>
      </c>
      <c r="O64" s="52">
        <f>IFERROR(IF(INDEX('CFOG'!$O$23:$O$24,MATCH($F64,'CFOG'!$B$23:$B$24,0))="","Cell will autofill based on response",INDEX('CFOG'!$O$23:$O$24,MATCH($F64,'CFOG'!$B$23:$B$24,0))),"N/A")</f>
        <v/>
      </c>
      <c r="P64" s="52">
        <f>IFERROR(IF(INDEX('ESG'!$O$10:$O$17,MATCH($F64,'ESG'!$B$10:$B$17,0))="","Cell will autofill based on response",INDEX('ESG'!$O$10:$O$17,MATCH($F64,'ESG'!$B$10:$B$17,0))),"N/A")</f>
        <v/>
      </c>
      <c r="Q64" s="52">
        <f>IFERROR(IF(INDEX('CIOG'!$O$10:$O$14,MATCH($F64,'CIOG'!$B$10:$B$14,0))="","Cell will autofill based on response",INDEX('CIOG'!$O$10:$O$14,MATCH($F64,'CIOG'!$B$10:$B$14,0))),"N/A")</f>
        <v/>
      </c>
      <c r="R64" s="52">
        <f>IFERROR(IF(INDEX('MRE'!$O$10:$O$18,MATCH($F64,'MRE'!$B$10:$B$18,0))="","Cell will autofill based on response",INDEX('MRE'!$O$10:$O$18,MATCH($F64,'MRE'!$B$10:$B$18,0))),"N/A")</f>
        <v/>
      </c>
      <c r="S64" s="52">
        <f>IFERROR(IF(INDEX('AC&amp;M'!$O$10:$O$14,MATCH($F64,'AC&amp;M'!$B$10:$B$14,0))="","Cell will autofill based on response",INDEX('AC&amp;M'!$O$10:$O$14,MATCH($F64,'AC&amp;M'!$B$10:$B$14,0))),"N/A")</f>
        <v/>
      </c>
      <c r="T64" s="52">
        <f>IFERROR(IF(INDEX('GCE'!$O$10:$O$12,MATCH($F64,'GCE'!$B$10:$B$12,0))="","Cell will autofill based on response",INDEX('GCE'!$O$10:$O$12,MATCH($F64,'GCE'!$B$10:$B$12,0))),"N/A")</f>
        <v/>
      </c>
      <c r="U64" s="52">
        <f>IFERROR(IF(INDEX('Education'!$O$10:$O$13,MATCH($F64,'Education'!$B$10:$B$13,0))="","Cell will autofill based on response",INDEX('Education'!$O$10:$O$13,MATCH($F64,'Education'!$B$10:$B$13,0))),"N/A")</f>
        <v/>
      </c>
      <c r="V64" s="52">
        <f>IFERROR(IF(INDEX('SaSS'!$O$10:$O$12,MATCH($F64,'SaSS'!$B$10:$B$12,0))="","Cell will autofill based on response",INDEX('SaSS'!$O$10:$O$12,MATCH($F64,'SaSS'!$B$10:$B$12,0))),"N/A")</f>
        <v/>
      </c>
      <c r="W64" s="52">
        <f>IFERROR(IF(INDEX('Indigenous'!$O$10:$O$11,MATCH($F64,'Indigenous'!$B$10:$B$11,0))="","Cell will autofill based on response",INDEX('Indigenous'!$O$10:$O$11,MATCH($F64,'Indigenous'!$B$10:$B$11,0))),"N/A")</f>
        <v/>
      </c>
      <c r="X64" s="52">
        <f>IFERROR(IF(INDEX('L&amp;R'!$O$10:$O$11,MATCH($F64,'L&amp;R'!$B$10:$B$11,0))="","Cell will autofill based on response",INDEX('L&amp;R'!$O$10:$O$11,MATCH($F64,'L&amp;R'!$B$10:$B$11,0))),"N/A")</f>
        <v/>
      </c>
    </row>
    <row r="65">
      <c r="A65">
        <f>F65&amp;"|"&amp;G65</f>
        <v/>
      </c>
      <c r="B65" s="13" t="inlineStr"/>
      <c r="C65" s="8" t="inlineStr"/>
      <c r="D65" s="8" t="inlineStr"/>
      <c r="E65" s="8" t="inlineStr"/>
      <c r="F65" s="8" t="inlineStr">
        <is>
          <t>TR2(d)</t>
        </is>
      </c>
      <c r="G65" s="8" t="inlineStr">
        <is>
          <t>Data owner confirms</t>
        </is>
      </c>
      <c r="H65" s="52">
        <f>IFERROR(IF(INDEX('Faculties'!$P$10:$P$19,MATCH($F65,'Faculties'!$B$10:$B$19,0))="","Cell will autofill based on response",INDEX('Faculties'!$P$10:$P$19,MATCH($F65,'Faculties'!$B$10:$B$19,0))),"N/A")</f>
        <v/>
      </c>
      <c r="I65" s="52">
        <f>IFERROR(IF(INDEX('Faculties'!$P$26:$P$35,MATCH($F65,'Faculties'!$B$26:$B$35,0))="","Cell will autofill based on response",INDEX('Faculties'!$P$26:$P$35,MATCH($F65,'Faculties'!$B$26:$B$35,0))),"N/A")</f>
        <v/>
      </c>
      <c r="J65" s="52">
        <f>IFERROR(IF(INDEX('Faculties'!$P$42:$P$51,MATCH($F65,'Faculties'!$B$42:$B$51,0))="","Cell will autofill based on response",INDEX('Faculties'!$P$42:$P$51,MATCH($F65,'Faculties'!$B$42:$B$51,0))),"N/A")</f>
        <v/>
      </c>
      <c r="K65" s="52">
        <f>IFERROR(IF(INDEX('Faculties'!$P$58:$P$67,MATCH($F65,'Faculties'!$B$58:$B$67,0))="","Cell will autofill based on response",INDEX('Faculties'!$P$58:$P$67,MATCH($F65,'Faculties'!$B$58:$B$67,0))),"N/A")</f>
        <v/>
      </c>
      <c r="L65" s="52">
        <f>IFERROR(IF(INDEX('CI&amp;S'!$P$10:$P$15,MATCH($F65,'CI&amp;S'!$B$10:$B$15,0))="","Cell will autofill based on response",INDEX('CI&amp;S'!$P$10:$P$15,MATCH($F65,'CI&amp;S'!$B$10:$B$15,0))),"N/A")</f>
        <v/>
      </c>
      <c r="M65" s="52">
        <f>IFERROR(IF(INDEX('CI&amp;S'!$P$22:$P$36,MATCH($F65,'CI&amp;S'!$B$22:$B$36,0))="","Cell will autofill based on response",INDEX('CI&amp;S'!$P$22:$P$36,MATCH($F65,'CI&amp;S'!$B$22:$B$36,0))),"N/A")</f>
        <v/>
      </c>
      <c r="N65" s="52">
        <f>IFERROR(IF(INDEX('CFOG'!$P$10:$P$16,MATCH($F65,'CFOG'!$B$10:$B$16,0))="","Cell will autofill based on response",INDEX('CFOG'!$P$10:$P$16,MATCH($F65,'CFOG'!$B$10:$B$16,0))),"N/A")</f>
        <v/>
      </c>
      <c r="O65" s="52">
        <f>IFERROR(IF(INDEX('CFOG'!$P$23:$P$24,MATCH($F65,'CFOG'!$B$23:$B$24,0))="","Cell will autofill based on response",INDEX('CFOG'!$P$23:$P$24,MATCH($F65,'CFOG'!$B$23:$B$24,0))),"N/A")</f>
        <v/>
      </c>
      <c r="P65" s="52">
        <f>IFERROR(IF(INDEX('ESG'!$P$10:$P$17,MATCH($F65,'ESG'!$B$10:$B$17,0))="","Cell will autofill based on response",INDEX('ESG'!$P$10:$P$17,MATCH($F65,'ESG'!$B$10:$B$17,0))),"N/A")</f>
        <v/>
      </c>
      <c r="Q65" s="52">
        <f>IFERROR(IF(INDEX('CIOG'!$P$10:$P$14,MATCH($F65,'CIOG'!$B$10:$B$14,0))="","Cell will autofill based on response",INDEX('CIOG'!$P$10:$P$14,MATCH($F65,'CIOG'!$B$10:$B$14,0))),"N/A")</f>
        <v/>
      </c>
      <c r="R65" s="52">
        <f>IFERROR(IF(INDEX('MRE'!$P$10:$P$18,MATCH($F65,'MRE'!$B$10:$B$18,0))="","Cell will autofill based on response",INDEX('MRE'!$P$10:$P$18,MATCH($F65,'MRE'!$B$10:$B$18,0))),"N/A")</f>
        <v/>
      </c>
      <c r="S65" s="52">
        <f>IFERROR(IF(INDEX('AC&amp;M'!$P$10:$P$14,MATCH($F65,'AC&amp;M'!$B$10:$B$14,0))="","Cell will autofill based on response",INDEX('AC&amp;M'!$P$10:$P$14,MATCH($F65,'AC&amp;M'!$B$10:$B$14,0))),"N/A")</f>
        <v/>
      </c>
      <c r="T65" s="52">
        <f>IFERROR(IF(INDEX('GCE'!$P$10:$P$12,MATCH($F65,'GCE'!$B$10:$B$12,0))="","Cell will autofill based on response",INDEX('GCE'!$P$10:$P$12,MATCH($F65,'GCE'!$B$10:$B$12,0))),"N/A")</f>
        <v/>
      </c>
      <c r="U65" s="52">
        <f>IFERROR(IF(INDEX('Education'!$P$10:$P$13,MATCH($F65,'Education'!$B$10:$B$13,0))="","Cell will autofill based on response",INDEX('Education'!$P$10:$P$13,MATCH($F65,'Education'!$B$10:$B$13,0))),"N/A")</f>
        <v/>
      </c>
      <c r="V65" s="52">
        <f>IFERROR(IF(INDEX('SaSS'!$P$10:$P$12,MATCH($F65,'SaSS'!$B$10:$B$12,0))="","Cell will autofill based on response",INDEX('SaSS'!$P$10:$P$12,MATCH($F65,'SaSS'!$B$10:$B$12,0))),"N/A")</f>
        <v/>
      </c>
      <c r="W65" s="52">
        <f>IFERROR(IF(INDEX('Indigenous'!$P$10:$P$11,MATCH($F65,'Indigenous'!$B$10:$B$11,0))="","Cell will autofill based on response",INDEX('Indigenous'!$P$10:$P$11,MATCH($F65,'Indigenous'!$B$10:$B$11,0))),"N/A")</f>
        <v/>
      </c>
      <c r="X65" s="52">
        <f>IFERROR(IF(INDEX('L&amp;R'!$P$10:$P$11,MATCH($F65,'L&amp;R'!$B$10:$B$11,0))="","Cell will autofill based on response",INDEX('L&amp;R'!$P$10:$P$11,MATCH($F65,'L&amp;R'!$B$10:$B$11,0))),"N/A")</f>
        <v/>
      </c>
    </row>
    <row r="66">
      <c r="A66">
        <f>F66&amp;"|"&amp;G66</f>
        <v/>
      </c>
      <c r="B66" s="7" t="inlineStr">
        <is>
          <t>TR3(a)</t>
        </is>
      </c>
      <c r="C66" s="50" t="inlineStr">
        <is>
          <t>Transformational research</t>
        </is>
      </c>
      <c r="D66" s="50" t="inlineStr">
        <is>
          <t>Evidence that sustainability considerations are integrated into relevant research systems, planning processes, guidance, training, induction or support services</t>
        </is>
      </c>
      <c r="E66" s="50" t="inlineStr">
        <is>
          <t>Please describe how sustainability considerations are integrated into research systems, planning processes, guidance, training, induction or support services within your Faculty/Portfolio, could include examples of any new or improved processes.</t>
        </is>
      </c>
      <c r="F66" s="50" t="inlineStr">
        <is>
          <t>TR3(a)</t>
        </is>
      </c>
      <c r="G66" s="50" t="inlineStr">
        <is>
          <t>OPTION 1:  Target-level reporting</t>
        </is>
      </c>
      <c r="H66" s="52">
        <f>IFERROR(IF(INDEX('Faculties'!$L$10:$L$19,MATCH($F66,'Faculties'!$B$10:$B$19,0))="","Cell will autofill based on response",INDEX('Faculties'!$L$10:$L$19,MATCH($F66,'Faculties'!$B$10:$B$19,0))),"N/A")</f>
        <v/>
      </c>
      <c r="I66" s="52">
        <f>IFERROR(IF(INDEX('Faculties'!$L$26:$L$35,MATCH($F66,'Faculties'!$B$26:$B$35,0))="","Cell will autofill based on response",INDEX('Faculties'!$L$26:$L$35,MATCH($F66,'Faculties'!$B$26:$B$35,0))),"N/A")</f>
        <v/>
      </c>
      <c r="J66" s="52">
        <f>IFERROR(IF(INDEX('Faculties'!$L$42:$L$51,MATCH($F66,'Faculties'!$B$42:$B$51,0))="","Cell will autofill based on response",INDEX('Faculties'!$L$42:$L$51,MATCH($F66,'Faculties'!$B$42:$B$51,0))),"N/A")</f>
        <v/>
      </c>
      <c r="K66" s="52">
        <f>IFERROR(IF(INDEX('Faculties'!$L$58:$L$67,MATCH($F66,'Faculties'!$B$58:$B$67,0))="","Cell will autofill based on response",INDEX('Faculties'!$L$58:$L$67,MATCH($F66,'Faculties'!$B$58:$B$67,0))),"N/A")</f>
        <v/>
      </c>
      <c r="L66" s="52">
        <f>IFERROR(IF(INDEX('CI&amp;S'!$L$10:$L$15,MATCH($F66,'CI&amp;S'!$B$10:$B$15,0))="","Cell will autofill based on response",INDEX('CI&amp;S'!$L$10:$L$15,MATCH($F66,'CI&amp;S'!$B$10:$B$15,0))),"N/A")</f>
        <v/>
      </c>
      <c r="M66" s="52">
        <f>IFERROR(IF(INDEX('CI&amp;S'!$L$22:$L$36,MATCH($F66,'CI&amp;S'!$B$22:$B$36,0))="","Cell will autofill based on response",INDEX('CI&amp;S'!$L$22:$L$36,MATCH($F66,'CI&amp;S'!$B$22:$B$36,0))),"N/A")</f>
        <v/>
      </c>
      <c r="N66" s="52">
        <f>IFERROR(IF(INDEX('CFOG'!$L$10:$L$16,MATCH($F66,'CFOG'!$B$10:$B$16,0))="","Cell will autofill based on response",INDEX('CFOG'!$L$10:$L$16,MATCH($F66,'CFOG'!$B$10:$B$16,0))),"N/A")</f>
        <v/>
      </c>
      <c r="O66" s="52">
        <f>IFERROR(IF(INDEX('CFOG'!$L$23:$L$24,MATCH($F66,'CFOG'!$B$23:$B$24,0))="","Cell will autofill based on response",INDEX('CFOG'!$L$23:$L$24,MATCH($F66,'CFOG'!$B$23:$B$24,0))),"N/A")</f>
        <v/>
      </c>
      <c r="P66" s="52">
        <f>IFERROR(IF(INDEX('ESG'!$L$10:$L$17,MATCH($F66,'ESG'!$B$10:$B$17,0))="","Cell will autofill based on response",INDEX('ESG'!$L$10:$L$17,MATCH($F66,'ESG'!$B$10:$B$17,0))),"N/A")</f>
        <v/>
      </c>
      <c r="Q66" s="52">
        <f>IFERROR(IF(INDEX('CIOG'!$L$10:$L$14,MATCH($F66,'CIOG'!$B$10:$B$14,0))="","Cell will autofill based on response",INDEX('CIOG'!$L$10:$L$14,MATCH($F66,'CIOG'!$B$10:$B$14,0))),"N/A")</f>
        <v/>
      </c>
      <c r="R66" s="52">
        <f>IFERROR(IF(INDEX('MRE'!$L$10:$L$18,MATCH($F66,'MRE'!$B$10:$B$18,0))="","Cell will autofill based on response",INDEX('MRE'!$L$10:$L$18,MATCH($F66,'MRE'!$B$10:$B$18,0))),"N/A")</f>
        <v/>
      </c>
      <c r="S66" s="52">
        <f>IFERROR(IF(INDEX('AC&amp;M'!$L$10:$L$14,MATCH($F66,'AC&amp;M'!$B$10:$B$14,0))="","Cell will autofill based on response",INDEX('AC&amp;M'!$L$10:$L$14,MATCH($F66,'AC&amp;M'!$B$10:$B$14,0))),"N/A")</f>
        <v/>
      </c>
      <c r="T66" s="52">
        <f>IFERROR(IF(INDEX('GCE'!$L$10:$L$12,MATCH($F66,'GCE'!$B$10:$B$12,0))="","Cell will autofill based on response",INDEX('GCE'!$L$10:$L$12,MATCH($F66,'GCE'!$B$10:$B$12,0))),"N/A")</f>
        <v/>
      </c>
      <c r="U66" s="52">
        <f>IFERROR(IF(INDEX('Education'!$L$10:$L$13,MATCH($F66,'Education'!$B$10:$B$13,0))="","Cell will autofill based on response",INDEX('Education'!$L$10:$L$13,MATCH($F66,'Education'!$B$10:$B$13,0))),"N/A")</f>
        <v/>
      </c>
      <c r="V66" s="52">
        <f>IFERROR(IF(INDEX('SaSS'!$L$10:$L$12,MATCH($F66,'SaSS'!$B$10:$B$12,0))="","Cell will autofill based on response",INDEX('SaSS'!$L$10:$L$12,MATCH($F66,'SaSS'!$B$10:$B$12,0))),"N/A")</f>
        <v/>
      </c>
      <c r="W66" s="52">
        <f>IFERROR(IF(INDEX('Indigenous'!$L$10:$L$11,MATCH($F66,'Indigenous'!$B$10:$B$11,0))="","Cell will autofill based on response",INDEX('Indigenous'!$L$10:$L$11,MATCH($F66,'Indigenous'!$B$10:$B$11,0))),"N/A")</f>
        <v/>
      </c>
      <c r="X66" s="52">
        <f>IFERROR(IF(INDEX('L&amp;R'!$L$10:$L$11,MATCH($F66,'L&amp;R'!$B$10:$B$11,0))="","Cell will autofill based on response",INDEX('L&amp;R'!$L$10:$L$11,MATCH($F66,'L&amp;R'!$B$10:$B$11,0))),"N/A")</f>
        <v/>
      </c>
      <c r="Z66" s="10">
        <f>SUMPRODUCT(--($H66:$X66&lt;&gt;"N/A"))</f>
        <v/>
      </c>
      <c r="AA66" s="10">
        <f>SUMPRODUCT(--(((($H66:$X66&lt;&gt;"N/A")*($H66:$X66&lt;&gt;"Cell will autofill based on response"))+(($H67:$X67&lt;&gt;"N/A")*($H67:$X67&lt;&gt;"Cell will autofill based on response")))&gt;0))</f>
        <v/>
      </c>
      <c r="AB66" s="10">
        <f>Z66-AA66</f>
        <v/>
      </c>
      <c r="AC66" s="10">
        <f>COUNTIF($H70:$X70,"Yes")</f>
        <v/>
      </c>
    </row>
    <row r="67">
      <c r="A67">
        <f>F67&amp;"|"&amp;G67</f>
        <v/>
      </c>
      <c r="B67" s="13" t="inlineStr"/>
      <c r="C67" s="8" t="inlineStr"/>
      <c r="D67" s="8" t="inlineStr"/>
      <c r="E67" s="8" t="inlineStr"/>
      <c r="F67" s="8" t="inlineStr">
        <is>
          <t>TR3(a)</t>
        </is>
      </c>
      <c r="G67" s="8" t="inlineStr">
        <is>
          <t>OPTION 2:  Indicator level reporting</t>
        </is>
      </c>
      <c r="H67" s="52">
        <f>IFERROR(IF(INDEX('Faculties'!$M$10:$M$19,MATCH($F67,'Faculties'!$B$10:$B$19,0))="","Cell will autofill based on response",INDEX('Faculties'!$M$10:$M$19,MATCH($F67,'Faculties'!$B$10:$B$19,0))),"N/A")</f>
        <v/>
      </c>
      <c r="I67" s="52">
        <f>IFERROR(IF(INDEX('Faculties'!$M$26:$M$35,MATCH($F67,'Faculties'!$B$26:$B$35,0))="","Cell will autofill based on response",INDEX('Faculties'!$M$26:$M$35,MATCH($F67,'Faculties'!$B$26:$B$35,0))),"N/A")</f>
        <v/>
      </c>
      <c r="J67" s="52">
        <f>IFERROR(IF(INDEX('Faculties'!$M$42:$M$51,MATCH($F67,'Faculties'!$B$42:$B$51,0))="","Cell will autofill based on response",INDEX('Faculties'!$M$42:$M$51,MATCH($F67,'Faculties'!$B$42:$B$51,0))),"N/A")</f>
        <v/>
      </c>
      <c r="K67" s="52">
        <f>IFERROR(IF(INDEX('Faculties'!$M$58:$M$67,MATCH($F67,'Faculties'!$B$58:$B$67,0))="","Cell will autofill based on response",INDEX('Faculties'!$M$58:$M$67,MATCH($F67,'Faculties'!$B$58:$B$67,0))),"N/A")</f>
        <v/>
      </c>
      <c r="L67" s="52">
        <f>IFERROR(IF(INDEX('CI&amp;S'!$M$10:$M$15,MATCH($F67,'CI&amp;S'!$B$10:$B$15,0))="","Cell will autofill based on response",INDEX('CI&amp;S'!$M$10:$M$15,MATCH($F67,'CI&amp;S'!$B$10:$B$15,0))),"N/A")</f>
        <v/>
      </c>
      <c r="M67" s="52">
        <f>IFERROR(IF(INDEX('CI&amp;S'!$M$22:$M$36,MATCH($F67,'CI&amp;S'!$B$22:$B$36,0))="","Cell will autofill based on response",INDEX('CI&amp;S'!$M$22:$M$36,MATCH($F67,'CI&amp;S'!$B$22:$B$36,0))),"N/A")</f>
        <v/>
      </c>
      <c r="N67" s="52">
        <f>IFERROR(IF(INDEX('CFOG'!$M$10:$M$16,MATCH($F67,'CFOG'!$B$10:$B$16,0))="","Cell will autofill based on response",INDEX('CFOG'!$M$10:$M$16,MATCH($F67,'CFOG'!$B$10:$B$16,0))),"N/A")</f>
        <v/>
      </c>
      <c r="O67" s="52">
        <f>IFERROR(IF(INDEX('CFOG'!$M$23:$M$24,MATCH($F67,'CFOG'!$B$23:$B$24,0))="","Cell will autofill based on response",INDEX('CFOG'!$M$23:$M$24,MATCH($F67,'CFOG'!$B$23:$B$24,0))),"N/A")</f>
        <v/>
      </c>
      <c r="P67" s="52">
        <f>IFERROR(IF(INDEX('ESG'!$M$10:$M$17,MATCH($F67,'ESG'!$B$10:$B$17,0))="","Cell will autofill based on response",INDEX('ESG'!$M$10:$M$17,MATCH($F67,'ESG'!$B$10:$B$17,0))),"N/A")</f>
        <v/>
      </c>
      <c r="Q67" s="52">
        <f>IFERROR(IF(INDEX('CIOG'!$M$10:$M$14,MATCH($F67,'CIOG'!$B$10:$B$14,0))="","Cell will autofill based on response",INDEX('CIOG'!$M$10:$M$14,MATCH($F67,'CIOG'!$B$10:$B$14,0))),"N/A")</f>
        <v/>
      </c>
      <c r="R67" s="52">
        <f>IFERROR(IF(INDEX('MRE'!$M$10:$M$18,MATCH($F67,'MRE'!$B$10:$B$18,0))="","Cell will autofill based on response",INDEX('MRE'!$M$10:$M$18,MATCH($F67,'MRE'!$B$10:$B$18,0))),"N/A")</f>
        <v/>
      </c>
      <c r="S67" s="52">
        <f>IFERROR(IF(INDEX('AC&amp;M'!$M$10:$M$14,MATCH($F67,'AC&amp;M'!$B$10:$B$14,0))="","Cell will autofill based on response",INDEX('AC&amp;M'!$M$10:$M$14,MATCH($F67,'AC&amp;M'!$B$10:$B$14,0))),"N/A")</f>
        <v/>
      </c>
      <c r="T67" s="52">
        <f>IFERROR(IF(INDEX('GCE'!$M$10:$M$12,MATCH($F67,'GCE'!$B$10:$B$12,0))="","Cell will autofill based on response",INDEX('GCE'!$M$10:$M$12,MATCH($F67,'GCE'!$B$10:$B$12,0))),"N/A")</f>
        <v/>
      </c>
      <c r="U67" s="52">
        <f>IFERROR(IF(INDEX('Education'!$M$10:$M$13,MATCH($F67,'Education'!$B$10:$B$13,0))="","Cell will autofill based on response",INDEX('Education'!$M$10:$M$13,MATCH($F67,'Education'!$B$10:$B$13,0))),"N/A")</f>
        <v/>
      </c>
      <c r="V67" s="52">
        <f>IFERROR(IF(INDEX('SaSS'!$M$10:$M$12,MATCH($F67,'SaSS'!$B$10:$B$12,0))="","Cell will autofill based on response",INDEX('SaSS'!$M$10:$M$12,MATCH($F67,'SaSS'!$B$10:$B$12,0))),"N/A")</f>
        <v/>
      </c>
      <c r="W67" s="52">
        <f>IFERROR(IF(INDEX('Indigenous'!$M$10:$M$11,MATCH($F67,'Indigenous'!$B$10:$B$11,0))="","Cell will autofill based on response",INDEX('Indigenous'!$M$10:$M$11,MATCH($F67,'Indigenous'!$B$10:$B$11,0))),"N/A")</f>
        <v/>
      </c>
      <c r="X67" s="52">
        <f>IFERROR(IF(INDEX('L&amp;R'!$M$10:$M$11,MATCH($F67,'L&amp;R'!$B$10:$B$11,0))="","Cell will autofill based on response",INDEX('L&amp;R'!$M$10:$M$11,MATCH($F67,'L&amp;R'!$B$10:$B$11,0))),"N/A")</f>
        <v/>
      </c>
    </row>
    <row r="68">
      <c r="A68">
        <f>F68&amp;"|"&amp;G68</f>
        <v/>
      </c>
      <c r="B68" s="13" t="inlineStr"/>
      <c r="C68" s="8" t="inlineStr"/>
      <c r="D68" s="8" t="inlineStr"/>
      <c r="E68" s="8" t="inlineStr"/>
      <c r="F68" s="8" t="inlineStr">
        <is>
          <t>TR3(a)</t>
        </is>
      </c>
      <c r="G68" s="8" t="inlineStr">
        <is>
          <t>Supporting information/comments</t>
        </is>
      </c>
      <c r="H68" s="52">
        <f>IFERROR(IF(INDEX('Faculties'!$N$10:$N$19,MATCH($F68,'Faculties'!$B$10:$B$19,0))="","Cell will autofill based on response",INDEX('Faculties'!$N$10:$N$19,MATCH($F68,'Faculties'!$B$10:$B$19,0))),"N/A")</f>
        <v/>
      </c>
      <c r="I68" s="52">
        <f>IFERROR(IF(INDEX('Faculties'!$N$26:$N$35,MATCH($F68,'Faculties'!$B$26:$B$35,0))="","Cell will autofill based on response",INDEX('Faculties'!$N$26:$N$35,MATCH($F68,'Faculties'!$B$26:$B$35,0))),"N/A")</f>
        <v/>
      </c>
      <c r="J68" s="52">
        <f>IFERROR(IF(INDEX('Faculties'!$N$42:$N$51,MATCH($F68,'Faculties'!$B$42:$B$51,0))="","Cell will autofill based on response",INDEX('Faculties'!$N$42:$N$51,MATCH($F68,'Faculties'!$B$42:$B$51,0))),"N/A")</f>
        <v/>
      </c>
      <c r="K68" s="52">
        <f>IFERROR(IF(INDEX('Faculties'!$N$58:$N$67,MATCH($F68,'Faculties'!$B$58:$B$67,0))="","Cell will autofill based on response",INDEX('Faculties'!$N$58:$N$67,MATCH($F68,'Faculties'!$B$58:$B$67,0))),"N/A")</f>
        <v/>
      </c>
      <c r="L68" s="52">
        <f>IFERROR(IF(INDEX('CI&amp;S'!$N$10:$N$15,MATCH($F68,'CI&amp;S'!$B$10:$B$15,0))="","Cell will autofill based on response",INDEX('CI&amp;S'!$N$10:$N$15,MATCH($F68,'CI&amp;S'!$B$10:$B$15,0))),"N/A")</f>
        <v/>
      </c>
      <c r="M68" s="52">
        <f>IFERROR(IF(INDEX('CI&amp;S'!$N$22:$N$36,MATCH($F68,'CI&amp;S'!$B$22:$B$36,0))="","Cell will autofill based on response",INDEX('CI&amp;S'!$N$22:$N$36,MATCH($F68,'CI&amp;S'!$B$22:$B$36,0))),"N/A")</f>
        <v/>
      </c>
      <c r="N68" s="52">
        <f>IFERROR(IF(INDEX('CFOG'!$N$10:$N$16,MATCH($F68,'CFOG'!$B$10:$B$16,0))="","Cell will autofill based on response",INDEX('CFOG'!$N$10:$N$16,MATCH($F68,'CFOG'!$B$10:$B$16,0))),"N/A")</f>
        <v/>
      </c>
      <c r="O68" s="52">
        <f>IFERROR(IF(INDEX('CFOG'!$N$23:$N$24,MATCH($F68,'CFOG'!$B$23:$B$24,0))="","Cell will autofill based on response",INDEX('CFOG'!$N$23:$N$24,MATCH($F68,'CFOG'!$B$23:$B$24,0))),"N/A")</f>
        <v/>
      </c>
      <c r="P68" s="52">
        <f>IFERROR(IF(INDEX('ESG'!$N$10:$N$17,MATCH($F68,'ESG'!$B$10:$B$17,0))="","Cell will autofill based on response",INDEX('ESG'!$N$10:$N$17,MATCH($F68,'ESG'!$B$10:$B$17,0))),"N/A")</f>
        <v/>
      </c>
      <c r="Q68" s="52">
        <f>IFERROR(IF(INDEX('CIOG'!$N$10:$N$14,MATCH($F68,'CIOG'!$B$10:$B$14,0))="","Cell will autofill based on response",INDEX('CIOG'!$N$10:$N$14,MATCH($F68,'CIOG'!$B$10:$B$14,0))),"N/A")</f>
        <v/>
      </c>
      <c r="R68" s="52">
        <f>IFERROR(IF(INDEX('MRE'!$N$10:$N$18,MATCH($F68,'MRE'!$B$10:$B$18,0))="","Cell will autofill based on response",INDEX('MRE'!$N$10:$N$18,MATCH($F68,'MRE'!$B$10:$B$18,0))),"N/A")</f>
        <v/>
      </c>
      <c r="S68" s="52">
        <f>IFERROR(IF(INDEX('AC&amp;M'!$N$10:$N$14,MATCH($F68,'AC&amp;M'!$B$10:$B$14,0))="","Cell will autofill based on response",INDEX('AC&amp;M'!$N$10:$N$14,MATCH($F68,'AC&amp;M'!$B$10:$B$14,0))),"N/A")</f>
        <v/>
      </c>
      <c r="T68" s="52">
        <f>IFERROR(IF(INDEX('GCE'!$N$10:$N$12,MATCH($F68,'GCE'!$B$10:$B$12,0))="","Cell will autofill based on response",INDEX('GCE'!$N$10:$N$12,MATCH($F68,'GCE'!$B$10:$B$12,0))),"N/A")</f>
        <v/>
      </c>
      <c r="U68" s="52">
        <f>IFERROR(IF(INDEX('Education'!$N$10:$N$13,MATCH($F68,'Education'!$B$10:$B$13,0))="","Cell will autofill based on response",INDEX('Education'!$N$10:$N$13,MATCH($F68,'Education'!$B$10:$B$13,0))),"N/A")</f>
        <v/>
      </c>
      <c r="V68" s="52">
        <f>IFERROR(IF(INDEX('SaSS'!$N$10:$N$12,MATCH($F68,'SaSS'!$B$10:$B$12,0))="","Cell will autofill based on response",INDEX('SaSS'!$N$10:$N$12,MATCH($F68,'SaSS'!$B$10:$B$12,0))),"N/A")</f>
        <v/>
      </c>
      <c r="W68" s="52">
        <f>IFERROR(IF(INDEX('Indigenous'!$N$10:$N$11,MATCH($F68,'Indigenous'!$B$10:$B$11,0))="","Cell will autofill based on response",INDEX('Indigenous'!$N$10:$N$11,MATCH($F68,'Indigenous'!$B$10:$B$11,0))),"N/A")</f>
        <v/>
      </c>
      <c r="X68" s="52">
        <f>IFERROR(IF(INDEX('L&amp;R'!$N$10:$N$11,MATCH($F68,'L&amp;R'!$B$10:$B$11,0))="","Cell will autofill based on response",INDEX('L&amp;R'!$N$10:$N$11,MATCH($F68,'L&amp;R'!$B$10:$B$11,0))),"N/A")</f>
        <v/>
      </c>
    </row>
    <row r="69">
      <c r="A69">
        <f>F69&amp;"|"&amp;G69</f>
        <v/>
      </c>
      <c r="B69" s="13" t="inlineStr"/>
      <c r="C69" s="8" t="inlineStr"/>
      <c r="D69" s="8" t="inlineStr"/>
      <c r="E69" s="8" t="inlineStr"/>
      <c r="F69" s="8" t="inlineStr">
        <is>
          <t>TR3(a)</t>
        </is>
      </c>
      <c r="G69" s="8" t="inlineStr">
        <is>
          <t>Data source and limitations</t>
        </is>
      </c>
      <c r="H69" s="52">
        <f>IFERROR(IF(INDEX('Faculties'!$O$10:$O$19,MATCH($F69,'Faculties'!$B$10:$B$19,0))="","Cell will autofill based on response",INDEX('Faculties'!$O$10:$O$19,MATCH($F69,'Faculties'!$B$10:$B$19,0))),"N/A")</f>
        <v/>
      </c>
      <c r="I69" s="52">
        <f>IFERROR(IF(INDEX('Faculties'!$O$26:$O$35,MATCH($F69,'Faculties'!$B$26:$B$35,0))="","Cell will autofill based on response",INDEX('Faculties'!$O$26:$O$35,MATCH($F69,'Faculties'!$B$26:$B$35,0))),"N/A")</f>
        <v/>
      </c>
      <c r="J69" s="52">
        <f>IFERROR(IF(INDEX('Faculties'!$O$42:$O$51,MATCH($F69,'Faculties'!$B$42:$B$51,0))="","Cell will autofill based on response",INDEX('Faculties'!$O$42:$O$51,MATCH($F69,'Faculties'!$B$42:$B$51,0))),"N/A")</f>
        <v/>
      </c>
      <c r="K69" s="52">
        <f>IFERROR(IF(INDEX('Faculties'!$O$58:$O$67,MATCH($F69,'Faculties'!$B$58:$B$67,0))="","Cell will autofill based on response",INDEX('Faculties'!$O$58:$O$67,MATCH($F69,'Faculties'!$B$58:$B$67,0))),"N/A")</f>
        <v/>
      </c>
      <c r="L69" s="52">
        <f>IFERROR(IF(INDEX('CI&amp;S'!$O$10:$O$15,MATCH($F69,'CI&amp;S'!$B$10:$B$15,0))="","Cell will autofill based on response",INDEX('CI&amp;S'!$O$10:$O$15,MATCH($F69,'CI&amp;S'!$B$10:$B$15,0))),"N/A")</f>
        <v/>
      </c>
      <c r="M69" s="52">
        <f>IFERROR(IF(INDEX('CI&amp;S'!$O$22:$O$36,MATCH($F69,'CI&amp;S'!$B$22:$B$36,0))="","Cell will autofill based on response",INDEX('CI&amp;S'!$O$22:$O$36,MATCH($F69,'CI&amp;S'!$B$22:$B$36,0))),"N/A")</f>
        <v/>
      </c>
      <c r="N69" s="52">
        <f>IFERROR(IF(INDEX('CFOG'!$O$10:$O$16,MATCH($F69,'CFOG'!$B$10:$B$16,0))="","Cell will autofill based on response",INDEX('CFOG'!$O$10:$O$16,MATCH($F69,'CFOG'!$B$10:$B$16,0))),"N/A")</f>
        <v/>
      </c>
      <c r="O69" s="52">
        <f>IFERROR(IF(INDEX('CFOG'!$O$23:$O$24,MATCH($F69,'CFOG'!$B$23:$B$24,0))="","Cell will autofill based on response",INDEX('CFOG'!$O$23:$O$24,MATCH($F69,'CFOG'!$B$23:$B$24,0))),"N/A")</f>
        <v/>
      </c>
      <c r="P69" s="52">
        <f>IFERROR(IF(INDEX('ESG'!$O$10:$O$17,MATCH($F69,'ESG'!$B$10:$B$17,0))="","Cell will autofill based on response",INDEX('ESG'!$O$10:$O$17,MATCH($F69,'ESG'!$B$10:$B$17,0))),"N/A")</f>
        <v/>
      </c>
      <c r="Q69" s="52">
        <f>IFERROR(IF(INDEX('CIOG'!$O$10:$O$14,MATCH($F69,'CIOG'!$B$10:$B$14,0))="","Cell will autofill based on response",INDEX('CIOG'!$O$10:$O$14,MATCH($F69,'CIOG'!$B$10:$B$14,0))),"N/A")</f>
        <v/>
      </c>
      <c r="R69" s="52">
        <f>IFERROR(IF(INDEX('MRE'!$O$10:$O$18,MATCH($F69,'MRE'!$B$10:$B$18,0))="","Cell will autofill based on response",INDEX('MRE'!$O$10:$O$18,MATCH($F69,'MRE'!$B$10:$B$18,0))),"N/A")</f>
        <v/>
      </c>
      <c r="S69" s="52">
        <f>IFERROR(IF(INDEX('AC&amp;M'!$O$10:$O$14,MATCH($F69,'AC&amp;M'!$B$10:$B$14,0))="","Cell will autofill based on response",INDEX('AC&amp;M'!$O$10:$O$14,MATCH($F69,'AC&amp;M'!$B$10:$B$14,0))),"N/A")</f>
        <v/>
      </c>
      <c r="T69" s="52">
        <f>IFERROR(IF(INDEX('GCE'!$O$10:$O$12,MATCH($F69,'GCE'!$B$10:$B$12,0))="","Cell will autofill based on response",INDEX('GCE'!$O$10:$O$12,MATCH($F69,'GCE'!$B$10:$B$12,0))),"N/A")</f>
        <v/>
      </c>
      <c r="U69" s="52">
        <f>IFERROR(IF(INDEX('Education'!$O$10:$O$13,MATCH($F69,'Education'!$B$10:$B$13,0))="","Cell will autofill based on response",INDEX('Education'!$O$10:$O$13,MATCH($F69,'Education'!$B$10:$B$13,0))),"N/A")</f>
        <v/>
      </c>
      <c r="V69" s="52">
        <f>IFERROR(IF(INDEX('SaSS'!$O$10:$O$12,MATCH($F69,'SaSS'!$B$10:$B$12,0))="","Cell will autofill based on response",INDEX('SaSS'!$O$10:$O$12,MATCH($F69,'SaSS'!$B$10:$B$12,0))),"N/A")</f>
        <v/>
      </c>
      <c r="W69" s="52">
        <f>IFERROR(IF(INDEX('Indigenous'!$O$10:$O$11,MATCH($F69,'Indigenous'!$B$10:$B$11,0))="","Cell will autofill based on response",INDEX('Indigenous'!$O$10:$O$11,MATCH($F69,'Indigenous'!$B$10:$B$11,0))),"N/A")</f>
        <v/>
      </c>
      <c r="X69" s="52">
        <f>IFERROR(IF(INDEX('L&amp;R'!$O$10:$O$11,MATCH($F69,'L&amp;R'!$B$10:$B$11,0))="","Cell will autofill based on response",INDEX('L&amp;R'!$O$10:$O$11,MATCH($F69,'L&amp;R'!$B$10:$B$11,0))),"N/A")</f>
        <v/>
      </c>
    </row>
    <row r="70">
      <c r="A70">
        <f>F70&amp;"|"&amp;G70</f>
        <v/>
      </c>
      <c r="B70" s="13" t="inlineStr"/>
      <c r="C70" s="8" t="inlineStr"/>
      <c r="D70" s="8" t="inlineStr"/>
      <c r="E70" s="8" t="inlineStr"/>
      <c r="F70" s="8" t="inlineStr">
        <is>
          <t>TR3(a)</t>
        </is>
      </c>
      <c r="G70" s="8" t="inlineStr">
        <is>
          <t>Data owner confirms</t>
        </is>
      </c>
      <c r="H70" s="52">
        <f>IFERROR(IF(INDEX('Faculties'!$P$10:$P$19,MATCH($F70,'Faculties'!$B$10:$B$19,0))="","Cell will autofill based on response",INDEX('Faculties'!$P$10:$P$19,MATCH($F70,'Faculties'!$B$10:$B$19,0))),"N/A")</f>
        <v/>
      </c>
      <c r="I70" s="52">
        <f>IFERROR(IF(INDEX('Faculties'!$P$26:$P$35,MATCH($F70,'Faculties'!$B$26:$B$35,0))="","Cell will autofill based on response",INDEX('Faculties'!$P$26:$P$35,MATCH($F70,'Faculties'!$B$26:$B$35,0))),"N/A")</f>
        <v/>
      </c>
      <c r="J70" s="52">
        <f>IFERROR(IF(INDEX('Faculties'!$P$42:$P$51,MATCH($F70,'Faculties'!$B$42:$B$51,0))="","Cell will autofill based on response",INDEX('Faculties'!$P$42:$P$51,MATCH($F70,'Faculties'!$B$42:$B$51,0))),"N/A")</f>
        <v/>
      </c>
      <c r="K70" s="52">
        <f>IFERROR(IF(INDEX('Faculties'!$P$58:$P$67,MATCH($F70,'Faculties'!$B$58:$B$67,0))="","Cell will autofill based on response",INDEX('Faculties'!$P$58:$P$67,MATCH($F70,'Faculties'!$B$58:$B$67,0))),"N/A")</f>
        <v/>
      </c>
      <c r="L70" s="52">
        <f>IFERROR(IF(INDEX('CI&amp;S'!$P$10:$P$15,MATCH($F70,'CI&amp;S'!$B$10:$B$15,0))="","Cell will autofill based on response",INDEX('CI&amp;S'!$P$10:$P$15,MATCH($F70,'CI&amp;S'!$B$10:$B$15,0))),"N/A")</f>
        <v/>
      </c>
      <c r="M70" s="52">
        <f>IFERROR(IF(INDEX('CI&amp;S'!$P$22:$P$36,MATCH($F70,'CI&amp;S'!$B$22:$B$36,0))="","Cell will autofill based on response",INDEX('CI&amp;S'!$P$22:$P$36,MATCH($F70,'CI&amp;S'!$B$22:$B$36,0))),"N/A")</f>
        <v/>
      </c>
      <c r="N70" s="52">
        <f>IFERROR(IF(INDEX('CFOG'!$P$10:$P$16,MATCH($F70,'CFOG'!$B$10:$B$16,0))="","Cell will autofill based on response",INDEX('CFOG'!$P$10:$P$16,MATCH($F70,'CFOG'!$B$10:$B$16,0))),"N/A")</f>
        <v/>
      </c>
      <c r="O70" s="52">
        <f>IFERROR(IF(INDEX('CFOG'!$P$23:$P$24,MATCH($F70,'CFOG'!$B$23:$B$24,0))="","Cell will autofill based on response",INDEX('CFOG'!$P$23:$P$24,MATCH($F70,'CFOG'!$B$23:$B$24,0))),"N/A")</f>
        <v/>
      </c>
      <c r="P70" s="52">
        <f>IFERROR(IF(INDEX('ESG'!$P$10:$P$17,MATCH($F70,'ESG'!$B$10:$B$17,0))="","Cell will autofill based on response",INDEX('ESG'!$P$10:$P$17,MATCH($F70,'ESG'!$B$10:$B$17,0))),"N/A")</f>
        <v/>
      </c>
      <c r="Q70" s="52">
        <f>IFERROR(IF(INDEX('CIOG'!$P$10:$P$14,MATCH($F70,'CIOG'!$B$10:$B$14,0))="","Cell will autofill based on response",INDEX('CIOG'!$P$10:$P$14,MATCH($F70,'CIOG'!$B$10:$B$14,0))),"N/A")</f>
        <v/>
      </c>
      <c r="R70" s="52">
        <f>IFERROR(IF(INDEX('MRE'!$P$10:$P$18,MATCH($F70,'MRE'!$B$10:$B$18,0))="","Cell will autofill based on response",INDEX('MRE'!$P$10:$P$18,MATCH($F70,'MRE'!$B$10:$B$18,0))),"N/A")</f>
        <v/>
      </c>
      <c r="S70" s="52">
        <f>IFERROR(IF(INDEX('AC&amp;M'!$P$10:$P$14,MATCH($F70,'AC&amp;M'!$B$10:$B$14,0))="","Cell will autofill based on response",INDEX('AC&amp;M'!$P$10:$P$14,MATCH($F70,'AC&amp;M'!$B$10:$B$14,0))),"N/A")</f>
        <v/>
      </c>
      <c r="T70" s="52">
        <f>IFERROR(IF(INDEX('GCE'!$P$10:$P$12,MATCH($F70,'GCE'!$B$10:$B$12,0))="","Cell will autofill based on response",INDEX('GCE'!$P$10:$P$12,MATCH($F70,'GCE'!$B$10:$B$12,0))),"N/A")</f>
        <v/>
      </c>
      <c r="U70" s="52">
        <f>IFERROR(IF(INDEX('Education'!$P$10:$P$13,MATCH($F70,'Education'!$B$10:$B$13,0))="","Cell will autofill based on response",INDEX('Education'!$P$10:$P$13,MATCH($F70,'Education'!$B$10:$B$13,0))),"N/A")</f>
        <v/>
      </c>
      <c r="V70" s="52">
        <f>IFERROR(IF(INDEX('SaSS'!$P$10:$P$12,MATCH($F70,'SaSS'!$B$10:$B$12,0))="","Cell will autofill based on response",INDEX('SaSS'!$P$10:$P$12,MATCH($F70,'SaSS'!$B$10:$B$12,0))),"N/A")</f>
        <v/>
      </c>
      <c r="W70" s="52">
        <f>IFERROR(IF(INDEX('Indigenous'!$P$10:$P$11,MATCH($F70,'Indigenous'!$B$10:$B$11,0))="","Cell will autofill based on response",INDEX('Indigenous'!$P$10:$P$11,MATCH($F70,'Indigenous'!$B$10:$B$11,0))),"N/A")</f>
        <v/>
      </c>
      <c r="X70" s="52">
        <f>IFERROR(IF(INDEX('L&amp;R'!$P$10:$P$11,MATCH($F70,'L&amp;R'!$B$10:$B$11,0))="","Cell will autofill based on response",INDEX('L&amp;R'!$P$10:$P$11,MATCH($F70,'L&amp;R'!$B$10:$B$11,0))),"N/A")</f>
        <v/>
      </c>
    </row>
    <row r="71">
      <c r="A71">
        <f>F71&amp;"|"&amp;G71</f>
        <v/>
      </c>
      <c r="B71" s="7" t="inlineStr">
        <is>
          <t>TR3(b)</t>
        </is>
      </c>
      <c r="C71" s="50" t="inlineStr">
        <is>
          <t>Transformational research</t>
        </is>
      </c>
      <c r="D71" s="50" t="inlineStr">
        <is>
          <t>Demonstrated examples of more sustainable research practices in laboratories, fieldwork, procurement, travel or infrastructure use</t>
        </is>
      </c>
      <c r="E71" s="50"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50" t="inlineStr">
        <is>
          <t>TR3(b)</t>
        </is>
      </c>
      <c r="G71" s="50" t="inlineStr">
        <is>
          <t>OPTION 1:  Target-level reporting</t>
        </is>
      </c>
      <c r="H71" s="52">
        <f>IFERROR(IF(INDEX('Faculties'!$L$10:$L$19,MATCH($F71,'Faculties'!$B$10:$B$19,0))="","Cell will autofill based on response",INDEX('Faculties'!$L$10:$L$19,MATCH($F71,'Faculties'!$B$10:$B$19,0))),"N/A")</f>
        <v/>
      </c>
      <c r="I71" s="52">
        <f>IFERROR(IF(INDEX('Faculties'!$L$26:$L$35,MATCH($F71,'Faculties'!$B$26:$B$35,0))="","Cell will autofill based on response",INDEX('Faculties'!$L$26:$L$35,MATCH($F71,'Faculties'!$B$26:$B$35,0))),"N/A")</f>
        <v/>
      </c>
      <c r="J71" s="52">
        <f>IFERROR(IF(INDEX('Faculties'!$L$42:$L$51,MATCH($F71,'Faculties'!$B$42:$B$51,0))="","Cell will autofill based on response",INDEX('Faculties'!$L$42:$L$51,MATCH($F71,'Faculties'!$B$42:$B$51,0))),"N/A")</f>
        <v/>
      </c>
      <c r="K71" s="52">
        <f>IFERROR(IF(INDEX('Faculties'!$L$58:$L$67,MATCH($F71,'Faculties'!$B$58:$B$67,0))="","Cell will autofill based on response",INDEX('Faculties'!$L$58:$L$67,MATCH($F71,'Faculties'!$B$58:$B$67,0))),"N/A")</f>
        <v/>
      </c>
      <c r="L71" s="52">
        <f>IFERROR(IF(INDEX('CI&amp;S'!$L$10:$L$15,MATCH($F71,'CI&amp;S'!$B$10:$B$15,0))="","Cell will autofill based on response",INDEX('CI&amp;S'!$L$10:$L$15,MATCH($F71,'CI&amp;S'!$B$10:$B$15,0))),"N/A")</f>
        <v/>
      </c>
      <c r="M71" s="52">
        <f>IFERROR(IF(INDEX('CI&amp;S'!$L$22:$L$36,MATCH($F71,'CI&amp;S'!$B$22:$B$36,0))="","Cell will autofill based on response",INDEX('CI&amp;S'!$L$22:$L$36,MATCH($F71,'CI&amp;S'!$B$22:$B$36,0))),"N/A")</f>
        <v/>
      </c>
      <c r="N71" s="52">
        <f>IFERROR(IF(INDEX('CFOG'!$L$10:$L$16,MATCH($F71,'CFOG'!$B$10:$B$16,0))="","Cell will autofill based on response",INDEX('CFOG'!$L$10:$L$16,MATCH($F71,'CFOG'!$B$10:$B$16,0))),"N/A")</f>
        <v/>
      </c>
      <c r="O71" s="52">
        <f>IFERROR(IF(INDEX('CFOG'!$L$23:$L$24,MATCH($F71,'CFOG'!$B$23:$B$24,0))="","Cell will autofill based on response",INDEX('CFOG'!$L$23:$L$24,MATCH($F71,'CFOG'!$B$23:$B$24,0))),"N/A")</f>
        <v/>
      </c>
      <c r="P71" s="52">
        <f>IFERROR(IF(INDEX('ESG'!$L$10:$L$17,MATCH($F71,'ESG'!$B$10:$B$17,0))="","Cell will autofill based on response",INDEX('ESG'!$L$10:$L$17,MATCH($F71,'ESG'!$B$10:$B$17,0))),"N/A")</f>
        <v/>
      </c>
      <c r="Q71" s="52">
        <f>IFERROR(IF(INDEX('CIOG'!$L$10:$L$14,MATCH($F71,'CIOG'!$B$10:$B$14,0))="","Cell will autofill based on response",INDEX('CIOG'!$L$10:$L$14,MATCH($F71,'CIOG'!$B$10:$B$14,0))),"N/A")</f>
        <v/>
      </c>
      <c r="R71" s="52">
        <f>IFERROR(IF(INDEX('MRE'!$L$10:$L$18,MATCH($F71,'MRE'!$B$10:$B$18,0))="","Cell will autofill based on response",INDEX('MRE'!$L$10:$L$18,MATCH($F71,'MRE'!$B$10:$B$18,0))),"N/A")</f>
        <v/>
      </c>
      <c r="S71" s="52">
        <f>IFERROR(IF(INDEX('AC&amp;M'!$L$10:$L$14,MATCH($F71,'AC&amp;M'!$B$10:$B$14,0))="","Cell will autofill based on response",INDEX('AC&amp;M'!$L$10:$L$14,MATCH($F71,'AC&amp;M'!$B$10:$B$14,0))),"N/A")</f>
        <v/>
      </c>
      <c r="T71" s="52">
        <f>IFERROR(IF(INDEX('GCE'!$L$10:$L$12,MATCH($F71,'GCE'!$B$10:$B$12,0))="","Cell will autofill based on response",INDEX('GCE'!$L$10:$L$12,MATCH($F71,'GCE'!$B$10:$B$12,0))),"N/A")</f>
        <v/>
      </c>
      <c r="U71" s="52">
        <f>IFERROR(IF(INDEX('Education'!$L$10:$L$13,MATCH($F71,'Education'!$B$10:$B$13,0))="","Cell will autofill based on response",INDEX('Education'!$L$10:$L$13,MATCH($F71,'Education'!$B$10:$B$13,0))),"N/A")</f>
        <v/>
      </c>
      <c r="V71" s="52">
        <f>IFERROR(IF(INDEX('SaSS'!$L$10:$L$12,MATCH($F71,'SaSS'!$B$10:$B$12,0))="","Cell will autofill based on response",INDEX('SaSS'!$L$10:$L$12,MATCH($F71,'SaSS'!$B$10:$B$12,0))),"N/A")</f>
        <v/>
      </c>
      <c r="W71" s="52">
        <f>IFERROR(IF(INDEX('Indigenous'!$L$10:$L$11,MATCH($F71,'Indigenous'!$B$10:$B$11,0))="","Cell will autofill based on response",INDEX('Indigenous'!$L$10:$L$11,MATCH($F71,'Indigenous'!$B$10:$B$11,0))),"N/A")</f>
        <v/>
      </c>
      <c r="X71" s="52">
        <f>IFERROR(IF(INDEX('L&amp;R'!$L$10:$L$11,MATCH($F71,'L&amp;R'!$B$10:$B$11,0))="","Cell will autofill based on response",INDEX('L&amp;R'!$L$10:$L$11,MATCH($F71,'L&amp;R'!$B$10:$B$11,0))),"N/A")</f>
        <v/>
      </c>
      <c r="Z71" s="10">
        <f>SUMPRODUCT(--($H71:$X71&lt;&gt;"N/A"))</f>
        <v/>
      </c>
      <c r="AA71" s="10">
        <f>SUMPRODUCT(--(((($H71:$X71&lt;&gt;"N/A")*($H71:$X71&lt;&gt;"Cell will autofill based on response"))+(($H72:$X72&lt;&gt;"N/A")*($H72:$X72&lt;&gt;"Cell will autofill based on response")))&gt;0))</f>
        <v/>
      </c>
      <c r="AB71" s="10">
        <f>Z71-AA71</f>
        <v/>
      </c>
      <c r="AC71" s="10">
        <f>COUNTIF($H75:$X75,"Yes")</f>
        <v/>
      </c>
    </row>
    <row r="72">
      <c r="A72">
        <f>F72&amp;"|"&amp;G72</f>
        <v/>
      </c>
      <c r="B72" s="13" t="inlineStr"/>
      <c r="C72" s="8" t="inlineStr"/>
      <c r="D72" s="8" t="inlineStr"/>
      <c r="E72" s="8" t="inlineStr"/>
      <c r="F72" s="8" t="inlineStr">
        <is>
          <t>TR3(b)</t>
        </is>
      </c>
      <c r="G72" s="8" t="inlineStr">
        <is>
          <t>OPTION 2:  Indicator level reporting</t>
        </is>
      </c>
      <c r="H72" s="52">
        <f>IFERROR(IF(INDEX('Faculties'!$M$10:$M$19,MATCH($F72,'Faculties'!$B$10:$B$19,0))="","Cell will autofill based on response",INDEX('Faculties'!$M$10:$M$19,MATCH($F72,'Faculties'!$B$10:$B$19,0))),"N/A")</f>
        <v/>
      </c>
      <c r="I72" s="52">
        <f>IFERROR(IF(INDEX('Faculties'!$M$26:$M$35,MATCH($F72,'Faculties'!$B$26:$B$35,0))="","Cell will autofill based on response",INDEX('Faculties'!$M$26:$M$35,MATCH($F72,'Faculties'!$B$26:$B$35,0))),"N/A")</f>
        <v/>
      </c>
      <c r="J72" s="52">
        <f>IFERROR(IF(INDEX('Faculties'!$M$42:$M$51,MATCH($F72,'Faculties'!$B$42:$B$51,0))="","Cell will autofill based on response",INDEX('Faculties'!$M$42:$M$51,MATCH($F72,'Faculties'!$B$42:$B$51,0))),"N/A")</f>
        <v/>
      </c>
      <c r="K72" s="52">
        <f>IFERROR(IF(INDEX('Faculties'!$M$58:$M$67,MATCH($F72,'Faculties'!$B$58:$B$67,0))="","Cell will autofill based on response",INDEX('Faculties'!$M$58:$M$67,MATCH($F72,'Faculties'!$B$58:$B$67,0))),"N/A")</f>
        <v/>
      </c>
      <c r="L72" s="52">
        <f>IFERROR(IF(INDEX('CI&amp;S'!$M$10:$M$15,MATCH($F72,'CI&amp;S'!$B$10:$B$15,0))="","Cell will autofill based on response",INDEX('CI&amp;S'!$M$10:$M$15,MATCH($F72,'CI&amp;S'!$B$10:$B$15,0))),"N/A")</f>
        <v/>
      </c>
      <c r="M72" s="52">
        <f>IFERROR(IF(INDEX('CI&amp;S'!$M$22:$M$36,MATCH($F72,'CI&amp;S'!$B$22:$B$36,0))="","Cell will autofill based on response",INDEX('CI&amp;S'!$M$22:$M$36,MATCH($F72,'CI&amp;S'!$B$22:$B$36,0))),"N/A")</f>
        <v/>
      </c>
      <c r="N72" s="52">
        <f>IFERROR(IF(INDEX('CFOG'!$M$10:$M$16,MATCH($F72,'CFOG'!$B$10:$B$16,0))="","Cell will autofill based on response",INDEX('CFOG'!$M$10:$M$16,MATCH($F72,'CFOG'!$B$10:$B$16,0))),"N/A")</f>
        <v/>
      </c>
      <c r="O72" s="52">
        <f>IFERROR(IF(INDEX('CFOG'!$M$23:$M$24,MATCH($F72,'CFOG'!$B$23:$B$24,0))="","Cell will autofill based on response",INDEX('CFOG'!$M$23:$M$24,MATCH($F72,'CFOG'!$B$23:$B$24,0))),"N/A")</f>
        <v/>
      </c>
      <c r="P72" s="52">
        <f>IFERROR(IF(INDEX('ESG'!$M$10:$M$17,MATCH($F72,'ESG'!$B$10:$B$17,0))="","Cell will autofill based on response",INDEX('ESG'!$M$10:$M$17,MATCH($F72,'ESG'!$B$10:$B$17,0))),"N/A")</f>
        <v/>
      </c>
      <c r="Q72" s="52">
        <f>IFERROR(IF(INDEX('CIOG'!$M$10:$M$14,MATCH($F72,'CIOG'!$B$10:$B$14,0))="","Cell will autofill based on response",INDEX('CIOG'!$M$10:$M$14,MATCH($F72,'CIOG'!$B$10:$B$14,0))),"N/A")</f>
        <v/>
      </c>
      <c r="R72" s="52">
        <f>IFERROR(IF(INDEX('MRE'!$M$10:$M$18,MATCH($F72,'MRE'!$B$10:$B$18,0))="","Cell will autofill based on response",INDEX('MRE'!$M$10:$M$18,MATCH($F72,'MRE'!$B$10:$B$18,0))),"N/A")</f>
        <v/>
      </c>
      <c r="S72" s="52">
        <f>IFERROR(IF(INDEX('AC&amp;M'!$M$10:$M$14,MATCH($F72,'AC&amp;M'!$B$10:$B$14,0))="","Cell will autofill based on response",INDEX('AC&amp;M'!$M$10:$M$14,MATCH($F72,'AC&amp;M'!$B$10:$B$14,0))),"N/A")</f>
        <v/>
      </c>
      <c r="T72" s="52">
        <f>IFERROR(IF(INDEX('GCE'!$M$10:$M$12,MATCH($F72,'GCE'!$B$10:$B$12,0))="","Cell will autofill based on response",INDEX('GCE'!$M$10:$M$12,MATCH($F72,'GCE'!$B$10:$B$12,0))),"N/A")</f>
        <v/>
      </c>
      <c r="U72" s="52">
        <f>IFERROR(IF(INDEX('Education'!$M$10:$M$13,MATCH($F72,'Education'!$B$10:$B$13,0))="","Cell will autofill based on response",INDEX('Education'!$M$10:$M$13,MATCH($F72,'Education'!$B$10:$B$13,0))),"N/A")</f>
        <v/>
      </c>
      <c r="V72" s="52">
        <f>IFERROR(IF(INDEX('SaSS'!$M$10:$M$12,MATCH($F72,'SaSS'!$B$10:$B$12,0))="","Cell will autofill based on response",INDEX('SaSS'!$M$10:$M$12,MATCH($F72,'SaSS'!$B$10:$B$12,0))),"N/A")</f>
        <v/>
      </c>
      <c r="W72" s="52">
        <f>IFERROR(IF(INDEX('Indigenous'!$M$10:$M$11,MATCH($F72,'Indigenous'!$B$10:$B$11,0))="","Cell will autofill based on response",INDEX('Indigenous'!$M$10:$M$11,MATCH($F72,'Indigenous'!$B$10:$B$11,0))),"N/A")</f>
        <v/>
      </c>
      <c r="X72" s="52">
        <f>IFERROR(IF(INDEX('L&amp;R'!$M$10:$M$11,MATCH($F72,'L&amp;R'!$B$10:$B$11,0))="","Cell will autofill based on response",INDEX('L&amp;R'!$M$10:$M$11,MATCH($F72,'L&amp;R'!$B$10:$B$11,0))),"N/A")</f>
        <v/>
      </c>
    </row>
    <row r="73">
      <c r="A73">
        <f>F73&amp;"|"&amp;G73</f>
        <v/>
      </c>
      <c r="B73" s="13" t="inlineStr"/>
      <c r="C73" s="8" t="inlineStr"/>
      <c r="D73" s="8" t="inlineStr"/>
      <c r="E73" s="8" t="inlineStr"/>
      <c r="F73" s="8" t="inlineStr">
        <is>
          <t>TR3(b)</t>
        </is>
      </c>
      <c r="G73" s="8" t="inlineStr">
        <is>
          <t>Supporting information/comments</t>
        </is>
      </c>
      <c r="H73" s="52">
        <f>IFERROR(IF(INDEX('Faculties'!$N$10:$N$19,MATCH($F73,'Faculties'!$B$10:$B$19,0))="","Cell will autofill based on response",INDEX('Faculties'!$N$10:$N$19,MATCH($F73,'Faculties'!$B$10:$B$19,0))),"N/A")</f>
        <v/>
      </c>
      <c r="I73" s="52">
        <f>IFERROR(IF(INDEX('Faculties'!$N$26:$N$35,MATCH($F73,'Faculties'!$B$26:$B$35,0))="","Cell will autofill based on response",INDEX('Faculties'!$N$26:$N$35,MATCH($F73,'Faculties'!$B$26:$B$35,0))),"N/A")</f>
        <v/>
      </c>
      <c r="J73" s="52">
        <f>IFERROR(IF(INDEX('Faculties'!$N$42:$N$51,MATCH($F73,'Faculties'!$B$42:$B$51,0))="","Cell will autofill based on response",INDEX('Faculties'!$N$42:$N$51,MATCH($F73,'Faculties'!$B$42:$B$51,0))),"N/A")</f>
        <v/>
      </c>
      <c r="K73" s="52">
        <f>IFERROR(IF(INDEX('Faculties'!$N$58:$N$67,MATCH($F73,'Faculties'!$B$58:$B$67,0))="","Cell will autofill based on response",INDEX('Faculties'!$N$58:$N$67,MATCH($F73,'Faculties'!$B$58:$B$67,0))),"N/A")</f>
        <v/>
      </c>
      <c r="L73" s="52">
        <f>IFERROR(IF(INDEX('CI&amp;S'!$N$10:$N$15,MATCH($F73,'CI&amp;S'!$B$10:$B$15,0))="","Cell will autofill based on response",INDEX('CI&amp;S'!$N$10:$N$15,MATCH($F73,'CI&amp;S'!$B$10:$B$15,0))),"N/A")</f>
        <v/>
      </c>
      <c r="M73" s="52">
        <f>IFERROR(IF(INDEX('CI&amp;S'!$N$22:$N$36,MATCH($F73,'CI&amp;S'!$B$22:$B$36,0))="","Cell will autofill based on response",INDEX('CI&amp;S'!$N$22:$N$36,MATCH($F73,'CI&amp;S'!$B$22:$B$36,0))),"N/A")</f>
        <v/>
      </c>
      <c r="N73" s="52">
        <f>IFERROR(IF(INDEX('CFOG'!$N$10:$N$16,MATCH($F73,'CFOG'!$B$10:$B$16,0))="","Cell will autofill based on response",INDEX('CFOG'!$N$10:$N$16,MATCH($F73,'CFOG'!$B$10:$B$16,0))),"N/A")</f>
        <v/>
      </c>
      <c r="O73" s="52">
        <f>IFERROR(IF(INDEX('CFOG'!$N$23:$N$24,MATCH($F73,'CFOG'!$B$23:$B$24,0))="","Cell will autofill based on response",INDEX('CFOG'!$N$23:$N$24,MATCH($F73,'CFOG'!$B$23:$B$24,0))),"N/A")</f>
        <v/>
      </c>
      <c r="P73" s="52">
        <f>IFERROR(IF(INDEX('ESG'!$N$10:$N$17,MATCH($F73,'ESG'!$B$10:$B$17,0))="","Cell will autofill based on response",INDEX('ESG'!$N$10:$N$17,MATCH($F73,'ESG'!$B$10:$B$17,0))),"N/A")</f>
        <v/>
      </c>
      <c r="Q73" s="52">
        <f>IFERROR(IF(INDEX('CIOG'!$N$10:$N$14,MATCH($F73,'CIOG'!$B$10:$B$14,0))="","Cell will autofill based on response",INDEX('CIOG'!$N$10:$N$14,MATCH($F73,'CIOG'!$B$10:$B$14,0))),"N/A")</f>
        <v/>
      </c>
      <c r="R73" s="52">
        <f>IFERROR(IF(INDEX('MRE'!$N$10:$N$18,MATCH($F73,'MRE'!$B$10:$B$18,0))="","Cell will autofill based on response",INDEX('MRE'!$N$10:$N$18,MATCH($F73,'MRE'!$B$10:$B$18,0))),"N/A")</f>
        <v/>
      </c>
      <c r="S73" s="52">
        <f>IFERROR(IF(INDEX('AC&amp;M'!$N$10:$N$14,MATCH($F73,'AC&amp;M'!$B$10:$B$14,0))="","Cell will autofill based on response",INDEX('AC&amp;M'!$N$10:$N$14,MATCH($F73,'AC&amp;M'!$B$10:$B$14,0))),"N/A")</f>
        <v/>
      </c>
      <c r="T73" s="52">
        <f>IFERROR(IF(INDEX('GCE'!$N$10:$N$12,MATCH($F73,'GCE'!$B$10:$B$12,0))="","Cell will autofill based on response",INDEX('GCE'!$N$10:$N$12,MATCH($F73,'GCE'!$B$10:$B$12,0))),"N/A")</f>
        <v/>
      </c>
      <c r="U73" s="52">
        <f>IFERROR(IF(INDEX('Education'!$N$10:$N$13,MATCH($F73,'Education'!$B$10:$B$13,0))="","Cell will autofill based on response",INDEX('Education'!$N$10:$N$13,MATCH($F73,'Education'!$B$10:$B$13,0))),"N/A")</f>
        <v/>
      </c>
      <c r="V73" s="52">
        <f>IFERROR(IF(INDEX('SaSS'!$N$10:$N$12,MATCH($F73,'SaSS'!$B$10:$B$12,0))="","Cell will autofill based on response",INDEX('SaSS'!$N$10:$N$12,MATCH($F73,'SaSS'!$B$10:$B$12,0))),"N/A")</f>
        <v/>
      </c>
      <c r="W73" s="52">
        <f>IFERROR(IF(INDEX('Indigenous'!$N$10:$N$11,MATCH($F73,'Indigenous'!$B$10:$B$11,0))="","Cell will autofill based on response",INDEX('Indigenous'!$N$10:$N$11,MATCH($F73,'Indigenous'!$B$10:$B$11,0))),"N/A")</f>
        <v/>
      </c>
      <c r="X73" s="52">
        <f>IFERROR(IF(INDEX('L&amp;R'!$N$10:$N$11,MATCH($F73,'L&amp;R'!$B$10:$B$11,0))="","Cell will autofill based on response",INDEX('L&amp;R'!$N$10:$N$11,MATCH($F73,'L&amp;R'!$B$10:$B$11,0))),"N/A")</f>
        <v/>
      </c>
    </row>
    <row r="74">
      <c r="A74">
        <f>F74&amp;"|"&amp;G74</f>
        <v/>
      </c>
      <c r="B74" s="13" t="inlineStr"/>
      <c r="C74" s="8" t="inlineStr"/>
      <c r="D74" s="8" t="inlineStr"/>
      <c r="E74" s="8" t="inlineStr"/>
      <c r="F74" s="8" t="inlineStr">
        <is>
          <t>TR3(b)</t>
        </is>
      </c>
      <c r="G74" s="8" t="inlineStr">
        <is>
          <t>Data source and limitations</t>
        </is>
      </c>
      <c r="H74" s="52">
        <f>IFERROR(IF(INDEX('Faculties'!$O$10:$O$19,MATCH($F74,'Faculties'!$B$10:$B$19,0))="","Cell will autofill based on response",INDEX('Faculties'!$O$10:$O$19,MATCH($F74,'Faculties'!$B$10:$B$19,0))),"N/A")</f>
        <v/>
      </c>
      <c r="I74" s="52">
        <f>IFERROR(IF(INDEX('Faculties'!$O$26:$O$35,MATCH($F74,'Faculties'!$B$26:$B$35,0))="","Cell will autofill based on response",INDEX('Faculties'!$O$26:$O$35,MATCH($F74,'Faculties'!$B$26:$B$35,0))),"N/A")</f>
        <v/>
      </c>
      <c r="J74" s="52">
        <f>IFERROR(IF(INDEX('Faculties'!$O$42:$O$51,MATCH($F74,'Faculties'!$B$42:$B$51,0))="","Cell will autofill based on response",INDEX('Faculties'!$O$42:$O$51,MATCH($F74,'Faculties'!$B$42:$B$51,0))),"N/A")</f>
        <v/>
      </c>
      <c r="K74" s="52">
        <f>IFERROR(IF(INDEX('Faculties'!$O$58:$O$67,MATCH($F74,'Faculties'!$B$58:$B$67,0))="","Cell will autofill based on response",INDEX('Faculties'!$O$58:$O$67,MATCH($F74,'Faculties'!$B$58:$B$67,0))),"N/A")</f>
        <v/>
      </c>
      <c r="L74" s="52">
        <f>IFERROR(IF(INDEX('CI&amp;S'!$O$10:$O$15,MATCH($F74,'CI&amp;S'!$B$10:$B$15,0))="","Cell will autofill based on response",INDEX('CI&amp;S'!$O$10:$O$15,MATCH($F74,'CI&amp;S'!$B$10:$B$15,0))),"N/A")</f>
        <v/>
      </c>
      <c r="M74" s="52">
        <f>IFERROR(IF(INDEX('CI&amp;S'!$O$22:$O$36,MATCH($F74,'CI&amp;S'!$B$22:$B$36,0))="","Cell will autofill based on response",INDEX('CI&amp;S'!$O$22:$O$36,MATCH($F74,'CI&amp;S'!$B$22:$B$36,0))),"N/A")</f>
        <v/>
      </c>
      <c r="N74" s="52">
        <f>IFERROR(IF(INDEX('CFOG'!$O$10:$O$16,MATCH($F74,'CFOG'!$B$10:$B$16,0))="","Cell will autofill based on response",INDEX('CFOG'!$O$10:$O$16,MATCH($F74,'CFOG'!$B$10:$B$16,0))),"N/A")</f>
        <v/>
      </c>
      <c r="O74" s="52">
        <f>IFERROR(IF(INDEX('CFOG'!$O$23:$O$24,MATCH($F74,'CFOG'!$B$23:$B$24,0))="","Cell will autofill based on response",INDEX('CFOG'!$O$23:$O$24,MATCH($F74,'CFOG'!$B$23:$B$24,0))),"N/A")</f>
        <v/>
      </c>
      <c r="P74" s="52">
        <f>IFERROR(IF(INDEX('ESG'!$O$10:$O$17,MATCH($F74,'ESG'!$B$10:$B$17,0))="","Cell will autofill based on response",INDEX('ESG'!$O$10:$O$17,MATCH($F74,'ESG'!$B$10:$B$17,0))),"N/A")</f>
        <v/>
      </c>
      <c r="Q74" s="52">
        <f>IFERROR(IF(INDEX('CIOG'!$O$10:$O$14,MATCH($F74,'CIOG'!$B$10:$B$14,0))="","Cell will autofill based on response",INDEX('CIOG'!$O$10:$O$14,MATCH($F74,'CIOG'!$B$10:$B$14,0))),"N/A")</f>
        <v/>
      </c>
      <c r="R74" s="52">
        <f>IFERROR(IF(INDEX('MRE'!$O$10:$O$18,MATCH($F74,'MRE'!$B$10:$B$18,0))="","Cell will autofill based on response",INDEX('MRE'!$O$10:$O$18,MATCH($F74,'MRE'!$B$10:$B$18,0))),"N/A")</f>
        <v/>
      </c>
      <c r="S74" s="52">
        <f>IFERROR(IF(INDEX('AC&amp;M'!$O$10:$O$14,MATCH($F74,'AC&amp;M'!$B$10:$B$14,0))="","Cell will autofill based on response",INDEX('AC&amp;M'!$O$10:$O$14,MATCH($F74,'AC&amp;M'!$B$10:$B$14,0))),"N/A")</f>
        <v/>
      </c>
      <c r="T74" s="52">
        <f>IFERROR(IF(INDEX('GCE'!$O$10:$O$12,MATCH($F74,'GCE'!$B$10:$B$12,0))="","Cell will autofill based on response",INDEX('GCE'!$O$10:$O$12,MATCH($F74,'GCE'!$B$10:$B$12,0))),"N/A")</f>
        <v/>
      </c>
      <c r="U74" s="52">
        <f>IFERROR(IF(INDEX('Education'!$O$10:$O$13,MATCH($F74,'Education'!$B$10:$B$13,0))="","Cell will autofill based on response",INDEX('Education'!$O$10:$O$13,MATCH($F74,'Education'!$B$10:$B$13,0))),"N/A")</f>
        <v/>
      </c>
      <c r="V74" s="52">
        <f>IFERROR(IF(INDEX('SaSS'!$O$10:$O$12,MATCH($F74,'SaSS'!$B$10:$B$12,0))="","Cell will autofill based on response",INDEX('SaSS'!$O$10:$O$12,MATCH($F74,'SaSS'!$B$10:$B$12,0))),"N/A")</f>
        <v/>
      </c>
      <c r="W74" s="52">
        <f>IFERROR(IF(INDEX('Indigenous'!$O$10:$O$11,MATCH($F74,'Indigenous'!$B$10:$B$11,0))="","Cell will autofill based on response",INDEX('Indigenous'!$O$10:$O$11,MATCH($F74,'Indigenous'!$B$10:$B$11,0))),"N/A")</f>
        <v/>
      </c>
      <c r="X74" s="52">
        <f>IFERROR(IF(INDEX('L&amp;R'!$O$10:$O$11,MATCH($F74,'L&amp;R'!$B$10:$B$11,0))="","Cell will autofill based on response",INDEX('L&amp;R'!$O$10:$O$11,MATCH($F74,'L&amp;R'!$B$10:$B$11,0))),"N/A")</f>
        <v/>
      </c>
    </row>
    <row r="75">
      <c r="A75">
        <f>F75&amp;"|"&amp;G75</f>
        <v/>
      </c>
      <c r="B75" s="13" t="inlineStr"/>
      <c r="C75" s="8" t="inlineStr"/>
      <c r="D75" s="8" t="inlineStr"/>
      <c r="E75" s="8" t="inlineStr"/>
      <c r="F75" s="8" t="inlineStr">
        <is>
          <t>TR3(b)</t>
        </is>
      </c>
      <c r="G75" s="8" t="inlineStr">
        <is>
          <t>Data owner confirms</t>
        </is>
      </c>
      <c r="H75" s="52">
        <f>IFERROR(IF(INDEX('Faculties'!$P$10:$P$19,MATCH($F75,'Faculties'!$B$10:$B$19,0))="","Cell will autofill based on response",INDEX('Faculties'!$P$10:$P$19,MATCH($F75,'Faculties'!$B$10:$B$19,0))),"N/A")</f>
        <v/>
      </c>
      <c r="I75" s="52">
        <f>IFERROR(IF(INDEX('Faculties'!$P$26:$P$35,MATCH($F75,'Faculties'!$B$26:$B$35,0))="","Cell will autofill based on response",INDEX('Faculties'!$P$26:$P$35,MATCH($F75,'Faculties'!$B$26:$B$35,0))),"N/A")</f>
        <v/>
      </c>
      <c r="J75" s="52">
        <f>IFERROR(IF(INDEX('Faculties'!$P$42:$P$51,MATCH($F75,'Faculties'!$B$42:$B$51,0))="","Cell will autofill based on response",INDEX('Faculties'!$P$42:$P$51,MATCH($F75,'Faculties'!$B$42:$B$51,0))),"N/A")</f>
        <v/>
      </c>
      <c r="K75" s="52">
        <f>IFERROR(IF(INDEX('Faculties'!$P$58:$P$67,MATCH($F75,'Faculties'!$B$58:$B$67,0))="","Cell will autofill based on response",INDEX('Faculties'!$P$58:$P$67,MATCH($F75,'Faculties'!$B$58:$B$67,0))),"N/A")</f>
        <v/>
      </c>
      <c r="L75" s="52">
        <f>IFERROR(IF(INDEX('CI&amp;S'!$P$10:$P$15,MATCH($F75,'CI&amp;S'!$B$10:$B$15,0))="","Cell will autofill based on response",INDEX('CI&amp;S'!$P$10:$P$15,MATCH($F75,'CI&amp;S'!$B$10:$B$15,0))),"N/A")</f>
        <v/>
      </c>
      <c r="M75" s="52">
        <f>IFERROR(IF(INDEX('CI&amp;S'!$P$22:$P$36,MATCH($F75,'CI&amp;S'!$B$22:$B$36,0))="","Cell will autofill based on response",INDEX('CI&amp;S'!$P$22:$P$36,MATCH($F75,'CI&amp;S'!$B$22:$B$36,0))),"N/A")</f>
        <v/>
      </c>
      <c r="N75" s="52">
        <f>IFERROR(IF(INDEX('CFOG'!$P$10:$P$16,MATCH($F75,'CFOG'!$B$10:$B$16,0))="","Cell will autofill based on response",INDEX('CFOG'!$P$10:$P$16,MATCH($F75,'CFOG'!$B$10:$B$16,0))),"N/A")</f>
        <v/>
      </c>
      <c r="O75" s="52">
        <f>IFERROR(IF(INDEX('CFOG'!$P$23:$P$24,MATCH($F75,'CFOG'!$B$23:$B$24,0))="","Cell will autofill based on response",INDEX('CFOG'!$P$23:$P$24,MATCH($F75,'CFOG'!$B$23:$B$24,0))),"N/A")</f>
        <v/>
      </c>
      <c r="P75" s="52">
        <f>IFERROR(IF(INDEX('ESG'!$P$10:$P$17,MATCH($F75,'ESG'!$B$10:$B$17,0))="","Cell will autofill based on response",INDEX('ESG'!$P$10:$P$17,MATCH($F75,'ESG'!$B$10:$B$17,0))),"N/A")</f>
        <v/>
      </c>
      <c r="Q75" s="52">
        <f>IFERROR(IF(INDEX('CIOG'!$P$10:$P$14,MATCH($F75,'CIOG'!$B$10:$B$14,0))="","Cell will autofill based on response",INDEX('CIOG'!$P$10:$P$14,MATCH($F75,'CIOG'!$B$10:$B$14,0))),"N/A")</f>
        <v/>
      </c>
      <c r="R75" s="52">
        <f>IFERROR(IF(INDEX('MRE'!$P$10:$P$18,MATCH($F75,'MRE'!$B$10:$B$18,0))="","Cell will autofill based on response",INDEX('MRE'!$P$10:$P$18,MATCH($F75,'MRE'!$B$10:$B$18,0))),"N/A")</f>
        <v/>
      </c>
      <c r="S75" s="52">
        <f>IFERROR(IF(INDEX('AC&amp;M'!$P$10:$P$14,MATCH($F75,'AC&amp;M'!$B$10:$B$14,0))="","Cell will autofill based on response",INDEX('AC&amp;M'!$P$10:$P$14,MATCH($F75,'AC&amp;M'!$B$10:$B$14,0))),"N/A")</f>
        <v/>
      </c>
      <c r="T75" s="52">
        <f>IFERROR(IF(INDEX('GCE'!$P$10:$P$12,MATCH($F75,'GCE'!$B$10:$B$12,0))="","Cell will autofill based on response",INDEX('GCE'!$P$10:$P$12,MATCH($F75,'GCE'!$B$10:$B$12,0))),"N/A")</f>
        <v/>
      </c>
      <c r="U75" s="52">
        <f>IFERROR(IF(INDEX('Education'!$P$10:$P$13,MATCH($F75,'Education'!$B$10:$B$13,0))="","Cell will autofill based on response",INDEX('Education'!$P$10:$P$13,MATCH($F75,'Education'!$B$10:$B$13,0))),"N/A")</f>
        <v/>
      </c>
      <c r="V75" s="52">
        <f>IFERROR(IF(INDEX('SaSS'!$P$10:$P$12,MATCH($F75,'SaSS'!$B$10:$B$12,0))="","Cell will autofill based on response",INDEX('SaSS'!$P$10:$P$12,MATCH($F75,'SaSS'!$B$10:$B$12,0))),"N/A")</f>
        <v/>
      </c>
      <c r="W75" s="52">
        <f>IFERROR(IF(INDEX('Indigenous'!$P$10:$P$11,MATCH($F75,'Indigenous'!$B$10:$B$11,0))="","Cell will autofill based on response",INDEX('Indigenous'!$P$10:$P$11,MATCH($F75,'Indigenous'!$B$10:$B$11,0))),"N/A")</f>
        <v/>
      </c>
      <c r="X75" s="52">
        <f>IFERROR(IF(INDEX('L&amp;R'!$P$10:$P$11,MATCH($F75,'L&amp;R'!$B$10:$B$11,0))="","Cell will autofill based on response",INDEX('L&amp;R'!$P$10:$P$11,MATCH($F75,'L&amp;R'!$B$10:$B$11,0))),"N/A")</f>
        <v/>
      </c>
    </row>
    <row r="76">
      <c r="A76">
        <f>F76&amp;"|"&amp;G76</f>
        <v/>
      </c>
      <c r="B76" s="7" t="inlineStr">
        <is>
          <t>TR3(c)</t>
        </is>
      </c>
      <c r="C76" s="50" t="inlineStr">
        <is>
          <t>Transformational research</t>
        </is>
      </c>
      <c r="D76" s="50" t="inlineStr">
        <is>
          <t>Evidence of progress in sustainability-related research culture, capability and awareness, informed by periodic staff and graduate researcher surveys</t>
        </is>
      </c>
      <c r="E76" s="50"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50" t="inlineStr">
        <is>
          <t>TR3(c)</t>
        </is>
      </c>
      <c r="G76" s="50" t="inlineStr">
        <is>
          <t>OPTION 1:  Target-level reporting</t>
        </is>
      </c>
      <c r="H76" s="52">
        <f>IFERROR(IF(INDEX('Faculties'!$L$10:$L$19,MATCH($F76,'Faculties'!$B$10:$B$19,0))="","Cell will autofill based on response",INDEX('Faculties'!$L$10:$L$19,MATCH($F76,'Faculties'!$B$10:$B$19,0))),"N/A")</f>
        <v/>
      </c>
      <c r="I76" s="52">
        <f>IFERROR(IF(INDEX('Faculties'!$L$26:$L$35,MATCH($F76,'Faculties'!$B$26:$B$35,0))="","Cell will autofill based on response",INDEX('Faculties'!$L$26:$L$35,MATCH($F76,'Faculties'!$B$26:$B$35,0))),"N/A")</f>
        <v/>
      </c>
      <c r="J76" s="52">
        <f>IFERROR(IF(INDEX('Faculties'!$L$42:$L$51,MATCH($F76,'Faculties'!$B$42:$B$51,0))="","Cell will autofill based on response",INDEX('Faculties'!$L$42:$L$51,MATCH($F76,'Faculties'!$B$42:$B$51,0))),"N/A")</f>
        <v/>
      </c>
      <c r="K76" s="52">
        <f>IFERROR(IF(INDEX('Faculties'!$L$58:$L$67,MATCH($F76,'Faculties'!$B$58:$B$67,0))="","Cell will autofill based on response",INDEX('Faculties'!$L$58:$L$67,MATCH($F76,'Faculties'!$B$58:$B$67,0))),"N/A")</f>
        <v/>
      </c>
      <c r="L76" s="52">
        <f>IFERROR(IF(INDEX('CI&amp;S'!$L$10:$L$15,MATCH($F76,'CI&amp;S'!$B$10:$B$15,0))="","Cell will autofill based on response",INDEX('CI&amp;S'!$L$10:$L$15,MATCH($F76,'CI&amp;S'!$B$10:$B$15,0))),"N/A")</f>
        <v/>
      </c>
      <c r="M76" s="52">
        <f>IFERROR(IF(INDEX('CI&amp;S'!$L$22:$L$36,MATCH($F76,'CI&amp;S'!$B$22:$B$36,0))="","Cell will autofill based on response",INDEX('CI&amp;S'!$L$22:$L$36,MATCH($F76,'CI&amp;S'!$B$22:$B$36,0))),"N/A")</f>
        <v/>
      </c>
      <c r="N76" s="52">
        <f>IFERROR(IF(INDEX('CFOG'!$L$10:$L$16,MATCH($F76,'CFOG'!$B$10:$B$16,0))="","Cell will autofill based on response",INDEX('CFOG'!$L$10:$L$16,MATCH($F76,'CFOG'!$B$10:$B$16,0))),"N/A")</f>
        <v/>
      </c>
      <c r="O76" s="52">
        <f>IFERROR(IF(INDEX('CFOG'!$L$23:$L$24,MATCH($F76,'CFOG'!$B$23:$B$24,0))="","Cell will autofill based on response",INDEX('CFOG'!$L$23:$L$24,MATCH($F76,'CFOG'!$B$23:$B$24,0))),"N/A")</f>
        <v/>
      </c>
      <c r="P76" s="52">
        <f>IFERROR(IF(INDEX('ESG'!$L$10:$L$17,MATCH($F76,'ESG'!$B$10:$B$17,0))="","Cell will autofill based on response",INDEX('ESG'!$L$10:$L$17,MATCH($F76,'ESG'!$B$10:$B$17,0))),"N/A")</f>
        <v/>
      </c>
      <c r="Q76" s="52">
        <f>IFERROR(IF(INDEX('CIOG'!$L$10:$L$14,MATCH($F76,'CIOG'!$B$10:$B$14,0))="","Cell will autofill based on response",INDEX('CIOG'!$L$10:$L$14,MATCH($F76,'CIOG'!$B$10:$B$14,0))),"N/A")</f>
        <v/>
      </c>
      <c r="R76" s="52">
        <f>IFERROR(IF(INDEX('MRE'!$L$10:$L$18,MATCH($F76,'MRE'!$B$10:$B$18,0))="","Cell will autofill based on response",INDEX('MRE'!$L$10:$L$18,MATCH($F76,'MRE'!$B$10:$B$18,0))),"N/A")</f>
        <v/>
      </c>
      <c r="S76" s="52">
        <f>IFERROR(IF(INDEX('AC&amp;M'!$L$10:$L$14,MATCH($F76,'AC&amp;M'!$B$10:$B$14,0))="","Cell will autofill based on response",INDEX('AC&amp;M'!$L$10:$L$14,MATCH($F76,'AC&amp;M'!$B$10:$B$14,0))),"N/A")</f>
        <v/>
      </c>
      <c r="T76" s="52">
        <f>IFERROR(IF(INDEX('GCE'!$L$10:$L$12,MATCH($F76,'GCE'!$B$10:$B$12,0))="","Cell will autofill based on response",INDEX('GCE'!$L$10:$L$12,MATCH($F76,'GCE'!$B$10:$B$12,0))),"N/A")</f>
        <v/>
      </c>
      <c r="U76" s="52">
        <f>IFERROR(IF(INDEX('Education'!$L$10:$L$13,MATCH($F76,'Education'!$B$10:$B$13,0))="","Cell will autofill based on response",INDEX('Education'!$L$10:$L$13,MATCH($F76,'Education'!$B$10:$B$13,0))),"N/A")</f>
        <v/>
      </c>
      <c r="V76" s="52">
        <f>IFERROR(IF(INDEX('SaSS'!$L$10:$L$12,MATCH($F76,'SaSS'!$B$10:$B$12,0))="","Cell will autofill based on response",INDEX('SaSS'!$L$10:$L$12,MATCH($F76,'SaSS'!$B$10:$B$12,0))),"N/A")</f>
        <v/>
      </c>
      <c r="W76" s="52">
        <f>IFERROR(IF(INDEX('Indigenous'!$L$10:$L$11,MATCH($F76,'Indigenous'!$B$10:$B$11,0))="","Cell will autofill based on response",INDEX('Indigenous'!$L$10:$L$11,MATCH($F76,'Indigenous'!$B$10:$B$11,0))),"N/A")</f>
        <v/>
      </c>
      <c r="X76" s="52">
        <f>IFERROR(IF(INDEX('L&amp;R'!$L$10:$L$11,MATCH($F76,'L&amp;R'!$B$10:$B$11,0))="","Cell will autofill based on response",INDEX('L&amp;R'!$L$10:$L$11,MATCH($F76,'L&amp;R'!$B$10:$B$11,0))),"N/A")</f>
        <v/>
      </c>
      <c r="Z76" s="10">
        <f>SUMPRODUCT(--($H76:$X76&lt;&gt;"N/A"))</f>
        <v/>
      </c>
      <c r="AA76" s="10">
        <f>SUMPRODUCT(--(((($H76:$X76&lt;&gt;"N/A")*($H76:$X76&lt;&gt;"Cell will autofill based on response"))+(($H77:$X77&lt;&gt;"N/A")*($H77:$X77&lt;&gt;"Cell will autofill based on response")))&gt;0))</f>
        <v/>
      </c>
      <c r="AB76" s="10">
        <f>Z76-AA76</f>
        <v/>
      </c>
      <c r="AC76" s="10">
        <f>COUNTIF($H80:$X80,"Yes")</f>
        <v/>
      </c>
    </row>
    <row r="77">
      <c r="A77">
        <f>F77&amp;"|"&amp;G77</f>
        <v/>
      </c>
      <c r="B77" s="13" t="inlineStr"/>
      <c r="C77" s="8" t="inlineStr"/>
      <c r="D77" s="8" t="inlineStr"/>
      <c r="E77" s="8" t="inlineStr"/>
      <c r="F77" s="8" t="inlineStr">
        <is>
          <t>TR3(c)</t>
        </is>
      </c>
      <c r="G77" s="8" t="inlineStr">
        <is>
          <t>OPTION 2:  Indicator level reporting</t>
        </is>
      </c>
      <c r="H77" s="52">
        <f>IFERROR(IF(INDEX('Faculties'!$M$10:$M$19,MATCH($F77,'Faculties'!$B$10:$B$19,0))="","Cell will autofill based on response",INDEX('Faculties'!$M$10:$M$19,MATCH($F77,'Faculties'!$B$10:$B$19,0))),"N/A")</f>
        <v/>
      </c>
      <c r="I77" s="52">
        <f>IFERROR(IF(INDEX('Faculties'!$M$26:$M$35,MATCH($F77,'Faculties'!$B$26:$B$35,0))="","Cell will autofill based on response",INDEX('Faculties'!$M$26:$M$35,MATCH($F77,'Faculties'!$B$26:$B$35,0))),"N/A")</f>
        <v/>
      </c>
      <c r="J77" s="52">
        <f>IFERROR(IF(INDEX('Faculties'!$M$42:$M$51,MATCH($F77,'Faculties'!$B$42:$B$51,0))="","Cell will autofill based on response",INDEX('Faculties'!$M$42:$M$51,MATCH($F77,'Faculties'!$B$42:$B$51,0))),"N/A")</f>
        <v/>
      </c>
      <c r="K77" s="52">
        <f>IFERROR(IF(INDEX('Faculties'!$M$58:$M$67,MATCH($F77,'Faculties'!$B$58:$B$67,0))="","Cell will autofill based on response",INDEX('Faculties'!$M$58:$M$67,MATCH($F77,'Faculties'!$B$58:$B$67,0))),"N/A")</f>
        <v/>
      </c>
      <c r="L77" s="52">
        <f>IFERROR(IF(INDEX('CI&amp;S'!$M$10:$M$15,MATCH($F77,'CI&amp;S'!$B$10:$B$15,0))="","Cell will autofill based on response",INDEX('CI&amp;S'!$M$10:$M$15,MATCH($F77,'CI&amp;S'!$B$10:$B$15,0))),"N/A")</f>
        <v/>
      </c>
      <c r="M77" s="52">
        <f>IFERROR(IF(INDEX('CI&amp;S'!$M$22:$M$36,MATCH($F77,'CI&amp;S'!$B$22:$B$36,0))="","Cell will autofill based on response",INDEX('CI&amp;S'!$M$22:$M$36,MATCH($F77,'CI&amp;S'!$B$22:$B$36,0))),"N/A")</f>
        <v/>
      </c>
      <c r="N77" s="52">
        <f>IFERROR(IF(INDEX('CFOG'!$M$10:$M$16,MATCH($F77,'CFOG'!$B$10:$B$16,0))="","Cell will autofill based on response",INDEX('CFOG'!$M$10:$M$16,MATCH($F77,'CFOG'!$B$10:$B$16,0))),"N/A")</f>
        <v/>
      </c>
      <c r="O77" s="52">
        <f>IFERROR(IF(INDEX('CFOG'!$M$23:$M$24,MATCH($F77,'CFOG'!$B$23:$B$24,0))="","Cell will autofill based on response",INDEX('CFOG'!$M$23:$M$24,MATCH($F77,'CFOG'!$B$23:$B$24,0))),"N/A")</f>
        <v/>
      </c>
      <c r="P77" s="52">
        <f>IFERROR(IF(INDEX('ESG'!$M$10:$M$17,MATCH($F77,'ESG'!$B$10:$B$17,0))="","Cell will autofill based on response",INDEX('ESG'!$M$10:$M$17,MATCH($F77,'ESG'!$B$10:$B$17,0))),"N/A")</f>
        <v/>
      </c>
      <c r="Q77" s="52">
        <f>IFERROR(IF(INDEX('CIOG'!$M$10:$M$14,MATCH($F77,'CIOG'!$B$10:$B$14,0))="","Cell will autofill based on response",INDEX('CIOG'!$M$10:$M$14,MATCH($F77,'CIOG'!$B$10:$B$14,0))),"N/A")</f>
        <v/>
      </c>
      <c r="R77" s="52">
        <f>IFERROR(IF(INDEX('MRE'!$M$10:$M$18,MATCH($F77,'MRE'!$B$10:$B$18,0))="","Cell will autofill based on response",INDEX('MRE'!$M$10:$M$18,MATCH($F77,'MRE'!$B$10:$B$18,0))),"N/A")</f>
        <v/>
      </c>
      <c r="S77" s="52">
        <f>IFERROR(IF(INDEX('AC&amp;M'!$M$10:$M$14,MATCH($F77,'AC&amp;M'!$B$10:$B$14,0))="","Cell will autofill based on response",INDEX('AC&amp;M'!$M$10:$M$14,MATCH($F77,'AC&amp;M'!$B$10:$B$14,0))),"N/A")</f>
        <v/>
      </c>
      <c r="T77" s="52">
        <f>IFERROR(IF(INDEX('GCE'!$M$10:$M$12,MATCH($F77,'GCE'!$B$10:$B$12,0))="","Cell will autofill based on response",INDEX('GCE'!$M$10:$M$12,MATCH($F77,'GCE'!$B$10:$B$12,0))),"N/A")</f>
        <v/>
      </c>
      <c r="U77" s="52">
        <f>IFERROR(IF(INDEX('Education'!$M$10:$M$13,MATCH($F77,'Education'!$B$10:$B$13,0))="","Cell will autofill based on response",INDEX('Education'!$M$10:$M$13,MATCH($F77,'Education'!$B$10:$B$13,0))),"N/A")</f>
        <v/>
      </c>
      <c r="V77" s="52">
        <f>IFERROR(IF(INDEX('SaSS'!$M$10:$M$12,MATCH($F77,'SaSS'!$B$10:$B$12,0))="","Cell will autofill based on response",INDEX('SaSS'!$M$10:$M$12,MATCH($F77,'SaSS'!$B$10:$B$12,0))),"N/A")</f>
        <v/>
      </c>
      <c r="W77" s="52">
        <f>IFERROR(IF(INDEX('Indigenous'!$M$10:$M$11,MATCH($F77,'Indigenous'!$B$10:$B$11,0))="","Cell will autofill based on response",INDEX('Indigenous'!$M$10:$M$11,MATCH($F77,'Indigenous'!$B$10:$B$11,0))),"N/A")</f>
        <v/>
      </c>
      <c r="X77" s="52">
        <f>IFERROR(IF(INDEX('L&amp;R'!$M$10:$M$11,MATCH($F77,'L&amp;R'!$B$10:$B$11,0))="","Cell will autofill based on response",INDEX('L&amp;R'!$M$10:$M$11,MATCH($F77,'L&amp;R'!$B$10:$B$11,0))),"N/A")</f>
        <v/>
      </c>
    </row>
    <row r="78">
      <c r="A78">
        <f>F78&amp;"|"&amp;G78</f>
        <v/>
      </c>
      <c r="B78" s="13" t="inlineStr"/>
      <c r="C78" s="8" t="inlineStr"/>
      <c r="D78" s="8" t="inlineStr"/>
      <c r="E78" s="8" t="inlineStr"/>
      <c r="F78" s="8" t="inlineStr">
        <is>
          <t>TR3(c)</t>
        </is>
      </c>
      <c r="G78" s="8" t="inlineStr">
        <is>
          <t>Supporting information/comments</t>
        </is>
      </c>
      <c r="H78" s="52">
        <f>IFERROR(IF(INDEX('Faculties'!$N$10:$N$19,MATCH($F78,'Faculties'!$B$10:$B$19,0))="","Cell will autofill based on response",INDEX('Faculties'!$N$10:$N$19,MATCH($F78,'Faculties'!$B$10:$B$19,0))),"N/A")</f>
        <v/>
      </c>
      <c r="I78" s="52">
        <f>IFERROR(IF(INDEX('Faculties'!$N$26:$N$35,MATCH($F78,'Faculties'!$B$26:$B$35,0))="","Cell will autofill based on response",INDEX('Faculties'!$N$26:$N$35,MATCH($F78,'Faculties'!$B$26:$B$35,0))),"N/A")</f>
        <v/>
      </c>
      <c r="J78" s="52">
        <f>IFERROR(IF(INDEX('Faculties'!$N$42:$N$51,MATCH($F78,'Faculties'!$B$42:$B$51,0))="","Cell will autofill based on response",INDEX('Faculties'!$N$42:$N$51,MATCH($F78,'Faculties'!$B$42:$B$51,0))),"N/A")</f>
        <v/>
      </c>
      <c r="K78" s="52">
        <f>IFERROR(IF(INDEX('Faculties'!$N$58:$N$67,MATCH($F78,'Faculties'!$B$58:$B$67,0))="","Cell will autofill based on response",INDEX('Faculties'!$N$58:$N$67,MATCH($F78,'Faculties'!$B$58:$B$67,0))),"N/A")</f>
        <v/>
      </c>
      <c r="L78" s="52">
        <f>IFERROR(IF(INDEX('CI&amp;S'!$N$10:$N$15,MATCH($F78,'CI&amp;S'!$B$10:$B$15,0))="","Cell will autofill based on response",INDEX('CI&amp;S'!$N$10:$N$15,MATCH($F78,'CI&amp;S'!$B$10:$B$15,0))),"N/A")</f>
        <v/>
      </c>
      <c r="M78" s="52">
        <f>IFERROR(IF(INDEX('CI&amp;S'!$N$22:$N$36,MATCH($F78,'CI&amp;S'!$B$22:$B$36,0))="","Cell will autofill based on response",INDEX('CI&amp;S'!$N$22:$N$36,MATCH($F78,'CI&amp;S'!$B$22:$B$36,0))),"N/A")</f>
        <v/>
      </c>
      <c r="N78" s="52">
        <f>IFERROR(IF(INDEX('CFOG'!$N$10:$N$16,MATCH($F78,'CFOG'!$B$10:$B$16,0))="","Cell will autofill based on response",INDEX('CFOG'!$N$10:$N$16,MATCH($F78,'CFOG'!$B$10:$B$16,0))),"N/A")</f>
        <v/>
      </c>
      <c r="O78" s="52">
        <f>IFERROR(IF(INDEX('CFOG'!$N$23:$N$24,MATCH($F78,'CFOG'!$B$23:$B$24,0))="","Cell will autofill based on response",INDEX('CFOG'!$N$23:$N$24,MATCH($F78,'CFOG'!$B$23:$B$24,0))),"N/A")</f>
        <v/>
      </c>
      <c r="P78" s="52">
        <f>IFERROR(IF(INDEX('ESG'!$N$10:$N$17,MATCH($F78,'ESG'!$B$10:$B$17,0))="","Cell will autofill based on response",INDEX('ESG'!$N$10:$N$17,MATCH($F78,'ESG'!$B$10:$B$17,0))),"N/A")</f>
        <v/>
      </c>
      <c r="Q78" s="52">
        <f>IFERROR(IF(INDEX('CIOG'!$N$10:$N$14,MATCH($F78,'CIOG'!$B$10:$B$14,0))="","Cell will autofill based on response",INDEX('CIOG'!$N$10:$N$14,MATCH($F78,'CIOG'!$B$10:$B$14,0))),"N/A")</f>
        <v/>
      </c>
      <c r="R78" s="52">
        <f>IFERROR(IF(INDEX('MRE'!$N$10:$N$18,MATCH($F78,'MRE'!$B$10:$B$18,0))="","Cell will autofill based on response",INDEX('MRE'!$N$10:$N$18,MATCH($F78,'MRE'!$B$10:$B$18,0))),"N/A")</f>
        <v/>
      </c>
      <c r="S78" s="52">
        <f>IFERROR(IF(INDEX('AC&amp;M'!$N$10:$N$14,MATCH($F78,'AC&amp;M'!$B$10:$B$14,0))="","Cell will autofill based on response",INDEX('AC&amp;M'!$N$10:$N$14,MATCH($F78,'AC&amp;M'!$B$10:$B$14,0))),"N/A")</f>
        <v/>
      </c>
      <c r="T78" s="52">
        <f>IFERROR(IF(INDEX('GCE'!$N$10:$N$12,MATCH($F78,'GCE'!$B$10:$B$12,0))="","Cell will autofill based on response",INDEX('GCE'!$N$10:$N$12,MATCH($F78,'GCE'!$B$10:$B$12,0))),"N/A")</f>
        <v/>
      </c>
      <c r="U78" s="52">
        <f>IFERROR(IF(INDEX('Education'!$N$10:$N$13,MATCH($F78,'Education'!$B$10:$B$13,0))="","Cell will autofill based on response",INDEX('Education'!$N$10:$N$13,MATCH($F78,'Education'!$B$10:$B$13,0))),"N/A")</f>
        <v/>
      </c>
      <c r="V78" s="52">
        <f>IFERROR(IF(INDEX('SaSS'!$N$10:$N$12,MATCH($F78,'SaSS'!$B$10:$B$12,0))="","Cell will autofill based on response",INDEX('SaSS'!$N$10:$N$12,MATCH($F78,'SaSS'!$B$10:$B$12,0))),"N/A")</f>
        <v/>
      </c>
      <c r="W78" s="52">
        <f>IFERROR(IF(INDEX('Indigenous'!$N$10:$N$11,MATCH($F78,'Indigenous'!$B$10:$B$11,0))="","Cell will autofill based on response",INDEX('Indigenous'!$N$10:$N$11,MATCH($F78,'Indigenous'!$B$10:$B$11,0))),"N/A")</f>
        <v/>
      </c>
      <c r="X78" s="52">
        <f>IFERROR(IF(INDEX('L&amp;R'!$N$10:$N$11,MATCH($F78,'L&amp;R'!$B$10:$B$11,0))="","Cell will autofill based on response",INDEX('L&amp;R'!$N$10:$N$11,MATCH($F78,'L&amp;R'!$B$10:$B$11,0))),"N/A")</f>
        <v/>
      </c>
    </row>
    <row r="79">
      <c r="A79">
        <f>F79&amp;"|"&amp;G79</f>
        <v/>
      </c>
      <c r="B79" s="13" t="inlineStr"/>
      <c r="C79" s="8" t="inlineStr"/>
      <c r="D79" s="8" t="inlineStr"/>
      <c r="E79" s="8" t="inlineStr"/>
      <c r="F79" s="8" t="inlineStr">
        <is>
          <t>TR3(c)</t>
        </is>
      </c>
      <c r="G79" s="8" t="inlineStr">
        <is>
          <t>Data source and limitations</t>
        </is>
      </c>
      <c r="H79" s="52">
        <f>IFERROR(IF(INDEX('Faculties'!$O$10:$O$19,MATCH($F79,'Faculties'!$B$10:$B$19,0))="","Cell will autofill based on response",INDEX('Faculties'!$O$10:$O$19,MATCH($F79,'Faculties'!$B$10:$B$19,0))),"N/A")</f>
        <v/>
      </c>
      <c r="I79" s="52">
        <f>IFERROR(IF(INDEX('Faculties'!$O$26:$O$35,MATCH($F79,'Faculties'!$B$26:$B$35,0))="","Cell will autofill based on response",INDEX('Faculties'!$O$26:$O$35,MATCH($F79,'Faculties'!$B$26:$B$35,0))),"N/A")</f>
        <v/>
      </c>
      <c r="J79" s="52">
        <f>IFERROR(IF(INDEX('Faculties'!$O$42:$O$51,MATCH($F79,'Faculties'!$B$42:$B$51,0))="","Cell will autofill based on response",INDEX('Faculties'!$O$42:$O$51,MATCH($F79,'Faculties'!$B$42:$B$51,0))),"N/A")</f>
        <v/>
      </c>
      <c r="K79" s="52">
        <f>IFERROR(IF(INDEX('Faculties'!$O$58:$O$67,MATCH($F79,'Faculties'!$B$58:$B$67,0))="","Cell will autofill based on response",INDEX('Faculties'!$O$58:$O$67,MATCH($F79,'Faculties'!$B$58:$B$67,0))),"N/A")</f>
        <v/>
      </c>
      <c r="L79" s="52">
        <f>IFERROR(IF(INDEX('CI&amp;S'!$O$10:$O$15,MATCH($F79,'CI&amp;S'!$B$10:$B$15,0))="","Cell will autofill based on response",INDEX('CI&amp;S'!$O$10:$O$15,MATCH($F79,'CI&amp;S'!$B$10:$B$15,0))),"N/A")</f>
        <v/>
      </c>
      <c r="M79" s="52">
        <f>IFERROR(IF(INDEX('CI&amp;S'!$O$22:$O$36,MATCH($F79,'CI&amp;S'!$B$22:$B$36,0))="","Cell will autofill based on response",INDEX('CI&amp;S'!$O$22:$O$36,MATCH($F79,'CI&amp;S'!$B$22:$B$36,0))),"N/A")</f>
        <v/>
      </c>
      <c r="N79" s="52">
        <f>IFERROR(IF(INDEX('CFOG'!$O$10:$O$16,MATCH($F79,'CFOG'!$B$10:$B$16,0))="","Cell will autofill based on response",INDEX('CFOG'!$O$10:$O$16,MATCH($F79,'CFOG'!$B$10:$B$16,0))),"N/A")</f>
        <v/>
      </c>
      <c r="O79" s="52">
        <f>IFERROR(IF(INDEX('CFOG'!$O$23:$O$24,MATCH($F79,'CFOG'!$B$23:$B$24,0))="","Cell will autofill based on response",INDEX('CFOG'!$O$23:$O$24,MATCH($F79,'CFOG'!$B$23:$B$24,0))),"N/A")</f>
        <v/>
      </c>
      <c r="P79" s="52">
        <f>IFERROR(IF(INDEX('ESG'!$O$10:$O$17,MATCH($F79,'ESG'!$B$10:$B$17,0))="","Cell will autofill based on response",INDEX('ESG'!$O$10:$O$17,MATCH($F79,'ESG'!$B$10:$B$17,0))),"N/A")</f>
        <v/>
      </c>
      <c r="Q79" s="52">
        <f>IFERROR(IF(INDEX('CIOG'!$O$10:$O$14,MATCH($F79,'CIOG'!$B$10:$B$14,0))="","Cell will autofill based on response",INDEX('CIOG'!$O$10:$O$14,MATCH($F79,'CIOG'!$B$10:$B$14,0))),"N/A")</f>
        <v/>
      </c>
      <c r="R79" s="52">
        <f>IFERROR(IF(INDEX('MRE'!$O$10:$O$18,MATCH($F79,'MRE'!$B$10:$B$18,0))="","Cell will autofill based on response",INDEX('MRE'!$O$10:$O$18,MATCH($F79,'MRE'!$B$10:$B$18,0))),"N/A")</f>
        <v/>
      </c>
      <c r="S79" s="52">
        <f>IFERROR(IF(INDEX('AC&amp;M'!$O$10:$O$14,MATCH($F79,'AC&amp;M'!$B$10:$B$14,0))="","Cell will autofill based on response",INDEX('AC&amp;M'!$O$10:$O$14,MATCH($F79,'AC&amp;M'!$B$10:$B$14,0))),"N/A")</f>
        <v/>
      </c>
      <c r="T79" s="52">
        <f>IFERROR(IF(INDEX('GCE'!$O$10:$O$12,MATCH($F79,'GCE'!$B$10:$B$12,0))="","Cell will autofill based on response",INDEX('GCE'!$O$10:$O$12,MATCH($F79,'GCE'!$B$10:$B$12,0))),"N/A")</f>
        <v/>
      </c>
      <c r="U79" s="52">
        <f>IFERROR(IF(INDEX('Education'!$O$10:$O$13,MATCH($F79,'Education'!$B$10:$B$13,0))="","Cell will autofill based on response",INDEX('Education'!$O$10:$O$13,MATCH($F79,'Education'!$B$10:$B$13,0))),"N/A")</f>
        <v/>
      </c>
      <c r="V79" s="52">
        <f>IFERROR(IF(INDEX('SaSS'!$O$10:$O$12,MATCH($F79,'SaSS'!$B$10:$B$12,0))="","Cell will autofill based on response",INDEX('SaSS'!$O$10:$O$12,MATCH($F79,'SaSS'!$B$10:$B$12,0))),"N/A")</f>
        <v/>
      </c>
      <c r="W79" s="52">
        <f>IFERROR(IF(INDEX('Indigenous'!$O$10:$O$11,MATCH($F79,'Indigenous'!$B$10:$B$11,0))="","Cell will autofill based on response",INDEX('Indigenous'!$O$10:$O$11,MATCH($F79,'Indigenous'!$B$10:$B$11,0))),"N/A")</f>
        <v/>
      </c>
      <c r="X79" s="52">
        <f>IFERROR(IF(INDEX('L&amp;R'!$O$10:$O$11,MATCH($F79,'L&amp;R'!$B$10:$B$11,0))="","Cell will autofill based on response",INDEX('L&amp;R'!$O$10:$O$11,MATCH($F79,'L&amp;R'!$B$10:$B$11,0))),"N/A")</f>
        <v/>
      </c>
    </row>
    <row r="80">
      <c r="A80">
        <f>F80&amp;"|"&amp;G80</f>
        <v/>
      </c>
      <c r="B80" s="13" t="inlineStr"/>
      <c r="C80" s="8" t="inlineStr"/>
      <c r="D80" s="8" t="inlineStr"/>
      <c r="E80" s="8" t="inlineStr"/>
      <c r="F80" s="8" t="inlineStr">
        <is>
          <t>TR3(c)</t>
        </is>
      </c>
      <c r="G80" s="8" t="inlineStr">
        <is>
          <t>Data owner confirms</t>
        </is>
      </c>
      <c r="H80" s="52">
        <f>IFERROR(IF(INDEX('Faculties'!$P$10:$P$19,MATCH($F80,'Faculties'!$B$10:$B$19,0))="","Cell will autofill based on response",INDEX('Faculties'!$P$10:$P$19,MATCH($F80,'Faculties'!$B$10:$B$19,0))),"N/A")</f>
        <v/>
      </c>
      <c r="I80" s="52">
        <f>IFERROR(IF(INDEX('Faculties'!$P$26:$P$35,MATCH($F80,'Faculties'!$B$26:$B$35,0))="","Cell will autofill based on response",INDEX('Faculties'!$P$26:$P$35,MATCH($F80,'Faculties'!$B$26:$B$35,0))),"N/A")</f>
        <v/>
      </c>
      <c r="J80" s="52">
        <f>IFERROR(IF(INDEX('Faculties'!$P$42:$P$51,MATCH($F80,'Faculties'!$B$42:$B$51,0))="","Cell will autofill based on response",INDEX('Faculties'!$P$42:$P$51,MATCH($F80,'Faculties'!$B$42:$B$51,0))),"N/A")</f>
        <v/>
      </c>
      <c r="K80" s="52">
        <f>IFERROR(IF(INDEX('Faculties'!$P$58:$P$67,MATCH($F80,'Faculties'!$B$58:$B$67,0))="","Cell will autofill based on response",INDEX('Faculties'!$P$58:$P$67,MATCH($F80,'Faculties'!$B$58:$B$67,0))),"N/A")</f>
        <v/>
      </c>
      <c r="L80" s="52">
        <f>IFERROR(IF(INDEX('CI&amp;S'!$P$10:$P$15,MATCH($F80,'CI&amp;S'!$B$10:$B$15,0))="","Cell will autofill based on response",INDEX('CI&amp;S'!$P$10:$P$15,MATCH($F80,'CI&amp;S'!$B$10:$B$15,0))),"N/A")</f>
        <v/>
      </c>
      <c r="M80" s="52">
        <f>IFERROR(IF(INDEX('CI&amp;S'!$P$22:$P$36,MATCH($F80,'CI&amp;S'!$B$22:$B$36,0))="","Cell will autofill based on response",INDEX('CI&amp;S'!$P$22:$P$36,MATCH($F80,'CI&amp;S'!$B$22:$B$36,0))),"N/A")</f>
        <v/>
      </c>
      <c r="N80" s="52">
        <f>IFERROR(IF(INDEX('CFOG'!$P$10:$P$16,MATCH($F80,'CFOG'!$B$10:$B$16,0))="","Cell will autofill based on response",INDEX('CFOG'!$P$10:$P$16,MATCH($F80,'CFOG'!$B$10:$B$16,0))),"N/A")</f>
        <v/>
      </c>
      <c r="O80" s="52">
        <f>IFERROR(IF(INDEX('CFOG'!$P$23:$P$24,MATCH($F80,'CFOG'!$B$23:$B$24,0))="","Cell will autofill based on response",INDEX('CFOG'!$P$23:$P$24,MATCH($F80,'CFOG'!$B$23:$B$24,0))),"N/A")</f>
        <v/>
      </c>
      <c r="P80" s="52">
        <f>IFERROR(IF(INDEX('ESG'!$P$10:$P$17,MATCH($F80,'ESG'!$B$10:$B$17,0))="","Cell will autofill based on response",INDEX('ESG'!$P$10:$P$17,MATCH($F80,'ESG'!$B$10:$B$17,0))),"N/A")</f>
        <v/>
      </c>
      <c r="Q80" s="52">
        <f>IFERROR(IF(INDEX('CIOG'!$P$10:$P$14,MATCH($F80,'CIOG'!$B$10:$B$14,0))="","Cell will autofill based on response",INDEX('CIOG'!$P$10:$P$14,MATCH($F80,'CIOG'!$B$10:$B$14,0))),"N/A")</f>
        <v/>
      </c>
      <c r="R80" s="52">
        <f>IFERROR(IF(INDEX('MRE'!$P$10:$P$18,MATCH($F80,'MRE'!$B$10:$B$18,0))="","Cell will autofill based on response",INDEX('MRE'!$P$10:$P$18,MATCH($F80,'MRE'!$B$10:$B$18,0))),"N/A")</f>
        <v/>
      </c>
      <c r="S80" s="52">
        <f>IFERROR(IF(INDEX('AC&amp;M'!$P$10:$P$14,MATCH($F80,'AC&amp;M'!$B$10:$B$14,0))="","Cell will autofill based on response",INDEX('AC&amp;M'!$P$10:$P$14,MATCH($F80,'AC&amp;M'!$B$10:$B$14,0))),"N/A")</f>
        <v/>
      </c>
      <c r="T80" s="52">
        <f>IFERROR(IF(INDEX('GCE'!$P$10:$P$12,MATCH($F80,'GCE'!$B$10:$B$12,0))="","Cell will autofill based on response",INDEX('GCE'!$P$10:$P$12,MATCH($F80,'GCE'!$B$10:$B$12,0))),"N/A")</f>
        <v/>
      </c>
      <c r="U80" s="52">
        <f>IFERROR(IF(INDEX('Education'!$P$10:$P$13,MATCH($F80,'Education'!$B$10:$B$13,0))="","Cell will autofill based on response",INDEX('Education'!$P$10:$P$13,MATCH($F80,'Education'!$B$10:$B$13,0))),"N/A")</f>
        <v/>
      </c>
      <c r="V80" s="52">
        <f>IFERROR(IF(INDEX('SaSS'!$P$10:$P$12,MATCH($F80,'SaSS'!$B$10:$B$12,0))="","Cell will autofill based on response",INDEX('SaSS'!$P$10:$P$12,MATCH($F80,'SaSS'!$B$10:$B$12,0))),"N/A")</f>
        <v/>
      </c>
      <c r="W80" s="52">
        <f>IFERROR(IF(INDEX('Indigenous'!$P$10:$P$11,MATCH($F80,'Indigenous'!$B$10:$B$11,0))="","Cell will autofill based on response",INDEX('Indigenous'!$P$10:$P$11,MATCH($F80,'Indigenous'!$B$10:$B$11,0))),"N/A")</f>
        <v/>
      </c>
      <c r="X80" s="52">
        <f>IFERROR(IF(INDEX('L&amp;R'!$P$10:$P$11,MATCH($F80,'L&amp;R'!$B$10:$B$11,0))="","Cell will autofill based on response",INDEX('L&amp;R'!$P$10:$P$11,MATCH($F80,'L&amp;R'!$B$10:$B$11,0))),"N/A")</f>
        <v/>
      </c>
    </row>
    <row r="81">
      <c r="A81">
        <f>F81&amp;"|"&amp;G81</f>
        <v/>
      </c>
      <c r="B81" s="7" t="inlineStr">
        <is>
          <t>TR3(d)</t>
        </is>
      </c>
      <c r="C81" s="50" t="inlineStr">
        <is>
          <t>Transformational research</t>
        </is>
      </c>
      <c r="D81" s="50" t="inlineStr">
        <is>
          <t>Expert assessment of progress in embedding sustainable research practices across the institution.</t>
        </is>
      </c>
      <c r="E81" s="50" t="inlineStr">
        <is>
          <t>Faculty/Portfolio’s assessment of progress in embedding sustainable research practices, highlighting areas of strong progress, remaining gaps and priority actions for further improvement.</t>
        </is>
      </c>
      <c r="F81" s="50" t="inlineStr">
        <is>
          <t>TR3(d)</t>
        </is>
      </c>
      <c r="G81" s="50" t="inlineStr">
        <is>
          <t>OPTION 1:  Target-level reporting</t>
        </is>
      </c>
      <c r="H81" s="52">
        <f>IFERROR(IF(INDEX('Faculties'!$L$10:$L$19,MATCH($F81,'Faculties'!$B$10:$B$19,0))="","Cell will autofill based on response",INDEX('Faculties'!$L$10:$L$19,MATCH($F81,'Faculties'!$B$10:$B$19,0))),"N/A")</f>
        <v/>
      </c>
      <c r="I81" s="52">
        <f>IFERROR(IF(INDEX('Faculties'!$L$26:$L$35,MATCH($F81,'Faculties'!$B$26:$B$35,0))="","Cell will autofill based on response",INDEX('Faculties'!$L$26:$L$35,MATCH($F81,'Faculties'!$B$26:$B$35,0))),"N/A")</f>
        <v/>
      </c>
      <c r="J81" s="52">
        <f>IFERROR(IF(INDEX('Faculties'!$L$42:$L$51,MATCH($F81,'Faculties'!$B$42:$B$51,0))="","Cell will autofill based on response",INDEX('Faculties'!$L$42:$L$51,MATCH($F81,'Faculties'!$B$42:$B$51,0))),"N/A")</f>
        <v/>
      </c>
      <c r="K81" s="52">
        <f>IFERROR(IF(INDEX('Faculties'!$L$58:$L$67,MATCH($F81,'Faculties'!$B$58:$B$67,0))="","Cell will autofill based on response",INDEX('Faculties'!$L$58:$L$67,MATCH($F81,'Faculties'!$B$58:$B$67,0))),"N/A")</f>
        <v/>
      </c>
      <c r="L81" s="52">
        <f>IFERROR(IF(INDEX('CI&amp;S'!$L$10:$L$15,MATCH($F81,'CI&amp;S'!$B$10:$B$15,0))="","Cell will autofill based on response",INDEX('CI&amp;S'!$L$10:$L$15,MATCH($F81,'CI&amp;S'!$B$10:$B$15,0))),"N/A")</f>
        <v/>
      </c>
      <c r="M81" s="52">
        <f>IFERROR(IF(INDEX('CI&amp;S'!$L$22:$L$36,MATCH($F81,'CI&amp;S'!$B$22:$B$36,0))="","Cell will autofill based on response",INDEX('CI&amp;S'!$L$22:$L$36,MATCH($F81,'CI&amp;S'!$B$22:$B$36,0))),"N/A")</f>
        <v/>
      </c>
      <c r="N81" s="52">
        <f>IFERROR(IF(INDEX('CFOG'!$L$10:$L$16,MATCH($F81,'CFOG'!$B$10:$B$16,0))="","Cell will autofill based on response",INDEX('CFOG'!$L$10:$L$16,MATCH($F81,'CFOG'!$B$10:$B$16,0))),"N/A")</f>
        <v/>
      </c>
      <c r="O81" s="52">
        <f>IFERROR(IF(INDEX('CFOG'!$L$23:$L$24,MATCH($F81,'CFOG'!$B$23:$B$24,0))="","Cell will autofill based on response",INDEX('CFOG'!$L$23:$L$24,MATCH($F81,'CFOG'!$B$23:$B$24,0))),"N/A")</f>
        <v/>
      </c>
      <c r="P81" s="52">
        <f>IFERROR(IF(INDEX('ESG'!$L$10:$L$17,MATCH($F81,'ESG'!$B$10:$B$17,0))="","Cell will autofill based on response",INDEX('ESG'!$L$10:$L$17,MATCH($F81,'ESG'!$B$10:$B$17,0))),"N/A")</f>
        <v/>
      </c>
      <c r="Q81" s="52">
        <f>IFERROR(IF(INDEX('CIOG'!$L$10:$L$14,MATCH($F81,'CIOG'!$B$10:$B$14,0))="","Cell will autofill based on response",INDEX('CIOG'!$L$10:$L$14,MATCH($F81,'CIOG'!$B$10:$B$14,0))),"N/A")</f>
        <v/>
      </c>
      <c r="R81" s="52">
        <f>IFERROR(IF(INDEX('MRE'!$L$10:$L$18,MATCH($F81,'MRE'!$B$10:$B$18,0))="","Cell will autofill based on response",INDEX('MRE'!$L$10:$L$18,MATCH($F81,'MRE'!$B$10:$B$18,0))),"N/A")</f>
        <v/>
      </c>
      <c r="S81" s="52">
        <f>IFERROR(IF(INDEX('AC&amp;M'!$L$10:$L$14,MATCH($F81,'AC&amp;M'!$B$10:$B$14,0))="","Cell will autofill based on response",INDEX('AC&amp;M'!$L$10:$L$14,MATCH($F81,'AC&amp;M'!$B$10:$B$14,0))),"N/A")</f>
        <v/>
      </c>
      <c r="T81" s="52">
        <f>IFERROR(IF(INDEX('GCE'!$L$10:$L$12,MATCH($F81,'GCE'!$B$10:$B$12,0))="","Cell will autofill based on response",INDEX('GCE'!$L$10:$L$12,MATCH($F81,'GCE'!$B$10:$B$12,0))),"N/A")</f>
        <v/>
      </c>
      <c r="U81" s="52">
        <f>IFERROR(IF(INDEX('Education'!$L$10:$L$13,MATCH($F81,'Education'!$B$10:$B$13,0))="","Cell will autofill based on response",INDEX('Education'!$L$10:$L$13,MATCH($F81,'Education'!$B$10:$B$13,0))),"N/A")</f>
        <v/>
      </c>
      <c r="V81" s="52">
        <f>IFERROR(IF(INDEX('SaSS'!$L$10:$L$12,MATCH($F81,'SaSS'!$B$10:$B$12,0))="","Cell will autofill based on response",INDEX('SaSS'!$L$10:$L$12,MATCH($F81,'SaSS'!$B$10:$B$12,0))),"N/A")</f>
        <v/>
      </c>
      <c r="W81" s="52">
        <f>IFERROR(IF(INDEX('Indigenous'!$L$10:$L$11,MATCH($F81,'Indigenous'!$B$10:$B$11,0))="","Cell will autofill based on response",INDEX('Indigenous'!$L$10:$L$11,MATCH($F81,'Indigenous'!$B$10:$B$11,0))),"N/A")</f>
        <v/>
      </c>
      <c r="X81" s="52">
        <f>IFERROR(IF(INDEX('L&amp;R'!$L$10:$L$11,MATCH($F81,'L&amp;R'!$B$10:$B$11,0))="","Cell will autofill based on response",INDEX('L&amp;R'!$L$10:$L$11,MATCH($F81,'L&amp;R'!$B$10:$B$11,0))),"N/A")</f>
        <v/>
      </c>
      <c r="Z81" s="10">
        <f>SUMPRODUCT(--($H81:$X81&lt;&gt;"N/A"))</f>
        <v/>
      </c>
      <c r="AA81" s="10">
        <f>SUMPRODUCT(--(((($H81:$X81&lt;&gt;"N/A")*($H81:$X81&lt;&gt;"Cell will autofill based on response"))+(($H82:$X82&lt;&gt;"N/A")*($H82:$X82&lt;&gt;"Cell will autofill based on response")))&gt;0))</f>
        <v/>
      </c>
      <c r="AB81" s="10">
        <f>Z81-AA81</f>
        <v/>
      </c>
      <c r="AC81" s="10">
        <f>COUNTIF($H85:$X85,"Yes")</f>
        <v/>
      </c>
    </row>
    <row r="82">
      <c r="A82">
        <f>F82&amp;"|"&amp;G82</f>
        <v/>
      </c>
      <c r="B82" s="13" t="inlineStr"/>
      <c r="C82" s="8" t="inlineStr"/>
      <c r="D82" s="8" t="inlineStr"/>
      <c r="E82" s="8" t="inlineStr"/>
      <c r="F82" s="8" t="inlineStr">
        <is>
          <t>TR3(d)</t>
        </is>
      </c>
      <c r="G82" s="8" t="inlineStr">
        <is>
          <t>OPTION 2:  Indicator level reporting</t>
        </is>
      </c>
      <c r="H82" s="52">
        <f>IFERROR(IF(INDEX('Faculties'!$M$10:$M$19,MATCH($F82,'Faculties'!$B$10:$B$19,0))="","Cell will autofill based on response",INDEX('Faculties'!$M$10:$M$19,MATCH($F82,'Faculties'!$B$10:$B$19,0))),"N/A")</f>
        <v/>
      </c>
      <c r="I82" s="52">
        <f>IFERROR(IF(INDEX('Faculties'!$M$26:$M$35,MATCH($F82,'Faculties'!$B$26:$B$35,0))="","Cell will autofill based on response",INDEX('Faculties'!$M$26:$M$35,MATCH($F82,'Faculties'!$B$26:$B$35,0))),"N/A")</f>
        <v/>
      </c>
      <c r="J82" s="52">
        <f>IFERROR(IF(INDEX('Faculties'!$M$42:$M$51,MATCH($F82,'Faculties'!$B$42:$B$51,0))="","Cell will autofill based on response",INDEX('Faculties'!$M$42:$M$51,MATCH($F82,'Faculties'!$B$42:$B$51,0))),"N/A")</f>
        <v/>
      </c>
      <c r="K82" s="52">
        <f>IFERROR(IF(INDEX('Faculties'!$M$58:$M$67,MATCH($F82,'Faculties'!$B$58:$B$67,0))="","Cell will autofill based on response",INDEX('Faculties'!$M$58:$M$67,MATCH($F82,'Faculties'!$B$58:$B$67,0))),"N/A")</f>
        <v/>
      </c>
      <c r="L82" s="52">
        <f>IFERROR(IF(INDEX('CI&amp;S'!$M$10:$M$15,MATCH($F82,'CI&amp;S'!$B$10:$B$15,0))="","Cell will autofill based on response",INDEX('CI&amp;S'!$M$10:$M$15,MATCH($F82,'CI&amp;S'!$B$10:$B$15,0))),"N/A")</f>
        <v/>
      </c>
      <c r="M82" s="52">
        <f>IFERROR(IF(INDEX('CI&amp;S'!$M$22:$M$36,MATCH($F82,'CI&amp;S'!$B$22:$B$36,0))="","Cell will autofill based on response",INDEX('CI&amp;S'!$M$22:$M$36,MATCH($F82,'CI&amp;S'!$B$22:$B$36,0))),"N/A")</f>
        <v/>
      </c>
      <c r="N82" s="52">
        <f>IFERROR(IF(INDEX('CFOG'!$M$10:$M$16,MATCH($F82,'CFOG'!$B$10:$B$16,0))="","Cell will autofill based on response",INDEX('CFOG'!$M$10:$M$16,MATCH($F82,'CFOG'!$B$10:$B$16,0))),"N/A")</f>
        <v/>
      </c>
      <c r="O82" s="52">
        <f>IFERROR(IF(INDEX('CFOG'!$M$23:$M$24,MATCH($F82,'CFOG'!$B$23:$B$24,0))="","Cell will autofill based on response",INDEX('CFOG'!$M$23:$M$24,MATCH($F82,'CFOG'!$B$23:$B$24,0))),"N/A")</f>
        <v/>
      </c>
      <c r="P82" s="52">
        <f>IFERROR(IF(INDEX('ESG'!$M$10:$M$17,MATCH($F82,'ESG'!$B$10:$B$17,0))="","Cell will autofill based on response",INDEX('ESG'!$M$10:$M$17,MATCH($F82,'ESG'!$B$10:$B$17,0))),"N/A")</f>
        <v/>
      </c>
      <c r="Q82" s="52">
        <f>IFERROR(IF(INDEX('CIOG'!$M$10:$M$14,MATCH($F82,'CIOG'!$B$10:$B$14,0))="","Cell will autofill based on response",INDEX('CIOG'!$M$10:$M$14,MATCH($F82,'CIOG'!$B$10:$B$14,0))),"N/A")</f>
        <v/>
      </c>
      <c r="R82" s="52">
        <f>IFERROR(IF(INDEX('MRE'!$M$10:$M$18,MATCH($F82,'MRE'!$B$10:$B$18,0))="","Cell will autofill based on response",INDEX('MRE'!$M$10:$M$18,MATCH($F82,'MRE'!$B$10:$B$18,0))),"N/A")</f>
        <v/>
      </c>
      <c r="S82" s="52">
        <f>IFERROR(IF(INDEX('AC&amp;M'!$M$10:$M$14,MATCH($F82,'AC&amp;M'!$B$10:$B$14,0))="","Cell will autofill based on response",INDEX('AC&amp;M'!$M$10:$M$14,MATCH($F82,'AC&amp;M'!$B$10:$B$14,0))),"N/A")</f>
        <v/>
      </c>
      <c r="T82" s="52">
        <f>IFERROR(IF(INDEX('GCE'!$M$10:$M$12,MATCH($F82,'GCE'!$B$10:$B$12,0))="","Cell will autofill based on response",INDEX('GCE'!$M$10:$M$12,MATCH($F82,'GCE'!$B$10:$B$12,0))),"N/A")</f>
        <v/>
      </c>
      <c r="U82" s="52">
        <f>IFERROR(IF(INDEX('Education'!$M$10:$M$13,MATCH($F82,'Education'!$B$10:$B$13,0))="","Cell will autofill based on response",INDEX('Education'!$M$10:$M$13,MATCH($F82,'Education'!$B$10:$B$13,0))),"N/A")</f>
        <v/>
      </c>
      <c r="V82" s="52">
        <f>IFERROR(IF(INDEX('SaSS'!$M$10:$M$12,MATCH($F82,'SaSS'!$B$10:$B$12,0))="","Cell will autofill based on response",INDEX('SaSS'!$M$10:$M$12,MATCH($F82,'SaSS'!$B$10:$B$12,0))),"N/A")</f>
        <v/>
      </c>
      <c r="W82" s="52">
        <f>IFERROR(IF(INDEX('Indigenous'!$M$10:$M$11,MATCH($F82,'Indigenous'!$B$10:$B$11,0))="","Cell will autofill based on response",INDEX('Indigenous'!$M$10:$M$11,MATCH($F82,'Indigenous'!$B$10:$B$11,0))),"N/A")</f>
        <v/>
      </c>
      <c r="X82" s="52">
        <f>IFERROR(IF(INDEX('L&amp;R'!$M$10:$M$11,MATCH($F82,'L&amp;R'!$B$10:$B$11,0))="","Cell will autofill based on response",INDEX('L&amp;R'!$M$10:$M$11,MATCH($F82,'L&amp;R'!$B$10:$B$11,0))),"N/A")</f>
        <v/>
      </c>
    </row>
    <row r="83">
      <c r="A83">
        <f>F83&amp;"|"&amp;G83</f>
        <v/>
      </c>
      <c r="B83" s="13" t="inlineStr"/>
      <c r="C83" s="8" t="inlineStr"/>
      <c r="D83" s="8" t="inlineStr"/>
      <c r="E83" s="8" t="inlineStr"/>
      <c r="F83" s="8" t="inlineStr">
        <is>
          <t>TR3(d)</t>
        </is>
      </c>
      <c r="G83" s="8" t="inlineStr">
        <is>
          <t>Supporting information/comments</t>
        </is>
      </c>
      <c r="H83" s="52">
        <f>IFERROR(IF(INDEX('Faculties'!$N$10:$N$19,MATCH($F83,'Faculties'!$B$10:$B$19,0))="","Cell will autofill based on response",INDEX('Faculties'!$N$10:$N$19,MATCH($F83,'Faculties'!$B$10:$B$19,0))),"N/A")</f>
        <v/>
      </c>
      <c r="I83" s="52">
        <f>IFERROR(IF(INDEX('Faculties'!$N$26:$N$35,MATCH($F83,'Faculties'!$B$26:$B$35,0))="","Cell will autofill based on response",INDEX('Faculties'!$N$26:$N$35,MATCH($F83,'Faculties'!$B$26:$B$35,0))),"N/A")</f>
        <v/>
      </c>
      <c r="J83" s="52">
        <f>IFERROR(IF(INDEX('Faculties'!$N$42:$N$51,MATCH($F83,'Faculties'!$B$42:$B$51,0))="","Cell will autofill based on response",INDEX('Faculties'!$N$42:$N$51,MATCH($F83,'Faculties'!$B$42:$B$51,0))),"N/A")</f>
        <v/>
      </c>
      <c r="K83" s="52">
        <f>IFERROR(IF(INDEX('Faculties'!$N$58:$N$67,MATCH($F83,'Faculties'!$B$58:$B$67,0))="","Cell will autofill based on response",INDEX('Faculties'!$N$58:$N$67,MATCH($F83,'Faculties'!$B$58:$B$67,0))),"N/A")</f>
        <v/>
      </c>
      <c r="L83" s="52">
        <f>IFERROR(IF(INDEX('CI&amp;S'!$N$10:$N$15,MATCH($F83,'CI&amp;S'!$B$10:$B$15,0))="","Cell will autofill based on response",INDEX('CI&amp;S'!$N$10:$N$15,MATCH($F83,'CI&amp;S'!$B$10:$B$15,0))),"N/A")</f>
        <v/>
      </c>
      <c r="M83" s="52">
        <f>IFERROR(IF(INDEX('CI&amp;S'!$N$22:$N$36,MATCH($F83,'CI&amp;S'!$B$22:$B$36,0))="","Cell will autofill based on response",INDEX('CI&amp;S'!$N$22:$N$36,MATCH($F83,'CI&amp;S'!$B$22:$B$36,0))),"N/A")</f>
        <v/>
      </c>
      <c r="N83" s="52">
        <f>IFERROR(IF(INDEX('CFOG'!$N$10:$N$16,MATCH($F83,'CFOG'!$B$10:$B$16,0))="","Cell will autofill based on response",INDEX('CFOG'!$N$10:$N$16,MATCH($F83,'CFOG'!$B$10:$B$16,0))),"N/A")</f>
        <v/>
      </c>
      <c r="O83" s="52">
        <f>IFERROR(IF(INDEX('CFOG'!$N$23:$N$24,MATCH($F83,'CFOG'!$B$23:$B$24,0))="","Cell will autofill based on response",INDEX('CFOG'!$N$23:$N$24,MATCH($F83,'CFOG'!$B$23:$B$24,0))),"N/A")</f>
        <v/>
      </c>
      <c r="P83" s="52">
        <f>IFERROR(IF(INDEX('ESG'!$N$10:$N$17,MATCH($F83,'ESG'!$B$10:$B$17,0))="","Cell will autofill based on response",INDEX('ESG'!$N$10:$N$17,MATCH($F83,'ESG'!$B$10:$B$17,0))),"N/A")</f>
        <v/>
      </c>
      <c r="Q83" s="52">
        <f>IFERROR(IF(INDEX('CIOG'!$N$10:$N$14,MATCH($F83,'CIOG'!$B$10:$B$14,0))="","Cell will autofill based on response",INDEX('CIOG'!$N$10:$N$14,MATCH($F83,'CIOG'!$B$10:$B$14,0))),"N/A")</f>
        <v/>
      </c>
      <c r="R83" s="52">
        <f>IFERROR(IF(INDEX('MRE'!$N$10:$N$18,MATCH($F83,'MRE'!$B$10:$B$18,0))="","Cell will autofill based on response",INDEX('MRE'!$N$10:$N$18,MATCH($F83,'MRE'!$B$10:$B$18,0))),"N/A")</f>
        <v/>
      </c>
      <c r="S83" s="52">
        <f>IFERROR(IF(INDEX('AC&amp;M'!$N$10:$N$14,MATCH($F83,'AC&amp;M'!$B$10:$B$14,0))="","Cell will autofill based on response",INDEX('AC&amp;M'!$N$10:$N$14,MATCH($F83,'AC&amp;M'!$B$10:$B$14,0))),"N/A")</f>
        <v/>
      </c>
      <c r="T83" s="52">
        <f>IFERROR(IF(INDEX('GCE'!$N$10:$N$12,MATCH($F83,'GCE'!$B$10:$B$12,0))="","Cell will autofill based on response",INDEX('GCE'!$N$10:$N$12,MATCH($F83,'GCE'!$B$10:$B$12,0))),"N/A")</f>
        <v/>
      </c>
      <c r="U83" s="52">
        <f>IFERROR(IF(INDEX('Education'!$N$10:$N$13,MATCH($F83,'Education'!$B$10:$B$13,0))="","Cell will autofill based on response",INDEX('Education'!$N$10:$N$13,MATCH($F83,'Education'!$B$10:$B$13,0))),"N/A")</f>
        <v/>
      </c>
      <c r="V83" s="52">
        <f>IFERROR(IF(INDEX('SaSS'!$N$10:$N$12,MATCH($F83,'SaSS'!$B$10:$B$12,0))="","Cell will autofill based on response",INDEX('SaSS'!$N$10:$N$12,MATCH($F83,'SaSS'!$B$10:$B$12,0))),"N/A")</f>
        <v/>
      </c>
      <c r="W83" s="52">
        <f>IFERROR(IF(INDEX('Indigenous'!$N$10:$N$11,MATCH($F83,'Indigenous'!$B$10:$B$11,0))="","Cell will autofill based on response",INDEX('Indigenous'!$N$10:$N$11,MATCH($F83,'Indigenous'!$B$10:$B$11,0))),"N/A")</f>
        <v/>
      </c>
      <c r="X83" s="52">
        <f>IFERROR(IF(INDEX('L&amp;R'!$N$10:$N$11,MATCH($F83,'L&amp;R'!$B$10:$B$11,0))="","Cell will autofill based on response",INDEX('L&amp;R'!$N$10:$N$11,MATCH($F83,'L&amp;R'!$B$10:$B$11,0))),"N/A")</f>
        <v/>
      </c>
    </row>
    <row r="84">
      <c r="A84">
        <f>F84&amp;"|"&amp;G84</f>
        <v/>
      </c>
      <c r="B84" s="13" t="inlineStr"/>
      <c r="C84" s="8" t="inlineStr"/>
      <c r="D84" s="8" t="inlineStr"/>
      <c r="E84" s="8" t="inlineStr"/>
      <c r="F84" s="8" t="inlineStr">
        <is>
          <t>TR3(d)</t>
        </is>
      </c>
      <c r="G84" s="8" t="inlineStr">
        <is>
          <t>Data source and limitations</t>
        </is>
      </c>
      <c r="H84" s="52">
        <f>IFERROR(IF(INDEX('Faculties'!$O$10:$O$19,MATCH($F84,'Faculties'!$B$10:$B$19,0))="","Cell will autofill based on response",INDEX('Faculties'!$O$10:$O$19,MATCH($F84,'Faculties'!$B$10:$B$19,0))),"N/A")</f>
        <v/>
      </c>
      <c r="I84" s="52">
        <f>IFERROR(IF(INDEX('Faculties'!$O$26:$O$35,MATCH($F84,'Faculties'!$B$26:$B$35,0))="","Cell will autofill based on response",INDEX('Faculties'!$O$26:$O$35,MATCH($F84,'Faculties'!$B$26:$B$35,0))),"N/A")</f>
        <v/>
      </c>
      <c r="J84" s="52">
        <f>IFERROR(IF(INDEX('Faculties'!$O$42:$O$51,MATCH($F84,'Faculties'!$B$42:$B$51,0))="","Cell will autofill based on response",INDEX('Faculties'!$O$42:$O$51,MATCH($F84,'Faculties'!$B$42:$B$51,0))),"N/A")</f>
        <v/>
      </c>
      <c r="K84" s="52">
        <f>IFERROR(IF(INDEX('Faculties'!$O$58:$O$67,MATCH($F84,'Faculties'!$B$58:$B$67,0))="","Cell will autofill based on response",INDEX('Faculties'!$O$58:$O$67,MATCH($F84,'Faculties'!$B$58:$B$67,0))),"N/A")</f>
        <v/>
      </c>
      <c r="L84" s="52">
        <f>IFERROR(IF(INDEX('CI&amp;S'!$O$10:$O$15,MATCH($F84,'CI&amp;S'!$B$10:$B$15,0))="","Cell will autofill based on response",INDEX('CI&amp;S'!$O$10:$O$15,MATCH($F84,'CI&amp;S'!$B$10:$B$15,0))),"N/A")</f>
        <v/>
      </c>
      <c r="M84" s="52">
        <f>IFERROR(IF(INDEX('CI&amp;S'!$O$22:$O$36,MATCH($F84,'CI&amp;S'!$B$22:$B$36,0))="","Cell will autofill based on response",INDEX('CI&amp;S'!$O$22:$O$36,MATCH($F84,'CI&amp;S'!$B$22:$B$36,0))),"N/A")</f>
        <v/>
      </c>
      <c r="N84" s="52">
        <f>IFERROR(IF(INDEX('CFOG'!$O$10:$O$16,MATCH($F84,'CFOG'!$B$10:$B$16,0))="","Cell will autofill based on response",INDEX('CFOG'!$O$10:$O$16,MATCH($F84,'CFOG'!$B$10:$B$16,0))),"N/A")</f>
        <v/>
      </c>
      <c r="O84" s="52">
        <f>IFERROR(IF(INDEX('CFOG'!$O$23:$O$24,MATCH($F84,'CFOG'!$B$23:$B$24,0))="","Cell will autofill based on response",INDEX('CFOG'!$O$23:$O$24,MATCH($F84,'CFOG'!$B$23:$B$24,0))),"N/A")</f>
        <v/>
      </c>
      <c r="P84" s="52">
        <f>IFERROR(IF(INDEX('ESG'!$O$10:$O$17,MATCH($F84,'ESG'!$B$10:$B$17,0))="","Cell will autofill based on response",INDEX('ESG'!$O$10:$O$17,MATCH($F84,'ESG'!$B$10:$B$17,0))),"N/A")</f>
        <v/>
      </c>
      <c r="Q84" s="52">
        <f>IFERROR(IF(INDEX('CIOG'!$O$10:$O$14,MATCH($F84,'CIOG'!$B$10:$B$14,0))="","Cell will autofill based on response",INDEX('CIOG'!$O$10:$O$14,MATCH($F84,'CIOG'!$B$10:$B$14,0))),"N/A")</f>
        <v/>
      </c>
      <c r="R84" s="52">
        <f>IFERROR(IF(INDEX('MRE'!$O$10:$O$18,MATCH($F84,'MRE'!$B$10:$B$18,0))="","Cell will autofill based on response",INDEX('MRE'!$O$10:$O$18,MATCH($F84,'MRE'!$B$10:$B$18,0))),"N/A")</f>
        <v/>
      </c>
      <c r="S84" s="52">
        <f>IFERROR(IF(INDEX('AC&amp;M'!$O$10:$O$14,MATCH($F84,'AC&amp;M'!$B$10:$B$14,0))="","Cell will autofill based on response",INDEX('AC&amp;M'!$O$10:$O$14,MATCH($F84,'AC&amp;M'!$B$10:$B$14,0))),"N/A")</f>
        <v/>
      </c>
      <c r="T84" s="52">
        <f>IFERROR(IF(INDEX('GCE'!$O$10:$O$12,MATCH($F84,'GCE'!$B$10:$B$12,0))="","Cell will autofill based on response",INDEX('GCE'!$O$10:$O$12,MATCH($F84,'GCE'!$B$10:$B$12,0))),"N/A")</f>
        <v/>
      </c>
      <c r="U84" s="52">
        <f>IFERROR(IF(INDEX('Education'!$O$10:$O$13,MATCH($F84,'Education'!$B$10:$B$13,0))="","Cell will autofill based on response",INDEX('Education'!$O$10:$O$13,MATCH($F84,'Education'!$B$10:$B$13,0))),"N/A")</f>
        <v/>
      </c>
      <c r="V84" s="52">
        <f>IFERROR(IF(INDEX('SaSS'!$O$10:$O$12,MATCH($F84,'SaSS'!$B$10:$B$12,0))="","Cell will autofill based on response",INDEX('SaSS'!$O$10:$O$12,MATCH($F84,'SaSS'!$B$10:$B$12,0))),"N/A")</f>
        <v/>
      </c>
      <c r="W84" s="52">
        <f>IFERROR(IF(INDEX('Indigenous'!$O$10:$O$11,MATCH($F84,'Indigenous'!$B$10:$B$11,0))="","Cell will autofill based on response",INDEX('Indigenous'!$O$10:$O$11,MATCH($F84,'Indigenous'!$B$10:$B$11,0))),"N/A")</f>
        <v/>
      </c>
      <c r="X84" s="52">
        <f>IFERROR(IF(INDEX('L&amp;R'!$O$10:$O$11,MATCH($F84,'L&amp;R'!$B$10:$B$11,0))="","Cell will autofill based on response",INDEX('L&amp;R'!$O$10:$O$11,MATCH($F84,'L&amp;R'!$B$10:$B$11,0))),"N/A")</f>
        <v/>
      </c>
    </row>
    <row r="85">
      <c r="A85">
        <f>F85&amp;"|"&amp;G85</f>
        <v/>
      </c>
      <c r="B85" s="13" t="inlineStr"/>
      <c r="C85" s="8" t="inlineStr"/>
      <c r="D85" s="8" t="inlineStr"/>
      <c r="E85" s="8" t="inlineStr"/>
      <c r="F85" s="8" t="inlineStr">
        <is>
          <t>TR3(d)</t>
        </is>
      </c>
      <c r="G85" s="8" t="inlineStr">
        <is>
          <t>Data owner confirms</t>
        </is>
      </c>
      <c r="H85" s="52">
        <f>IFERROR(IF(INDEX('Faculties'!$P$10:$P$19,MATCH($F85,'Faculties'!$B$10:$B$19,0))="","Cell will autofill based on response",INDEX('Faculties'!$P$10:$P$19,MATCH($F85,'Faculties'!$B$10:$B$19,0))),"N/A")</f>
        <v/>
      </c>
      <c r="I85" s="52">
        <f>IFERROR(IF(INDEX('Faculties'!$P$26:$P$35,MATCH($F85,'Faculties'!$B$26:$B$35,0))="","Cell will autofill based on response",INDEX('Faculties'!$P$26:$P$35,MATCH($F85,'Faculties'!$B$26:$B$35,0))),"N/A")</f>
        <v/>
      </c>
      <c r="J85" s="52">
        <f>IFERROR(IF(INDEX('Faculties'!$P$42:$P$51,MATCH($F85,'Faculties'!$B$42:$B$51,0))="","Cell will autofill based on response",INDEX('Faculties'!$P$42:$P$51,MATCH($F85,'Faculties'!$B$42:$B$51,0))),"N/A")</f>
        <v/>
      </c>
      <c r="K85" s="52">
        <f>IFERROR(IF(INDEX('Faculties'!$P$58:$P$67,MATCH($F85,'Faculties'!$B$58:$B$67,0))="","Cell will autofill based on response",INDEX('Faculties'!$P$58:$P$67,MATCH($F85,'Faculties'!$B$58:$B$67,0))),"N/A")</f>
        <v/>
      </c>
      <c r="L85" s="52">
        <f>IFERROR(IF(INDEX('CI&amp;S'!$P$10:$P$15,MATCH($F85,'CI&amp;S'!$B$10:$B$15,0))="","Cell will autofill based on response",INDEX('CI&amp;S'!$P$10:$P$15,MATCH($F85,'CI&amp;S'!$B$10:$B$15,0))),"N/A")</f>
        <v/>
      </c>
      <c r="M85" s="52">
        <f>IFERROR(IF(INDEX('CI&amp;S'!$P$22:$P$36,MATCH($F85,'CI&amp;S'!$B$22:$B$36,0))="","Cell will autofill based on response",INDEX('CI&amp;S'!$P$22:$P$36,MATCH($F85,'CI&amp;S'!$B$22:$B$36,0))),"N/A")</f>
        <v/>
      </c>
      <c r="N85" s="52">
        <f>IFERROR(IF(INDEX('CFOG'!$P$10:$P$16,MATCH($F85,'CFOG'!$B$10:$B$16,0))="","Cell will autofill based on response",INDEX('CFOG'!$P$10:$P$16,MATCH($F85,'CFOG'!$B$10:$B$16,0))),"N/A")</f>
        <v/>
      </c>
      <c r="O85" s="52">
        <f>IFERROR(IF(INDEX('CFOG'!$P$23:$P$24,MATCH($F85,'CFOG'!$B$23:$B$24,0))="","Cell will autofill based on response",INDEX('CFOG'!$P$23:$P$24,MATCH($F85,'CFOG'!$B$23:$B$24,0))),"N/A")</f>
        <v/>
      </c>
      <c r="P85" s="52">
        <f>IFERROR(IF(INDEX('ESG'!$P$10:$P$17,MATCH($F85,'ESG'!$B$10:$B$17,0))="","Cell will autofill based on response",INDEX('ESG'!$P$10:$P$17,MATCH($F85,'ESG'!$B$10:$B$17,0))),"N/A")</f>
        <v/>
      </c>
      <c r="Q85" s="52">
        <f>IFERROR(IF(INDEX('CIOG'!$P$10:$P$14,MATCH($F85,'CIOG'!$B$10:$B$14,0))="","Cell will autofill based on response",INDEX('CIOG'!$P$10:$P$14,MATCH($F85,'CIOG'!$B$10:$B$14,0))),"N/A")</f>
        <v/>
      </c>
      <c r="R85" s="52">
        <f>IFERROR(IF(INDEX('MRE'!$P$10:$P$18,MATCH($F85,'MRE'!$B$10:$B$18,0))="","Cell will autofill based on response",INDEX('MRE'!$P$10:$P$18,MATCH($F85,'MRE'!$B$10:$B$18,0))),"N/A")</f>
        <v/>
      </c>
      <c r="S85" s="52">
        <f>IFERROR(IF(INDEX('AC&amp;M'!$P$10:$P$14,MATCH($F85,'AC&amp;M'!$B$10:$B$14,0))="","Cell will autofill based on response",INDEX('AC&amp;M'!$P$10:$P$14,MATCH($F85,'AC&amp;M'!$B$10:$B$14,0))),"N/A")</f>
        <v/>
      </c>
      <c r="T85" s="52">
        <f>IFERROR(IF(INDEX('GCE'!$P$10:$P$12,MATCH($F85,'GCE'!$B$10:$B$12,0))="","Cell will autofill based on response",INDEX('GCE'!$P$10:$P$12,MATCH($F85,'GCE'!$B$10:$B$12,0))),"N/A")</f>
        <v/>
      </c>
      <c r="U85" s="52">
        <f>IFERROR(IF(INDEX('Education'!$P$10:$P$13,MATCH($F85,'Education'!$B$10:$B$13,0))="","Cell will autofill based on response",INDEX('Education'!$P$10:$P$13,MATCH($F85,'Education'!$B$10:$B$13,0))),"N/A")</f>
        <v/>
      </c>
      <c r="V85" s="52">
        <f>IFERROR(IF(INDEX('SaSS'!$P$10:$P$12,MATCH($F85,'SaSS'!$B$10:$B$12,0))="","Cell will autofill based on response",INDEX('SaSS'!$P$10:$P$12,MATCH($F85,'SaSS'!$B$10:$B$12,0))),"N/A")</f>
        <v/>
      </c>
      <c r="W85" s="52">
        <f>IFERROR(IF(INDEX('Indigenous'!$P$10:$P$11,MATCH($F85,'Indigenous'!$B$10:$B$11,0))="","Cell will autofill based on response",INDEX('Indigenous'!$P$10:$P$11,MATCH($F85,'Indigenous'!$B$10:$B$11,0))),"N/A")</f>
        <v/>
      </c>
      <c r="X85" s="52">
        <f>IFERROR(IF(INDEX('L&amp;R'!$P$10:$P$11,MATCH($F85,'L&amp;R'!$B$10:$B$11,0))="","Cell will autofill based on response",INDEX('L&amp;R'!$P$10:$P$11,MATCH($F85,'L&amp;R'!$B$10:$B$11,0))),"N/A")</f>
        <v/>
      </c>
    </row>
    <row r="86">
      <c r="A86">
        <f>F86&amp;"|"&amp;G86</f>
        <v/>
      </c>
      <c r="B86" s="7" t="inlineStr">
        <is>
          <t>CL1(c)</t>
        </is>
      </c>
      <c r="C86" s="50" t="inlineStr">
        <is>
          <t>Climate leadership</t>
        </is>
      </c>
      <c r="D86" s="50" t="inlineStr">
        <is>
          <t>Review of Climate Leadership targets by 2030.[2]</t>
        </is>
      </c>
      <c r="E86" s="50" t="inlineStr"/>
      <c r="F86" s="50" t="inlineStr">
        <is>
          <t>CL1(c)</t>
        </is>
      </c>
      <c r="G86" s="50" t="inlineStr">
        <is>
          <t>OPTION 1:  Target-level reporting</t>
        </is>
      </c>
      <c r="H86" s="52">
        <f>IFERROR(IF(INDEX('Faculties'!$L$10:$L$19,MATCH($F86,'Faculties'!$B$10:$B$19,0))="","Cell will autofill based on response",INDEX('Faculties'!$L$10:$L$19,MATCH($F86,'Faculties'!$B$10:$B$19,0))),"N/A")</f>
        <v/>
      </c>
      <c r="I86" s="52">
        <f>IFERROR(IF(INDEX('Faculties'!$L$26:$L$35,MATCH($F86,'Faculties'!$B$26:$B$35,0))="","Cell will autofill based on response",INDEX('Faculties'!$L$26:$L$35,MATCH($F86,'Faculties'!$B$26:$B$35,0))),"N/A")</f>
        <v/>
      </c>
      <c r="J86" s="52">
        <f>IFERROR(IF(INDEX('Faculties'!$L$42:$L$51,MATCH($F86,'Faculties'!$B$42:$B$51,0))="","Cell will autofill based on response",INDEX('Faculties'!$L$42:$L$51,MATCH($F86,'Faculties'!$B$42:$B$51,0))),"N/A")</f>
        <v/>
      </c>
      <c r="K86" s="52">
        <f>IFERROR(IF(INDEX('Faculties'!$L$58:$L$67,MATCH($F86,'Faculties'!$B$58:$B$67,0))="","Cell will autofill based on response",INDEX('Faculties'!$L$58:$L$67,MATCH($F86,'Faculties'!$B$58:$B$67,0))),"N/A")</f>
        <v/>
      </c>
      <c r="L86" s="52">
        <f>IFERROR(IF(INDEX('CI&amp;S'!$L$10:$L$15,MATCH($F86,'CI&amp;S'!$B$10:$B$15,0))="","Cell will autofill based on response",INDEX('CI&amp;S'!$L$10:$L$15,MATCH($F86,'CI&amp;S'!$B$10:$B$15,0))),"N/A")</f>
        <v/>
      </c>
      <c r="M86" s="52">
        <f>IFERROR(IF(INDEX('CI&amp;S'!$L$22:$L$36,MATCH($F86,'CI&amp;S'!$B$22:$B$36,0))="","Cell will autofill based on response",INDEX('CI&amp;S'!$L$22:$L$36,MATCH($F86,'CI&amp;S'!$B$22:$B$36,0))),"N/A")</f>
        <v/>
      </c>
      <c r="N86" s="52">
        <f>IFERROR(IF(INDEX('CFOG'!$L$10:$L$16,MATCH($F86,'CFOG'!$B$10:$B$16,0))="","Cell will autofill based on response",INDEX('CFOG'!$L$10:$L$16,MATCH($F86,'CFOG'!$B$10:$B$16,0))),"N/A")</f>
        <v/>
      </c>
      <c r="O86" s="52">
        <f>IFERROR(IF(INDEX('CFOG'!$L$23:$L$24,MATCH($F86,'CFOG'!$B$23:$B$24,0))="","Cell will autofill based on response",INDEX('CFOG'!$L$23:$L$24,MATCH($F86,'CFOG'!$B$23:$B$24,0))),"N/A")</f>
        <v/>
      </c>
      <c r="P86" s="52">
        <f>IFERROR(IF(INDEX('ESG'!$L$10:$L$17,MATCH($F86,'ESG'!$B$10:$B$17,0))="","Cell will autofill based on response",INDEX('ESG'!$L$10:$L$17,MATCH($F86,'ESG'!$B$10:$B$17,0))),"N/A")</f>
        <v/>
      </c>
      <c r="Q86" s="52">
        <f>IFERROR(IF(INDEX('CIOG'!$L$10:$L$14,MATCH($F86,'CIOG'!$B$10:$B$14,0))="","Cell will autofill based on response",INDEX('CIOG'!$L$10:$L$14,MATCH($F86,'CIOG'!$B$10:$B$14,0))),"N/A")</f>
        <v/>
      </c>
      <c r="R86" s="52">
        <f>IFERROR(IF(INDEX('MRE'!$L$10:$L$18,MATCH($F86,'MRE'!$B$10:$B$18,0))="","Cell will autofill based on response",INDEX('MRE'!$L$10:$L$18,MATCH($F86,'MRE'!$B$10:$B$18,0))),"N/A")</f>
        <v/>
      </c>
      <c r="S86" s="52">
        <f>IFERROR(IF(INDEX('AC&amp;M'!$L$10:$L$14,MATCH($F86,'AC&amp;M'!$B$10:$B$14,0))="","Cell will autofill based on response",INDEX('AC&amp;M'!$L$10:$L$14,MATCH($F86,'AC&amp;M'!$B$10:$B$14,0))),"N/A")</f>
        <v/>
      </c>
      <c r="T86" s="52">
        <f>IFERROR(IF(INDEX('GCE'!$L$10:$L$12,MATCH($F86,'GCE'!$B$10:$B$12,0))="","Cell will autofill based on response",INDEX('GCE'!$L$10:$L$12,MATCH($F86,'GCE'!$B$10:$B$12,0))),"N/A")</f>
        <v/>
      </c>
      <c r="U86" s="52">
        <f>IFERROR(IF(INDEX('Education'!$L$10:$L$13,MATCH($F86,'Education'!$B$10:$B$13,0))="","Cell will autofill based on response",INDEX('Education'!$L$10:$L$13,MATCH($F86,'Education'!$B$10:$B$13,0))),"N/A")</f>
        <v/>
      </c>
      <c r="V86" s="52">
        <f>IFERROR(IF(INDEX('SaSS'!$L$10:$L$12,MATCH($F86,'SaSS'!$B$10:$B$12,0))="","Cell will autofill based on response",INDEX('SaSS'!$L$10:$L$12,MATCH($F86,'SaSS'!$B$10:$B$12,0))),"N/A")</f>
        <v/>
      </c>
      <c r="W86" s="52">
        <f>IFERROR(IF(INDEX('Indigenous'!$L$10:$L$11,MATCH($F86,'Indigenous'!$B$10:$B$11,0))="","Cell will autofill based on response",INDEX('Indigenous'!$L$10:$L$11,MATCH($F86,'Indigenous'!$B$10:$B$11,0))),"N/A")</f>
        <v/>
      </c>
      <c r="X86" s="52">
        <f>IFERROR(IF(INDEX('L&amp;R'!$L$10:$L$11,MATCH($F86,'L&amp;R'!$B$10:$B$11,0))="","Cell will autofill based on response",INDEX('L&amp;R'!$L$10:$L$11,MATCH($F86,'L&amp;R'!$B$10:$B$11,0))),"N/A")</f>
        <v/>
      </c>
      <c r="Z86" s="10">
        <f>SUMPRODUCT(--($H86:$X86&lt;&gt;"N/A"))</f>
        <v/>
      </c>
      <c r="AA86" s="10">
        <f>SUMPRODUCT(--(((($H86:$X86&lt;&gt;"N/A")*($H86:$X86&lt;&gt;"Cell will autofill based on response"))+(($H87:$X87&lt;&gt;"N/A")*($H87:$X87&lt;&gt;"Cell will autofill based on response")))&gt;0))</f>
        <v/>
      </c>
      <c r="AB86" s="10">
        <f>Z86-AA86</f>
        <v/>
      </c>
      <c r="AC86" s="10">
        <f>COUNTIF($H90:$X90,"Yes")</f>
        <v/>
      </c>
    </row>
    <row r="87">
      <c r="A87">
        <f>F87&amp;"|"&amp;G87</f>
        <v/>
      </c>
      <c r="B87" s="13" t="inlineStr"/>
      <c r="C87" s="8" t="inlineStr"/>
      <c r="D87" s="8" t="inlineStr"/>
      <c r="E87" s="8" t="inlineStr"/>
      <c r="F87" s="8" t="inlineStr">
        <is>
          <t>CL1(c)</t>
        </is>
      </c>
      <c r="G87" s="8" t="inlineStr">
        <is>
          <t>OPTION 2:  Indicator level reporting</t>
        </is>
      </c>
      <c r="H87" s="52">
        <f>IFERROR(IF(INDEX('Faculties'!$M$10:$M$19,MATCH($F87,'Faculties'!$B$10:$B$19,0))="","Cell will autofill based on response",INDEX('Faculties'!$M$10:$M$19,MATCH($F87,'Faculties'!$B$10:$B$19,0))),"N/A")</f>
        <v/>
      </c>
      <c r="I87" s="52">
        <f>IFERROR(IF(INDEX('Faculties'!$M$26:$M$35,MATCH($F87,'Faculties'!$B$26:$B$35,0))="","Cell will autofill based on response",INDEX('Faculties'!$M$26:$M$35,MATCH($F87,'Faculties'!$B$26:$B$35,0))),"N/A")</f>
        <v/>
      </c>
      <c r="J87" s="52">
        <f>IFERROR(IF(INDEX('Faculties'!$M$42:$M$51,MATCH($F87,'Faculties'!$B$42:$B$51,0))="","Cell will autofill based on response",INDEX('Faculties'!$M$42:$M$51,MATCH($F87,'Faculties'!$B$42:$B$51,0))),"N/A")</f>
        <v/>
      </c>
      <c r="K87" s="52">
        <f>IFERROR(IF(INDEX('Faculties'!$M$58:$M$67,MATCH($F87,'Faculties'!$B$58:$B$67,0))="","Cell will autofill based on response",INDEX('Faculties'!$M$58:$M$67,MATCH($F87,'Faculties'!$B$58:$B$67,0))),"N/A")</f>
        <v/>
      </c>
      <c r="L87" s="52">
        <f>IFERROR(IF(INDEX('CI&amp;S'!$M$10:$M$15,MATCH($F87,'CI&amp;S'!$B$10:$B$15,0))="","Cell will autofill based on response",INDEX('CI&amp;S'!$M$10:$M$15,MATCH($F87,'CI&amp;S'!$B$10:$B$15,0))),"N/A")</f>
        <v/>
      </c>
      <c r="M87" s="52">
        <f>IFERROR(IF(INDEX('CI&amp;S'!$M$22:$M$36,MATCH($F87,'CI&amp;S'!$B$22:$B$36,0))="","Cell will autofill based on response",INDEX('CI&amp;S'!$M$22:$M$36,MATCH($F87,'CI&amp;S'!$B$22:$B$36,0))),"N/A")</f>
        <v/>
      </c>
      <c r="N87" s="52">
        <f>IFERROR(IF(INDEX('CFOG'!$M$10:$M$16,MATCH($F87,'CFOG'!$B$10:$B$16,0))="","Cell will autofill based on response",INDEX('CFOG'!$M$10:$M$16,MATCH($F87,'CFOG'!$B$10:$B$16,0))),"N/A")</f>
        <v/>
      </c>
      <c r="O87" s="52">
        <f>IFERROR(IF(INDEX('CFOG'!$M$23:$M$24,MATCH($F87,'CFOG'!$B$23:$B$24,0))="","Cell will autofill based on response",INDEX('CFOG'!$M$23:$M$24,MATCH($F87,'CFOG'!$B$23:$B$24,0))),"N/A")</f>
        <v/>
      </c>
      <c r="P87" s="52">
        <f>IFERROR(IF(INDEX('ESG'!$M$10:$M$17,MATCH($F87,'ESG'!$B$10:$B$17,0))="","Cell will autofill based on response",INDEX('ESG'!$M$10:$M$17,MATCH($F87,'ESG'!$B$10:$B$17,0))),"N/A")</f>
        <v/>
      </c>
      <c r="Q87" s="52">
        <f>IFERROR(IF(INDEX('CIOG'!$M$10:$M$14,MATCH($F87,'CIOG'!$B$10:$B$14,0))="","Cell will autofill based on response",INDEX('CIOG'!$M$10:$M$14,MATCH($F87,'CIOG'!$B$10:$B$14,0))),"N/A")</f>
        <v/>
      </c>
      <c r="R87" s="52">
        <f>IFERROR(IF(INDEX('MRE'!$M$10:$M$18,MATCH($F87,'MRE'!$B$10:$B$18,0))="","Cell will autofill based on response",INDEX('MRE'!$M$10:$M$18,MATCH($F87,'MRE'!$B$10:$B$18,0))),"N/A")</f>
        <v/>
      </c>
      <c r="S87" s="52">
        <f>IFERROR(IF(INDEX('AC&amp;M'!$M$10:$M$14,MATCH($F87,'AC&amp;M'!$B$10:$B$14,0))="","Cell will autofill based on response",INDEX('AC&amp;M'!$M$10:$M$14,MATCH($F87,'AC&amp;M'!$B$10:$B$14,0))),"N/A")</f>
        <v/>
      </c>
      <c r="T87" s="52">
        <f>IFERROR(IF(INDEX('GCE'!$M$10:$M$12,MATCH($F87,'GCE'!$B$10:$B$12,0))="","Cell will autofill based on response",INDEX('GCE'!$M$10:$M$12,MATCH($F87,'GCE'!$B$10:$B$12,0))),"N/A")</f>
        <v/>
      </c>
      <c r="U87" s="52">
        <f>IFERROR(IF(INDEX('Education'!$M$10:$M$13,MATCH($F87,'Education'!$B$10:$B$13,0))="","Cell will autofill based on response",INDEX('Education'!$M$10:$M$13,MATCH($F87,'Education'!$B$10:$B$13,0))),"N/A")</f>
        <v/>
      </c>
      <c r="V87" s="52">
        <f>IFERROR(IF(INDEX('SaSS'!$M$10:$M$12,MATCH($F87,'SaSS'!$B$10:$B$12,0))="","Cell will autofill based on response",INDEX('SaSS'!$M$10:$M$12,MATCH($F87,'SaSS'!$B$10:$B$12,0))),"N/A")</f>
        <v/>
      </c>
      <c r="W87" s="52">
        <f>IFERROR(IF(INDEX('Indigenous'!$M$10:$M$11,MATCH($F87,'Indigenous'!$B$10:$B$11,0))="","Cell will autofill based on response",INDEX('Indigenous'!$M$10:$M$11,MATCH($F87,'Indigenous'!$B$10:$B$11,0))),"N/A")</f>
        <v/>
      </c>
      <c r="X87" s="52">
        <f>IFERROR(IF(INDEX('L&amp;R'!$M$10:$M$11,MATCH($F87,'L&amp;R'!$B$10:$B$11,0))="","Cell will autofill based on response",INDEX('L&amp;R'!$M$10:$M$11,MATCH($F87,'L&amp;R'!$B$10:$B$11,0))),"N/A")</f>
        <v/>
      </c>
    </row>
    <row r="88">
      <c r="A88">
        <f>F88&amp;"|"&amp;G88</f>
        <v/>
      </c>
      <c r="B88" s="13" t="inlineStr"/>
      <c r="C88" s="8" t="inlineStr"/>
      <c r="D88" s="8" t="inlineStr"/>
      <c r="E88" s="8" t="inlineStr"/>
      <c r="F88" s="8" t="inlineStr">
        <is>
          <t>CL1(c)</t>
        </is>
      </c>
      <c r="G88" s="8" t="inlineStr">
        <is>
          <t>Supporting information/comments</t>
        </is>
      </c>
      <c r="H88" s="52">
        <f>IFERROR(IF(INDEX('Faculties'!$N$10:$N$19,MATCH($F88,'Faculties'!$B$10:$B$19,0))="","Cell will autofill based on response",INDEX('Faculties'!$N$10:$N$19,MATCH($F88,'Faculties'!$B$10:$B$19,0))),"N/A")</f>
        <v/>
      </c>
      <c r="I88" s="52">
        <f>IFERROR(IF(INDEX('Faculties'!$N$26:$N$35,MATCH($F88,'Faculties'!$B$26:$B$35,0))="","Cell will autofill based on response",INDEX('Faculties'!$N$26:$N$35,MATCH($F88,'Faculties'!$B$26:$B$35,0))),"N/A")</f>
        <v/>
      </c>
      <c r="J88" s="52">
        <f>IFERROR(IF(INDEX('Faculties'!$N$42:$N$51,MATCH($F88,'Faculties'!$B$42:$B$51,0))="","Cell will autofill based on response",INDEX('Faculties'!$N$42:$N$51,MATCH($F88,'Faculties'!$B$42:$B$51,0))),"N/A")</f>
        <v/>
      </c>
      <c r="K88" s="52">
        <f>IFERROR(IF(INDEX('Faculties'!$N$58:$N$67,MATCH($F88,'Faculties'!$B$58:$B$67,0))="","Cell will autofill based on response",INDEX('Faculties'!$N$58:$N$67,MATCH($F88,'Faculties'!$B$58:$B$67,0))),"N/A")</f>
        <v/>
      </c>
      <c r="L88" s="52">
        <f>IFERROR(IF(INDEX('CI&amp;S'!$N$10:$N$15,MATCH($F88,'CI&amp;S'!$B$10:$B$15,0))="","Cell will autofill based on response",INDEX('CI&amp;S'!$N$10:$N$15,MATCH($F88,'CI&amp;S'!$B$10:$B$15,0))),"N/A")</f>
        <v/>
      </c>
      <c r="M88" s="52">
        <f>IFERROR(IF(INDEX('CI&amp;S'!$N$22:$N$36,MATCH($F88,'CI&amp;S'!$B$22:$B$36,0))="","Cell will autofill based on response",INDEX('CI&amp;S'!$N$22:$N$36,MATCH($F88,'CI&amp;S'!$B$22:$B$36,0))),"N/A")</f>
        <v/>
      </c>
      <c r="N88" s="52">
        <f>IFERROR(IF(INDEX('CFOG'!$N$10:$N$16,MATCH($F88,'CFOG'!$B$10:$B$16,0))="","Cell will autofill based on response",INDEX('CFOG'!$N$10:$N$16,MATCH($F88,'CFOG'!$B$10:$B$16,0))),"N/A")</f>
        <v/>
      </c>
      <c r="O88" s="52">
        <f>IFERROR(IF(INDEX('CFOG'!$N$23:$N$24,MATCH($F88,'CFOG'!$B$23:$B$24,0))="","Cell will autofill based on response",INDEX('CFOG'!$N$23:$N$24,MATCH($F88,'CFOG'!$B$23:$B$24,0))),"N/A")</f>
        <v/>
      </c>
      <c r="P88" s="52">
        <f>IFERROR(IF(INDEX('ESG'!$N$10:$N$17,MATCH($F88,'ESG'!$B$10:$B$17,0))="","Cell will autofill based on response",INDEX('ESG'!$N$10:$N$17,MATCH($F88,'ESG'!$B$10:$B$17,0))),"N/A")</f>
        <v/>
      </c>
      <c r="Q88" s="52">
        <f>IFERROR(IF(INDEX('CIOG'!$N$10:$N$14,MATCH($F88,'CIOG'!$B$10:$B$14,0))="","Cell will autofill based on response",INDEX('CIOG'!$N$10:$N$14,MATCH($F88,'CIOG'!$B$10:$B$14,0))),"N/A")</f>
        <v/>
      </c>
      <c r="R88" s="52">
        <f>IFERROR(IF(INDEX('MRE'!$N$10:$N$18,MATCH($F88,'MRE'!$B$10:$B$18,0))="","Cell will autofill based on response",INDEX('MRE'!$N$10:$N$18,MATCH($F88,'MRE'!$B$10:$B$18,0))),"N/A")</f>
        <v/>
      </c>
      <c r="S88" s="52">
        <f>IFERROR(IF(INDEX('AC&amp;M'!$N$10:$N$14,MATCH($F88,'AC&amp;M'!$B$10:$B$14,0))="","Cell will autofill based on response",INDEX('AC&amp;M'!$N$10:$N$14,MATCH($F88,'AC&amp;M'!$B$10:$B$14,0))),"N/A")</f>
        <v/>
      </c>
      <c r="T88" s="52">
        <f>IFERROR(IF(INDEX('GCE'!$N$10:$N$12,MATCH($F88,'GCE'!$B$10:$B$12,0))="","Cell will autofill based on response",INDEX('GCE'!$N$10:$N$12,MATCH($F88,'GCE'!$B$10:$B$12,0))),"N/A")</f>
        <v/>
      </c>
      <c r="U88" s="52">
        <f>IFERROR(IF(INDEX('Education'!$N$10:$N$13,MATCH($F88,'Education'!$B$10:$B$13,0))="","Cell will autofill based on response",INDEX('Education'!$N$10:$N$13,MATCH($F88,'Education'!$B$10:$B$13,0))),"N/A")</f>
        <v/>
      </c>
      <c r="V88" s="52">
        <f>IFERROR(IF(INDEX('SaSS'!$N$10:$N$12,MATCH($F88,'SaSS'!$B$10:$B$12,0))="","Cell will autofill based on response",INDEX('SaSS'!$N$10:$N$12,MATCH($F88,'SaSS'!$B$10:$B$12,0))),"N/A")</f>
        <v/>
      </c>
      <c r="W88" s="52">
        <f>IFERROR(IF(INDEX('Indigenous'!$N$10:$N$11,MATCH($F88,'Indigenous'!$B$10:$B$11,0))="","Cell will autofill based on response",INDEX('Indigenous'!$N$10:$N$11,MATCH($F88,'Indigenous'!$B$10:$B$11,0))),"N/A")</f>
        <v/>
      </c>
      <c r="X88" s="52">
        <f>IFERROR(IF(INDEX('L&amp;R'!$N$10:$N$11,MATCH($F88,'L&amp;R'!$B$10:$B$11,0))="","Cell will autofill based on response",INDEX('L&amp;R'!$N$10:$N$11,MATCH($F88,'L&amp;R'!$B$10:$B$11,0))),"N/A")</f>
        <v/>
      </c>
    </row>
    <row r="89">
      <c r="A89">
        <f>F89&amp;"|"&amp;G89</f>
        <v/>
      </c>
      <c r="B89" s="13" t="inlineStr"/>
      <c r="C89" s="8" t="inlineStr"/>
      <c r="D89" s="8" t="inlineStr"/>
      <c r="E89" s="8" t="inlineStr"/>
      <c r="F89" s="8" t="inlineStr">
        <is>
          <t>CL1(c)</t>
        </is>
      </c>
      <c r="G89" s="8" t="inlineStr">
        <is>
          <t>Data source and limitations</t>
        </is>
      </c>
      <c r="H89" s="52">
        <f>IFERROR(IF(INDEX('Faculties'!$O$10:$O$19,MATCH($F89,'Faculties'!$B$10:$B$19,0))="","Cell will autofill based on response",INDEX('Faculties'!$O$10:$O$19,MATCH($F89,'Faculties'!$B$10:$B$19,0))),"N/A")</f>
        <v/>
      </c>
      <c r="I89" s="52">
        <f>IFERROR(IF(INDEX('Faculties'!$O$26:$O$35,MATCH($F89,'Faculties'!$B$26:$B$35,0))="","Cell will autofill based on response",INDEX('Faculties'!$O$26:$O$35,MATCH($F89,'Faculties'!$B$26:$B$35,0))),"N/A")</f>
        <v/>
      </c>
      <c r="J89" s="52">
        <f>IFERROR(IF(INDEX('Faculties'!$O$42:$O$51,MATCH($F89,'Faculties'!$B$42:$B$51,0))="","Cell will autofill based on response",INDEX('Faculties'!$O$42:$O$51,MATCH($F89,'Faculties'!$B$42:$B$51,0))),"N/A")</f>
        <v/>
      </c>
      <c r="K89" s="52">
        <f>IFERROR(IF(INDEX('Faculties'!$O$58:$O$67,MATCH($F89,'Faculties'!$B$58:$B$67,0))="","Cell will autofill based on response",INDEX('Faculties'!$O$58:$O$67,MATCH($F89,'Faculties'!$B$58:$B$67,0))),"N/A")</f>
        <v/>
      </c>
      <c r="L89" s="52">
        <f>IFERROR(IF(INDEX('CI&amp;S'!$O$10:$O$15,MATCH($F89,'CI&amp;S'!$B$10:$B$15,0))="","Cell will autofill based on response",INDEX('CI&amp;S'!$O$10:$O$15,MATCH($F89,'CI&amp;S'!$B$10:$B$15,0))),"N/A")</f>
        <v/>
      </c>
      <c r="M89" s="52">
        <f>IFERROR(IF(INDEX('CI&amp;S'!$O$22:$O$36,MATCH($F89,'CI&amp;S'!$B$22:$B$36,0))="","Cell will autofill based on response",INDEX('CI&amp;S'!$O$22:$O$36,MATCH($F89,'CI&amp;S'!$B$22:$B$36,0))),"N/A")</f>
        <v/>
      </c>
      <c r="N89" s="52">
        <f>IFERROR(IF(INDEX('CFOG'!$O$10:$O$16,MATCH($F89,'CFOG'!$B$10:$B$16,0))="","Cell will autofill based on response",INDEX('CFOG'!$O$10:$O$16,MATCH($F89,'CFOG'!$B$10:$B$16,0))),"N/A")</f>
        <v/>
      </c>
      <c r="O89" s="52">
        <f>IFERROR(IF(INDEX('CFOG'!$O$23:$O$24,MATCH($F89,'CFOG'!$B$23:$B$24,0))="","Cell will autofill based on response",INDEX('CFOG'!$O$23:$O$24,MATCH($F89,'CFOG'!$B$23:$B$24,0))),"N/A")</f>
        <v/>
      </c>
      <c r="P89" s="52">
        <f>IFERROR(IF(INDEX('ESG'!$O$10:$O$17,MATCH($F89,'ESG'!$B$10:$B$17,0))="","Cell will autofill based on response",INDEX('ESG'!$O$10:$O$17,MATCH($F89,'ESG'!$B$10:$B$17,0))),"N/A")</f>
        <v/>
      </c>
      <c r="Q89" s="52">
        <f>IFERROR(IF(INDEX('CIOG'!$O$10:$O$14,MATCH($F89,'CIOG'!$B$10:$B$14,0))="","Cell will autofill based on response",INDEX('CIOG'!$O$10:$O$14,MATCH($F89,'CIOG'!$B$10:$B$14,0))),"N/A")</f>
        <v/>
      </c>
      <c r="R89" s="52">
        <f>IFERROR(IF(INDEX('MRE'!$O$10:$O$18,MATCH($F89,'MRE'!$B$10:$B$18,0))="","Cell will autofill based on response",INDEX('MRE'!$O$10:$O$18,MATCH($F89,'MRE'!$B$10:$B$18,0))),"N/A")</f>
        <v/>
      </c>
      <c r="S89" s="52">
        <f>IFERROR(IF(INDEX('AC&amp;M'!$O$10:$O$14,MATCH($F89,'AC&amp;M'!$B$10:$B$14,0))="","Cell will autofill based on response",INDEX('AC&amp;M'!$O$10:$O$14,MATCH($F89,'AC&amp;M'!$B$10:$B$14,0))),"N/A")</f>
        <v/>
      </c>
      <c r="T89" s="52">
        <f>IFERROR(IF(INDEX('GCE'!$O$10:$O$12,MATCH($F89,'GCE'!$B$10:$B$12,0))="","Cell will autofill based on response",INDEX('GCE'!$O$10:$O$12,MATCH($F89,'GCE'!$B$10:$B$12,0))),"N/A")</f>
        <v/>
      </c>
      <c r="U89" s="52">
        <f>IFERROR(IF(INDEX('Education'!$O$10:$O$13,MATCH($F89,'Education'!$B$10:$B$13,0))="","Cell will autofill based on response",INDEX('Education'!$O$10:$O$13,MATCH($F89,'Education'!$B$10:$B$13,0))),"N/A")</f>
        <v/>
      </c>
      <c r="V89" s="52">
        <f>IFERROR(IF(INDEX('SaSS'!$O$10:$O$12,MATCH($F89,'SaSS'!$B$10:$B$12,0))="","Cell will autofill based on response",INDEX('SaSS'!$O$10:$O$12,MATCH($F89,'SaSS'!$B$10:$B$12,0))),"N/A")</f>
        <v/>
      </c>
      <c r="W89" s="52">
        <f>IFERROR(IF(INDEX('Indigenous'!$O$10:$O$11,MATCH($F89,'Indigenous'!$B$10:$B$11,0))="","Cell will autofill based on response",INDEX('Indigenous'!$O$10:$O$11,MATCH($F89,'Indigenous'!$B$10:$B$11,0))),"N/A")</f>
        <v/>
      </c>
      <c r="X89" s="52">
        <f>IFERROR(IF(INDEX('L&amp;R'!$O$10:$O$11,MATCH($F89,'L&amp;R'!$B$10:$B$11,0))="","Cell will autofill based on response",INDEX('L&amp;R'!$O$10:$O$11,MATCH($F89,'L&amp;R'!$B$10:$B$11,0))),"N/A")</f>
        <v/>
      </c>
    </row>
    <row r="90">
      <c r="A90">
        <f>F90&amp;"|"&amp;G90</f>
        <v/>
      </c>
      <c r="B90" s="13" t="inlineStr"/>
      <c r="C90" s="8" t="inlineStr"/>
      <c r="D90" s="8" t="inlineStr"/>
      <c r="E90" s="8" t="inlineStr"/>
      <c r="F90" s="8" t="inlineStr">
        <is>
          <t>CL1(c)</t>
        </is>
      </c>
      <c r="G90" s="8" t="inlineStr">
        <is>
          <t>Data owner confirms</t>
        </is>
      </c>
      <c r="H90" s="52">
        <f>IFERROR(IF(INDEX('Faculties'!$P$10:$P$19,MATCH($F90,'Faculties'!$B$10:$B$19,0))="","Cell will autofill based on response",INDEX('Faculties'!$P$10:$P$19,MATCH($F90,'Faculties'!$B$10:$B$19,0))),"N/A")</f>
        <v/>
      </c>
      <c r="I90" s="52">
        <f>IFERROR(IF(INDEX('Faculties'!$P$26:$P$35,MATCH($F90,'Faculties'!$B$26:$B$35,0))="","Cell will autofill based on response",INDEX('Faculties'!$P$26:$P$35,MATCH($F90,'Faculties'!$B$26:$B$35,0))),"N/A")</f>
        <v/>
      </c>
      <c r="J90" s="52">
        <f>IFERROR(IF(INDEX('Faculties'!$P$42:$P$51,MATCH($F90,'Faculties'!$B$42:$B$51,0))="","Cell will autofill based on response",INDEX('Faculties'!$P$42:$P$51,MATCH($F90,'Faculties'!$B$42:$B$51,0))),"N/A")</f>
        <v/>
      </c>
      <c r="K90" s="52">
        <f>IFERROR(IF(INDEX('Faculties'!$P$58:$P$67,MATCH($F90,'Faculties'!$B$58:$B$67,0))="","Cell will autofill based on response",INDEX('Faculties'!$P$58:$P$67,MATCH($F90,'Faculties'!$B$58:$B$67,0))),"N/A")</f>
        <v/>
      </c>
      <c r="L90" s="52">
        <f>IFERROR(IF(INDEX('CI&amp;S'!$P$10:$P$15,MATCH($F90,'CI&amp;S'!$B$10:$B$15,0))="","Cell will autofill based on response",INDEX('CI&amp;S'!$P$10:$P$15,MATCH($F90,'CI&amp;S'!$B$10:$B$15,0))),"N/A")</f>
        <v/>
      </c>
      <c r="M90" s="52">
        <f>IFERROR(IF(INDEX('CI&amp;S'!$P$22:$P$36,MATCH($F90,'CI&amp;S'!$B$22:$B$36,0))="","Cell will autofill based on response",INDEX('CI&amp;S'!$P$22:$P$36,MATCH($F90,'CI&amp;S'!$B$22:$B$36,0))),"N/A")</f>
        <v/>
      </c>
      <c r="N90" s="52">
        <f>IFERROR(IF(INDEX('CFOG'!$P$10:$P$16,MATCH($F90,'CFOG'!$B$10:$B$16,0))="","Cell will autofill based on response",INDEX('CFOG'!$P$10:$P$16,MATCH($F90,'CFOG'!$B$10:$B$16,0))),"N/A")</f>
        <v/>
      </c>
      <c r="O90" s="52">
        <f>IFERROR(IF(INDEX('CFOG'!$P$23:$P$24,MATCH($F90,'CFOG'!$B$23:$B$24,0))="","Cell will autofill based on response",INDEX('CFOG'!$P$23:$P$24,MATCH($F90,'CFOG'!$B$23:$B$24,0))),"N/A")</f>
        <v/>
      </c>
      <c r="P90" s="52">
        <f>IFERROR(IF(INDEX('ESG'!$P$10:$P$17,MATCH($F90,'ESG'!$B$10:$B$17,0))="","Cell will autofill based on response",INDEX('ESG'!$P$10:$P$17,MATCH($F90,'ESG'!$B$10:$B$17,0))),"N/A")</f>
        <v/>
      </c>
      <c r="Q90" s="52">
        <f>IFERROR(IF(INDEX('CIOG'!$P$10:$P$14,MATCH($F90,'CIOG'!$B$10:$B$14,0))="","Cell will autofill based on response",INDEX('CIOG'!$P$10:$P$14,MATCH($F90,'CIOG'!$B$10:$B$14,0))),"N/A")</f>
        <v/>
      </c>
      <c r="R90" s="52">
        <f>IFERROR(IF(INDEX('MRE'!$P$10:$P$18,MATCH($F90,'MRE'!$B$10:$B$18,0))="","Cell will autofill based on response",INDEX('MRE'!$P$10:$P$18,MATCH($F90,'MRE'!$B$10:$B$18,0))),"N/A")</f>
        <v/>
      </c>
      <c r="S90" s="52">
        <f>IFERROR(IF(INDEX('AC&amp;M'!$P$10:$P$14,MATCH($F90,'AC&amp;M'!$B$10:$B$14,0))="","Cell will autofill based on response",INDEX('AC&amp;M'!$P$10:$P$14,MATCH($F90,'AC&amp;M'!$B$10:$B$14,0))),"N/A")</f>
        <v/>
      </c>
      <c r="T90" s="52">
        <f>IFERROR(IF(INDEX('GCE'!$P$10:$P$12,MATCH($F90,'GCE'!$B$10:$B$12,0))="","Cell will autofill based on response",INDEX('GCE'!$P$10:$P$12,MATCH($F90,'GCE'!$B$10:$B$12,0))),"N/A")</f>
        <v/>
      </c>
      <c r="U90" s="52">
        <f>IFERROR(IF(INDEX('Education'!$P$10:$P$13,MATCH($F90,'Education'!$B$10:$B$13,0))="","Cell will autofill based on response",INDEX('Education'!$P$10:$P$13,MATCH($F90,'Education'!$B$10:$B$13,0))),"N/A")</f>
        <v/>
      </c>
      <c r="V90" s="52">
        <f>IFERROR(IF(INDEX('SaSS'!$P$10:$P$12,MATCH($F90,'SaSS'!$B$10:$B$12,0))="","Cell will autofill based on response",INDEX('SaSS'!$P$10:$P$12,MATCH($F90,'SaSS'!$B$10:$B$12,0))),"N/A")</f>
        <v/>
      </c>
      <c r="W90" s="52">
        <f>IFERROR(IF(INDEX('Indigenous'!$P$10:$P$11,MATCH($F90,'Indigenous'!$B$10:$B$11,0))="","Cell will autofill based on response",INDEX('Indigenous'!$P$10:$P$11,MATCH($F90,'Indigenous'!$B$10:$B$11,0))),"N/A")</f>
        <v/>
      </c>
      <c r="X90" s="52">
        <f>IFERROR(IF(INDEX('L&amp;R'!$P$10:$P$11,MATCH($F90,'L&amp;R'!$B$10:$B$11,0))="","Cell will autofill based on response",INDEX('L&amp;R'!$P$10:$P$11,MATCH($F90,'L&amp;R'!$B$10:$B$11,0))),"N/A")</f>
        <v/>
      </c>
    </row>
    <row r="91">
      <c r="A91">
        <f>F91&amp;"|"&amp;G91</f>
        <v/>
      </c>
      <c r="B91" s="7" t="inlineStr">
        <is>
          <t>CL2(a)</t>
        </is>
      </c>
      <c r="C91" s="50" t="inlineStr">
        <is>
          <t>Climate leadership</t>
        </is>
      </c>
      <c r="D91" s="50" t="inlineStr">
        <is>
          <t>By 2028, develop and document institutional mapping of research and education activities that are designed to contribute to global decarbonisation</t>
        </is>
      </c>
      <c r="E91" s="50"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50" t="inlineStr">
        <is>
          <t>CL2(a)</t>
        </is>
      </c>
      <c r="G91" s="50" t="inlineStr">
        <is>
          <t>OPTION 1:  Target-level reporting</t>
        </is>
      </c>
      <c r="H91" s="52">
        <f>IFERROR(IF(INDEX('Faculties'!$L$10:$L$19,MATCH($F91,'Faculties'!$B$10:$B$19,0))="","Cell will autofill based on response",INDEX('Faculties'!$L$10:$L$19,MATCH($F91,'Faculties'!$B$10:$B$19,0))),"N/A")</f>
        <v/>
      </c>
      <c r="I91" s="52">
        <f>IFERROR(IF(INDEX('Faculties'!$L$26:$L$35,MATCH($F91,'Faculties'!$B$26:$B$35,0))="","Cell will autofill based on response",INDEX('Faculties'!$L$26:$L$35,MATCH($F91,'Faculties'!$B$26:$B$35,0))),"N/A")</f>
        <v/>
      </c>
      <c r="J91" s="52">
        <f>IFERROR(IF(INDEX('Faculties'!$L$42:$L$51,MATCH($F91,'Faculties'!$B$42:$B$51,0))="","Cell will autofill based on response",INDEX('Faculties'!$L$42:$L$51,MATCH($F91,'Faculties'!$B$42:$B$51,0))),"N/A")</f>
        <v/>
      </c>
      <c r="K91" s="52">
        <f>IFERROR(IF(INDEX('Faculties'!$L$58:$L$67,MATCH($F91,'Faculties'!$B$58:$B$67,0))="","Cell will autofill based on response",INDEX('Faculties'!$L$58:$L$67,MATCH($F91,'Faculties'!$B$58:$B$67,0))),"N/A")</f>
        <v/>
      </c>
      <c r="L91" s="52">
        <f>IFERROR(IF(INDEX('CI&amp;S'!$L$10:$L$15,MATCH($F91,'CI&amp;S'!$B$10:$B$15,0))="","Cell will autofill based on response",INDEX('CI&amp;S'!$L$10:$L$15,MATCH($F91,'CI&amp;S'!$B$10:$B$15,0))),"N/A")</f>
        <v/>
      </c>
      <c r="M91" s="52">
        <f>IFERROR(IF(INDEX('CI&amp;S'!$L$22:$L$36,MATCH($F91,'CI&amp;S'!$B$22:$B$36,0))="","Cell will autofill based on response",INDEX('CI&amp;S'!$L$22:$L$36,MATCH($F91,'CI&amp;S'!$B$22:$B$36,0))),"N/A")</f>
        <v/>
      </c>
      <c r="N91" s="52">
        <f>IFERROR(IF(INDEX('CFOG'!$L$10:$L$16,MATCH($F91,'CFOG'!$B$10:$B$16,0))="","Cell will autofill based on response",INDEX('CFOG'!$L$10:$L$16,MATCH($F91,'CFOG'!$B$10:$B$16,0))),"N/A")</f>
        <v/>
      </c>
      <c r="O91" s="52">
        <f>IFERROR(IF(INDEX('CFOG'!$L$23:$L$24,MATCH($F91,'CFOG'!$B$23:$B$24,0))="","Cell will autofill based on response",INDEX('CFOG'!$L$23:$L$24,MATCH($F91,'CFOG'!$B$23:$B$24,0))),"N/A")</f>
        <v/>
      </c>
      <c r="P91" s="52">
        <f>IFERROR(IF(INDEX('ESG'!$L$10:$L$17,MATCH($F91,'ESG'!$B$10:$B$17,0))="","Cell will autofill based on response",INDEX('ESG'!$L$10:$L$17,MATCH($F91,'ESG'!$B$10:$B$17,0))),"N/A")</f>
        <v/>
      </c>
      <c r="Q91" s="52">
        <f>IFERROR(IF(INDEX('CIOG'!$L$10:$L$14,MATCH($F91,'CIOG'!$B$10:$B$14,0))="","Cell will autofill based on response",INDEX('CIOG'!$L$10:$L$14,MATCH($F91,'CIOG'!$B$10:$B$14,0))),"N/A")</f>
        <v/>
      </c>
      <c r="R91" s="52">
        <f>IFERROR(IF(INDEX('MRE'!$L$10:$L$18,MATCH($F91,'MRE'!$B$10:$B$18,0))="","Cell will autofill based on response",INDEX('MRE'!$L$10:$L$18,MATCH($F91,'MRE'!$B$10:$B$18,0))),"N/A")</f>
        <v/>
      </c>
      <c r="S91" s="52">
        <f>IFERROR(IF(INDEX('AC&amp;M'!$L$10:$L$14,MATCH($F91,'AC&amp;M'!$B$10:$B$14,0))="","Cell will autofill based on response",INDEX('AC&amp;M'!$L$10:$L$14,MATCH($F91,'AC&amp;M'!$B$10:$B$14,0))),"N/A")</f>
        <v/>
      </c>
      <c r="T91" s="52">
        <f>IFERROR(IF(INDEX('GCE'!$L$10:$L$12,MATCH($F91,'GCE'!$B$10:$B$12,0))="","Cell will autofill based on response",INDEX('GCE'!$L$10:$L$12,MATCH($F91,'GCE'!$B$10:$B$12,0))),"N/A")</f>
        <v/>
      </c>
      <c r="U91" s="52">
        <f>IFERROR(IF(INDEX('Education'!$L$10:$L$13,MATCH($F91,'Education'!$B$10:$B$13,0))="","Cell will autofill based on response",INDEX('Education'!$L$10:$L$13,MATCH($F91,'Education'!$B$10:$B$13,0))),"N/A")</f>
        <v/>
      </c>
      <c r="V91" s="52">
        <f>IFERROR(IF(INDEX('SaSS'!$L$10:$L$12,MATCH($F91,'SaSS'!$B$10:$B$12,0))="","Cell will autofill based on response",INDEX('SaSS'!$L$10:$L$12,MATCH($F91,'SaSS'!$B$10:$B$12,0))),"N/A")</f>
        <v/>
      </c>
      <c r="W91" s="52">
        <f>IFERROR(IF(INDEX('Indigenous'!$L$10:$L$11,MATCH($F91,'Indigenous'!$B$10:$B$11,0))="","Cell will autofill based on response",INDEX('Indigenous'!$L$10:$L$11,MATCH($F91,'Indigenous'!$B$10:$B$11,0))),"N/A")</f>
        <v/>
      </c>
      <c r="X91" s="52">
        <f>IFERROR(IF(INDEX('L&amp;R'!$L$10:$L$11,MATCH($F91,'L&amp;R'!$B$10:$B$11,0))="","Cell will autofill based on response",INDEX('L&amp;R'!$L$10:$L$11,MATCH($F91,'L&amp;R'!$B$10:$B$11,0))),"N/A")</f>
        <v/>
      </c>
      <c r="Z91" s="10">
        <f>SUMPRODUCT(--($H91:$X91&lt;&gt;"N/A"))</f>
        <v/>
      </c>
      <c r="AA91" s="10">
        <f>SUMPRODUCT(--(((($H91:$X91&lt;&gt;"N/A")*($H91:$X91&lt;&gt;"Cell will autofill based on response"))+(($H92:$X92&lt;&gt;"N/A")*($H92:$X92&lt;&gt;"Cell will autofill based on response")))&gt;0))</f>
        <v/>
      </c>
      <c r="AB91" s="10">
        <f>Z91-AA91</f>
        <v/>
      </c>
      <c r="AC91" s="10">
        <f>COUNTIF($H95:$X95,"Yes")</f>
        <v/>
      </c>
    </row>
    <row r="92">
      <c r="A92">
        <f>F92&amp;"|"&amp;G92</f>
        <v/>
      </c>
      <c r="B92" s="13" t="inlineStr"/>
      <c r="C92" s="8" t="inlineStr"/>
      <c r="D92" s="8" t="inlineStr"/>
      <c r="E92" s="8" t="inlineStr"/>
      <c r="F92" s="8" t="inlineStr">
        <is>
          <t>CL2(a)</t>
        </is>
      </c>
      <c r="G92" s="8" t="inlineStr">
        <is>
          <t>OPTION 2:  Indicator level reporting</t>
        </is>
      </c>
      <c r="H92" s="52">
        <f>IFERROR(IF(INDEX('Faculties'!$M$10:$M$19,MATCH($F92,'Faculties'!$B$10:$B$19,0))="","Cell will autofill based on response",INDEX('Faculties'!$M$10:$M$19,MATCH($F92,'Faculties'!$B$10:$B$19,0))),"N/A")</f>
        <v/>
      </c>
      <c r="I92" s="52">
        <f>IFERROR(IF(INDEX('Faculties'!$M$26:$M$35,MATCH($F92,'Faculties'!$B$26:$B$35,0))="","Cell will autofill based on response",INDEX('Faculties'!$M$26:$M$35,MATCH($F92,'Faculties'!$B$26:$B$35,0))),"N/A")</f>
        <v/>
      </c>
      <c r="J92" s="52">
        <f>IFERROR(IF(INDEX('Faculties'!$M$42:$M$51,MATCH($F92,'Faculties'!$B$42:$B$51,0))="","Cell will autofill based on response",INDEX('Faculties'!$M$42:$M$51,MATCH($F92,'Faculties'!$B$42:$B$51,0))),"N/A")</f>
        <v/>
      </c>
      <c r="K92" s="52">
        <f>IFERROR(IF(INDEX('Faculties'!$M$58:$M$67,MATCH($F92,'Faculties'!$B$58:$B$67,0))="","Cell will autofill based on response",INDEX('Faculties'!$M$58:$M$67,MATCH($F92,'Faculties'!$B$58:$B$67,0))),"N/A")</f>
        <v/>
      </c>
      <c r="L92" s="52">
        <f>IFERROR(IF(INDEX('CI&amp;S'!$M$10:$M$15,MATCH($F92,'CI&amp;S'!$B$10:$B$15,0))="","Cell will autofill based on response",INDEX('CI&amp;S'!$M$10:$M$15,MATCH($F92,'CI&amp;S'!$B$10:$B$15,0))),"N/A")</f>
        <v/>
      </c>
      <c r="M92" s="52">
        <f>IFERROR(IF(INDEX('CI&amp;S'!$M$22:$M$36,MATCH($F92,'CI&amp;S'!$B$22:$B$36,0))="","Cell will autofill based on response",INDEX('CI&amp;S'!$M$22:$M$36,MATCH($F92,'CI&amp;S'!$B$22:$B$36,0))),"N/A")</f>
        <v/>
      </c>
      <c r="N92" s="52">
        <f>IFERROR(IF(INDEX('CFOG'!$M$10:$M$16,MATCH($F92,'CFOG'!$B$10:$B$16,0))="","Cell will autofill based on response",INDEX('CFOG'!$M$10:$M$16,MATCH($F92,'CFOG'!$B$10:$B$16,0))),"N/A")</f>
        <v/>
      </c>
      <c r="O92" s="52">
        <f>IFERROR(IF(INDEX('CFOG'!$M$23:$M$24,MATCH($F92,'CFOG'!$B$23:$B$24,0))="","Cell will autofill based on response",INDEX('CFOG'!$M$23:$M$24,MATCH($F92,'CFOG'!$B$23:$B$24,0))),"N/A")</f>
        <v/>
      </c>
      <c r="P92" s="52">
        <f>IFERROR(IF(INDEX('ESG'!$M$10:$M$17,MATCH($F92,'ESG'!$B$10:$B$17,0))="","Cell will autofill based on response",INDEX('ESG'!$M$10:$M$17,MATCH($F92,'ESG'!$B$10:$B$17,0))),"N/A")</f>
        <v/>
      </c>
      <c r="Q92" s="52">
        <f>IFERROR(IF(INDEX('CIOG'!$M$10:$M$14,MATCH($F92,'CIOG'!$B$10:$B$14,0))="","Cell will autofill based on response",INDEX('CIOG'!$M$10:$M$14,MATCH($F92,'CIOG'!$B$10:$B$14,0))),"N/A")</f>
        <v/>
      </c>
      <c r="R92" s="52">
        <f>IFERROR(IF(INDEX('MRE'!$M$10:$M$18,MATCH($F92,'MRE'!$B$10:$B$18,0))="","Cell will autofill based on response",INDEX('MRE'!$M$10:$M$18,MATCH($F92,'MRE'!$B$10:$B$18,0))),"N/A")</f>
        <v/>
      </c>
      <c r="S92" s="52">
        <f>IFERROR(IF(INDEX('AC&amp;M'!$M$10:$M$14,MATCH($F92,'AC&amp;M'!$B$10:$B$14,0))="","Cell will autofill based on response",INDEX('AC&amp;M'!$M$10:$M$14,MATCH($F92,'AC&amp;M'!$B$10:$B$14,0))),"N/A")</f>
        <v/>
      </c>
      <c r="T92" s="52">
        <f>IFERROR(IF(INDEX('GCE'!$M$10:$M$12,MATCH($F92,'GCE'!$B$10:$B$12,0))="","Cell will autofill based on response",INDEX('GCE'!$M$10:$M$12,MATCH($F92,'GCE'!$B$10:$B$12,0))),"N/A")</f>
        <v/>
      </c>
      <c r="U92" s="52">
        <f>IFERROR(IF(INDEX('Education'!$M$10:$M$13,MATCH($F92,'Education'!$B$10:$B$13,0))="","Cell will autofill based on response",INDEX('Education'!$M$10:$M$13,MATCH($F92,'Education'!$B$10:$B$13,0))),"N/A")</f>
        <v/>
      </c>
      <c r="V92" s="52">
        <f>IFERROR(IF(INDEX('SaSS'!$M$10:$M$12,MATCH($F92,'SaSS'!$B$10:$B$12,0))="","Cell will autofill based on response",INDEX('SaSS'!$M$10:$M$12,MATCH($F92,'SaSS'!$B$10:$B$12,0))),"N/A")</f>
        <v/>
      </c>
      <c r="W92" s="52">
        <f>IFERROR(IF(INDEX('Indigenous'!$M$10:$M$11,MATCH($F92,'Indigenous'!$B$10:$B$11,0))="","Cell will autofill based on response",INDEX('Indigenous'!$M$10:$M$11,MATCH($F92,'Indigenous'!$B$10:$B$11,0))),"N/A")</f>
        <v/>
      </c>
      <c r="X92" s="52">
        <f>IFERROR(IF(INDEX('L&amp;R'!$M$10:$M$11,MATCH($F92,'L&amp;R'!$B$10:$B$11,0))="","Cell will autofill based on response",INDEX('L&amp;R'!$M$10:$M$11,MATCH($F92,'L&amp;R'!$B$10:$B$11,0))),"N/A")</f>
        <v/>
      </c>
    </row>
    <row r="93">
      <c r="A93">
        <f>F93&amp;"|"&amp;G93</f>
        <v/>
      </c>
      <c r="B93" s="13" t="inlineStr"/>
      <c r="C93" s="8" t="inlineStr"/>
      <c r="D93" s="8" t="inlineStr"/>
      <c r="E93" s="8" t="inlineStr"/>
      <c r="F93" s="8" t="inlineStr">
        <is>
          <t>CL2(a)</t>
        </is>
      </c>
      <c r="G93" s="8" t="inlineStr">
        <is>
          <t>Supporting information/comments</t>
        </is>
      </c>
      <c r="H93" s="52">
        <f>IFERROR(IF(INDEX('Faculties'!$N$10:$N$19,MATCH($F93,'Faculties'!$B$10:$B$19,0))="","Cell will autofill based on response",INDEX('Faculties'!$N$10:$N$19,MATCH($F93,'Faculties'!$B$10:$B$19,0))),"N/A")</f>
        <v/>
      </c>
      <c r="I93" s="52">
        <f>IFERROR(IF(INDEX('Faculties'!$N$26:$N$35,MATCH($F93,'Faculties'!$B$26:$B$35,0))="","Cell will autofill based on response",INDEX('Faculties'!$N$26:$N$35,MATCH($F93,'Faculties'!$B$26:$B$35,0))),"N/A")</f>
        <v/>
      </c>
      <c r="J93" s="52">
        <f>IFERROR(IF(INDEX('Faculties'!$N$42:$N$51,MATCH($F93,'Faculties'!$B$42:$B$51,0))="","Cell will autofill based on response",INDEX('Faculties'!$N$42:$N$51,MATCH($F93,'Faculties'!$B$42:$B$51,0))),"N/A")</f>
        <v/>
      </c>
      <c r="K93" s="52">
        <f>IFERROR(IF(INDEX('Faculties'!$N$58:$N$67,MATCH($F93,'Faculties'!$B$58:$B$67,0))="","Cell will autofill based on response",INDEX('Faculties'!$N$58:$N$67,MATCH($F93,'Faculties'!$B$58:$B$67,0))),"N/A")</f>
        <v/>
      </c>
      <c r="L93" s="52">
        <f>IFERROR(IF(INDEX('CI&amp;S'!$N$10:$N$15,MATCH($F93,'CI&amp;S'!$B$10:$B$15,0))="","Cell will autofill based on response",INDEX('CI&amp;S'!$N$10:$N$15,MATCH($F93,'CI&amp;S'!$B$10:$B$15,0))),"N/A")</f>
        <v/>
      </c>
      <c r="M93" s="52">
        <f>IFERROR(IF(INDEX('CI&amp;S'!$N$22:$N$36,MATCH($F93,'CI&amp;S'!$B$22:$B$36,0))="","Cell will autofill based on response",INDEX('CI&amp;S'!$N$22:$N$36,MATCH($F93,'CI&amp;S'!$B$22:$B$36,0))),"N/A")</f>
        <v/>
      </c>
      <c r="N93" s="52">
        <f>IFERROR(IF(INDEX('CFOG'!$N$10:$N$16,MATCH($F93,'CFOG'!$B$10:$B$16,0))="","Cell will autofill based on response",INDEX('CFOG'!$N$10:$N$16,MATCH($F93,'CFOG'!$B$10:$B$16,0))),"N/A")</f>
        <v/>
      </c>
      <c r="O93" s="52">
        <f>IFERROR(IF(INDEX('CFOG'!$N$23:$N$24,MATCH($F93,'CFOG'!$B$23:$B$24,0))="","Cell will autofill based on response",INDEX('CFOG'!$N$23:$N$24,MATCH($F93,'CFOG'!$B$23:$B$24,0))),"N/A")</f>
        <v/>
      </c>
      <c r="P93" s="52">
        <f>IFERROR(IF(INDEX('ESG'!$N$10:$N$17,MATCH($F93,'ESG'!$B$10:$B$17,0))="","Cell will autofill based on response",INDEX('ESG'!$N$10:$N$17,MATCH($F93,'ESG'!$B$10:$B$17,0))),"N/A")</f>
        <v/>
      </c>
      <c r="Q93" s="52">
        <f>IFERROR(IF(INDEX('CIOG'!$N$10:$N$14,MATCH($F93,'CIOG'!$B$10:$B$14,0))="","Cell will autofill based on response",INDEX('CIOG'!$N$10:$N$14,MATCH($F93,'CIOG'!$B$10:$B$14,0))),"N/A")</f>
        <v/>
      </c>
      <c r="R93" s="52">
        <f>IFERROR(IF(INDEX('MRE'!$N$10:$N$18,MATCH($F93,'MRE'!$B$10:$B$18,0))="","Cell will autofill based on response",INDEX('MRE'!$N$10:$N$18,MATCH($F93,'MRE'!$B$10:$B$18,0))),"N/A")</f>
        <v/>
      </c>
      <c r="S93" s="52">
        <f>IFERROR(IF(INDEX('AC&amp;M'!$N$10:$N$14,MATCH($F93,'AC&amp;M'!$B$10:$B$14,0))="","Cell will autofill based on response",INDEX('AC&amp;M'!$N$10:$N$14,MATCH($F93,'AC&amp;M'!$B$10:$B$14,0))),"N/A")</f>
        <v/>
      </c>
      <c r="T93" s="52">
        <f>IFERROR(IF(INDEX('GCE'!$N$10:$N$12,MATCH($F93,'GCE'!$B$10:$B$12,0))="","Cell will autofill based on response",INDEX('GCE'!$N$10:$N$12,MATCH($F93,'GCE'!$B$10:$B$12,0))),"N/A")</f>
        <v/>
      </c>
      <c r="U93" s="52">
        <f>IFERROR(IF(INDEX('Education'!$N$10:$N$13,MATCH($F93,'Education'!$B$10:$B$13,0))="","Cell will autofill based on response",INDEX('Education'!$N$10:$N$13,MATCH($F93,'Education'!$B$10:$B$13,0))),"N/A")</f>
        <v/>
      </c>
      <c r="V93" s="52">
        <f>IFERROR(IF(INDEX('SaSS'!$N$10:$N$12,MATCH($F93,'SaSS'!$B$10:$B$12,0))="","Cell will autofill based on response",INDEX('SaSS'!$N$10:$N$12,MATCH($F93,'SaSS'!$B$10:$B$12,0))),"N/A")</f>
        <v/>
      </c>
      <c r="W93" s="52">
        <f>IFERROR(IF(INDEX('Indigenous'!$N$10:$N$11,MATCH($F93,'Indigenous'!$B$10:$B$11,0))="","Cell will autofill based on response",INDEX('Indigenous'!$N$10:$N$11,MATCH($F93,'Indigenous'!$B$10:$B$11,0))),"N/A")</f>
        <v/>
      </c>
      <c r="X93" s="52">
        <f>IFERROR(IF(INDEX('L&amp;R'!$N$10:$N$11,MATCH($F93,'L&amp;R'!$B$10:$B$11,0))="","Cell will autofill based on response",INDEX('L&amp;R'!$N$10:$N$11,MATCH($F93,'L&amp;R'!$B$10:$B$11,0))),"N/A")</f>
        <v/>
      </c>
    </row>
    <row r="94">
      <c r="A94">
        <f>F94&amp;"|"&amp;G94</f>
        <v/>
      </c>
      <c r="B94" s="13" t="inlineStr"/>
      <c r="C94" s="8" t="inlineStr"/>
      <c r="D94" s="8" t="inlineStr"/>
      <c r="E94" s="8" t="inlineStr"/>
      <c r="F94" s="8" t="inlineStr">
        <is>
          <t>CL2(a)</t>
        </is>
      </c>
      <c r="G94" s="8" t="inlineStr">
        <is>
          <t>Data source and limitations</t>
        </is>
      </c>
      <c r="H94" s="52">
        <f>IFERROR(IF(INDEX('Faculties'!$O$10:$O$19,MATCH($F94,'Faculties'!$B$10:$B$19,0))="","Cell will autofill based on response",INDEX('Faculties'!$O$10:$O$19,MATCH($F94,'Faculties'!$B$10:$B$19,0))),"N/A")</f>
        <v/>
      </c>
      <c r="I94" s="52">
        <f>IFERROR(IF(INDEX('Faculties'!$O$26:$O$35,MATCH($F94,'Faculties'!$B$26:$B$35,0))="","Cell will autofill based on response",INDEX('Faculties'!$O$26:$O$35,MATCH($F94,'Faculties'!$B$26:$B$35,0))),"N/A")</f>
        <v/>
      </c>
      <c r="J94" s="52">
        <f>IFERROR(IF(INDEX('Faculties'!$O$42:$O$51,MATCH($F94,'Faculties'!$B$42:$B$51,0))="","Cell will autofill based on response",INDEX('Faculties'!$O$42:$O$51,MATCH($F94,'Faculties'!$B$42:$B$51,0))),"N/A")</f>
        <v/>
      </c>
      <c r="K94" s="52">
        <f>IFERROR(IF(INDEX('Faculties'!$O$58:$O$67,MATCH($F94,'Faculties'!$B$58:$B$67,0))="","Cell will autofill based on response",INDEX('Faculties'!$O$58:$O$67,MATCH($F94,'Faculties'!$B$58:$B$67,0))),"N/A")</f>
        <v/>
      </c>
      <c r="L94" s="52">
        <f>IFERROR(IF(INDEX('CI&amp;S'!$O$10:$O$15,MATCH($F94,'CI&amp;S'!$B$10:$B$15,0))="","Cell will autofill based on response",INDEX('CI&amp;S'!$O$10:$O$15,MATCH($F94,'CI&amp;S'!$B$10:$B$15,0))),"N/A")</f>
        <v/>
      </c>
      <c r="M94" s="52">
        <f>IFERROR(IF(INDEX('CI&amp;S'!$O$22:$O$36,MATCH($F94,'CI&amp;S'!$B$22:$B$36,0))="","Cell will autofill based on response",INDEX('CI&amp;S'!$O$22:$O$36,MATCH($F94,'CI&amp;S'!$B$22:$B$36,0))),"N/A")</f>
        <v/>
      </c>
      <c r="N94" s="52">
        <f>IFERROR(IF(INDEX('CFOG'!$O$10:$O$16,MATCH($F94,'CFOG'!$B$10:$B$16,0))="","Cell will autofill based on response",INDEX('CFOG'!$O$10:$O$16,MATCH($F94,'CFOG'!$B$10:$B$16,0))),"N/A")</f>
        <v/>
      </c>
      <c r="O94" s="52">
        <f>IFERROR(IF(INDEX('CFOG'!$O$23:$O$24,MATCH($F94,'CFOG'!$B$23:$B$24,0))="","Cell will autofill based on response",INDEX('CFOG'!$O$23:$O$24,MATCH($F94,'CFOG'!$B$23:$B$24,0))),"N/A")</f>
        <v/>
      </c>
      <c r="P94" s="52">
        <f>IFERROR(IF(INDEX('ESG'!$O$10:$O$17,MATCH($F94,'ESG'!$B$10:$B$17,0))="","Cell will autofill based on response",INDEX('ESG'!$O$10:$O$17,MATCH($F94,'ESG'!$B$10:$B$17,0))),"N/A")</f>
        <v/>
      </c>
      <c r="Q94" s="52">
        <f>IFERROR(IF(INDEX('CIOG'!$O$10:$O$14,MATCH($F94,'CIOG'!$B$10:$B$14,0))="","Cell will autofill based on response",INDEX('CIOG'!$O$10:$O$14,MATCH($F94,'CIOG'!$B$10:$B$14,0))),"N/A")</f>
        <v/>
      </c>
      <c r="R94" s="52">
        <f>IFERROR(IF(INDEX('MRE'!$O$10:$O$18,MATCH($F94,'MRE'!$B$10:$B$18,0))="","Cell will autofill based on response",INDEX('MRE'!$O$10:$O$18,MATCH($F94,'MRE'!$B$10:$B$18,0))),"N/A")</f>
        <v/>
      </c>
      <c r="S94" s="52">
        <f>IFERROR(IF(INDEX('AC&amp;M'!$O$10:$O$14,MATCH($F94,'AC&amp;M'!$B$10:$B$14,0))="","Cell will autofill based on response",INDEX('AC&amp;M'!$O$10:$O$14,MATCH($F94,'AC&amp;M'!$B$10:$B$14,0))),"N/A")</f>
        <v/>
      </c>
      <c r="T94" s="52">
        <f>IFERROR(IF(INDEX('GCE'!$O$10:$O$12,MATCH($F94,'GCE'!$B$10:$B$12,0))="","Cell will autofill based on response",INDEX('GCE'!$O$10:$O$12,MATCH($F94,'GCE'!$B$10:$B$12,0))),"N/A")</f>
        <v/>
      </c>
      <c r="U94" s="52">
        <f>IFERROR(IF(INDEX('Education'!$O$10:$O$13,MATCH($F94,'Education'!$B$10:$B$13,0))="","Cell will autofill based on response",INDEX('Education'!$O$10:$O$13,MATCH($F94,'Education'!$B$10:$B$13,0))),"N/A")</f>
        <v/>
      </c>
      <c r="V94" s="52">
        <f>IFERROR(IF(INDEX('SaSS'!$O$10:$O$12,MATCH($F94,'SaSS'!$B$10:$B$12,0))="","Cell will autofill based on response",INDEX('SaSS'!$O$10:$O$12,MATCH($F94,'SaSS'!$B$10:$B$12,0))),"N/A")</f>
        <v/>
      </c>
      <c r="W94" s="52">
        <f>IFERROR(IF(INDEX('Indigenous'!$O$10:$O$11,MATCH($F94,'Indigenous'!$B$10:$B$11,0))="","Cell will autofill based on response",INDEX('Indigenous'!$O$10:$O$11,MATCH($F94,'Indigenous'!$B$10:$B$11,0))),"N/A")</f>
        <v/>
      </c>
      <c r="X94" s="52">
        <f>IFERROR(IF(INDEX('L&amp;R'!$O$10:$O$11,MATCH($F94,'L&amp;R'!$B$10:$B$11,0))="","Cell will autofill based on response",INDEX('L&amp;R'!$O$10:$O$11,MATCH($F94,'L&amp;R'!$B$10:$B$11,0))),"N/A")</f>
        <v/>
      </c>
    </row>
    <row r="95">
      <c r="A95">
        <f>F95&amp;"|"&amp;G95</f>
        <v/>
      </c>
      <c r="B95" s="13" t="inlineStr"/>
      <c r="C95" s="8" t="inlineStr"/>
      <c r="D95" s="8" t="inlineStr"/>
      <c r="E95" s="8" t="inlineStr"/>
      <c r="F95" s="8" t="inlineStr">
        <is>
          <t>CL2(a)</t>
        </is>
      </c>
      <c r="G95" s="8" t="inlineStr">
        <is>
          <t>Data owner confirms</t>
        </is>
      </c>
      <c r="H95" s="52">
        <f>IFERROR(IF(INDEX('Faculties'!$P$10:$P$19,MATCH($F95,'Faculties'!$B$10:$B$19,0))="","Cell will autofill based on response",INDEX('Faculties'!$P$10:$P$19,MATCH($F95,'Faculties'!$B$10:$B$19,0))),"N/A")</f>
        <v/>
      </c>
      <c r="I95" s="52">
        <f>IFERROR(IF(INDEX('Faculties'!$P$26:$P$35,MATCH($F95,'Faculties'!$B$26:$B$35,0))="","Cell will autofill based on response",INDEX('Faculties'!$P$26:$P$35,MATCH($F95,'Faculties'!$B$26:$B$35,0))),"N/A")</f>
        <v/>
      </c>
      <c r="J95" s="52">
        <f>IFERROR(IF(INDEX('Faculties'!$P$42:$P$51,MATCH($F95,'Faculties'!$B$42:$B$51,0))="","Cell will autofill based on response",INDEX('Faculties'!$P$42:$P$51,MATCH($F95,'Faculties'!$B$42:$B$51,0))),"N/A")</f>
        <v/>
      </c>
      <c r="K95" s="52">
        <f>IFERROR(IF(INDEX('Faculties'!$P$58:$P$67,MATCH($F95,'Faculties'!$B$58:$B$67,0))="","Cell will autofill based on response",INDEX('Faculties'!$P$58:$P$67,MATCH($F95,'Faculties'!$B$58:$B$67,0))),"N/A")</f>
        <v/>
      </c>
      <c r="L95" s="52">
        <f>IFERROR(IF(INDEX('CI&amp;S'!$P$10:$P$15,MATCH($F95,'CI&amp;S'!$B$10:$B$15,0))="","Cell will autofill based on response",INDEX('CI&amp;S'!$P$10:$P$15,MATCH($F95,'CI&amp;S'!$B$10:$B$15,0))),"N/A")</f>
        <v/>
      </c>
      <c r="M95" s="52">
        <f>IFERROR(IF(INDEX('CI&amp;S'!$P$22:$P$36,MATCH($F95,'CI&amp;S'!$B$22:$B$36,0))="","Cell will autofill based on response",INDEX('CI&amp;S'!$P$22:$P$36,MATCH($F95,'CI&amp;S'!$B$22:$B$36,0))),"N/A")</f>
        <v/>
      </c>
      <c r="N95" s="52">
        <f>IFERROR(IF(INDEX('CFOG'!$P$10:$P$16,MATCH($F95,'CFOG'!$B$10:$B$16,0))="","Cell will autofill based on response",INDEX('CFOG'!$P$10:$P$16,MATCH($F95,'CFOG'!$B$10:$B$16,0))),"N/A")</f>
        <v/>
      </c>
      <c r="O95" s="52">
        <f>IFERROR(IF(INDEX('CFOG'!$P$23:$P$24,MATCH($F95,'CFOG'!$B$23:$B$24,0))="","Cell will autofill based on response",INDEX('CFOG'!$P$23:$P$24,MATCH($F95,'CFOG'!$B$23:$B$24,0))),"N/A")</f>
        <v/>
      </c>
      <c r="P95" s="52">
        <f>IFERROR(IF(INDEX('ESG'!$P$10:$P$17,MATCH($F95,'ESG'!$B$10:$B$17,0))="","Cell will autofill based on response",INDEX('ESG'!$P$10:$P$17,MATCH($F95,'ESG'!$B$10:$B$17,0))),"N/A")</f>
        <v/>
      </c>
      <c r="Q95" s="52">
        <f>IFERROR(IF(INDEX('CIOG'!$P$10:$P$14,MATCH($F95,'CIOG'!$B$10:$B$14,0))="","Cell will autofill based on response",INDEX('CIOG'!$P$10:$P$14,MATCH($F95,'CIOG'!$B$10:$B$14,0))),"N/A")</f>
        <v/>
      </c>
      <c r="R95" s="52">
        <f>IFERROR(IF(INDEX('MRE'!$P$10:$P$18,MATCH($F95,'MRE'!$B$10:$B$18,0))="","Cell will autofill based on response",INDEX('MRE'!$P$10:$P$18,MATCH($F95,'MRE'!$B$10:$B$18,0))),"N/A")</f>
        <v/>
      </c>
      <c r="S95" s="52">
        <f>IFERROR(IF(INDEX('AC&amp;M'!$P$10:$P$14,MATCH($F95,'AC&amp;M'!$B$10:$B$14,0))="","Cell will autofill based on response",INDEX('AC&amp;M'!$P$10:$P$14,MATCH($F95,'AC&amp;M'!$B$10:$B$14,0))),"N/A")</f>
        <v/>
      </c>
      <c r="T95" s="52">
        <f>IFERROR(IF(INDEX('GCE'!$P$10:$P$12,MATCH($F95,'GCE'!$B$10:$B$12,0))="","Cell will autofill based on response",INDEX('GCE'!$P$10:$P$12,MATCH($F95,'GCE'!$B$10:$B$12,0))),"N/A")</f>
        <v/>
      </c>
      <c r="U95" s="52">
        <f>IFERROR(IF(INDEX('Education'!$P$10:$P$13,MATCH($F95,'Education'!$B$10:$B$13,0))="","Cell will autofill based on response",INDEX('Education'!$P$10:$P$13,MATCH($F95,'Education'!$B$10:$B$13,0))),"N/A")</f>
        <v/>
      </c>
      <c r="V95" s="52">
        <f>IFERROR(IF(INDEX('SaSS'!$P$10:$P$12,MATCH($F95,'SaSS'!$B$10:$B$12,0))="","Cell will autofill based on response",INDEX('SaSS'!$P$10:$P$12,MATCH($F95,'SaSS'!$B$10:$B$12,0))),"N/A")</f>
        <v/>
      </c>
      <c r="W95" s="52">
        <f>IFERROR(IF(INDEX('Indigenous'!$P$10:$P$11,MATCH($F95,'Indigenous'!$B$10:$B$11,0))="","Cell will autofill based on response",INDEX('Indigenous'!$P$10:$P$11,MATCH($F95,'Indigenous'!$B$10:$B$11,0))),"N/A")</f>
        <v/>
      </c>
      <c r="X95" s="52">
        <f>IFERROR(IF(INDEX('L&amp;R'!$P$10:$P$11,MATCH($F95,'L&amp;R'!$B$10:$B$11,0))="","Cell will autofill based on response",INDEX('L&amp;R'!$P$10:$P$11,MATCH($F95,'L&amp;R'!$B$10:$B$11,0))),"N/A")</f>
        <v/>
      </c>
    </row>
    <row r="96">
      <c r="A96">
        <f>F96&amp;"|"&amp;G96</f>
        <v/>
      </c>
      <c r="B96" s="7" t="inlineStr">
        <is>
          <t>CL2(c)</t>
        </is>
      </c>
      <c r="C96" s="50" t="inlineStr">
        <is>
          <t>Climate leadership</t>
        </is>
      </c>
      <c r="D96" s="50" t="inlineStr">
        <is>
          <t>Ongoing communications that evidence the University’s climate action, research and learning to inform policy, sector and community decarbonisation efforts.</t>
        </is>
      </c>
      <c r="E96" s="50" t="inlineStr">
        <is>
          <t>List and describe communications from the faculty in terms of climate action, research and learning to inform policy, sector and community decarbonisation efforts</t>
        </is>
      </c>
      <c r="F96" s="50" t="inlineStr">
        <is>
          <t>CL2(c)</t>
        </is>
      </c>
      <c r="G96" s="50" t="inlineStr">
        <is>
          <t>OPTION 1:  Target-level reporting</t>
        </is>
      </c>
      <c r="H96" s="52">
        <f>IFERROR(IF(INDEX('Faculties'!$L$10:$L$19,MATCH($F96,'Faculties'!$B$10:$B$19,0))="","Cell will autofill based on response",INDEX('Faculties'!$L$10:$L$19,MATCH($F96,'Faculties'!$B$10:$B$19,0))),"N/A")</f>
        <v/>
      </c>
      <c r="I96" s="52">
        <f>IFERROR(IF(INDEX('Faculties'!$L$26:$L$35,MATCH($F96,'Faculties'!$B$26:$B$35,0))="","Cell will autofill based on response",INDEX('Faculties'!$L$26:$L$35,MATCH($F96,'Faculties'!$B$26:$B$35,0))),"N/A")</f>
        <v/>
      </c>
      <c r="J96" s="52">
        <f>IFERROR(IF(INDEX('Faculties'!$L$42:$L$51,MATCH($F96,'Faculties'!$B$42:$B$51,0))="","Cell will autofill based on response",INDEX('Faculties'!$L$42:$L$51,MATCH($F96,'Faculties'!$B$42:$B$51,0))),"N/A")</f>
        <v/>
      </c>
      <c r="K96" s="52">
        <f>IFERROR(IF(INDEX('Faculties'!$L$58:$L$67,MATCH($F96,'Faculties'!$B$58:$B$67,0))="","Cell will autofill based on response",INDEX('Faculties'!$L$58:$L$67,MATCH($F96,'Faculties'!$B$58:$B$67,0))),"N/A")</f>
        <v/>
      </c>
      <c r="L96" s="52">
        <f>IFERROR(IF(INDEX('CI&amp;S'!$L$10:$L$15,MATCH($F96,'CI&amp;S'!$B$10:$B$15,0))="","Cell will autofill based on response",INDEX('CI&amp;S'!$L$10:$L$15,MATCH($F96,'CI&amp;S'!$B$10:$B$15,0))),"N/A")</f>
        <v/>
      </c>
      <c r="M96" s="52">
        <f>IFERROR(IF(INDEX('CI&amp;S'!$L$22:$L$36,MATCH($F96,'CI&amp;S'!$B$22:$B$36,0))="","Cell will autofill based on response",INDEX('CI&amp;S'!$L$22:$L$36,MATCH($F96,'CI&amp;S'!$B$22:$B$36,0))),"N/A")</f>
        <v/>
      </c>
      <c r="N96" s="52">
        <f>IFERROR(IF(INDEX('CFOG'!$L$10:$L$16,MATCH($F96,'CFOG'!$B$10:$B$16,0))="","Cell will autofill based on response",INDEX('CFOG'!$L$10:$L$16,MATCH($F96,'CFOG'!$B$10:$B$16,0))),"N/A")</f>
        <v/>
      </c>
      <c r="O96" s="52">
        <f>IFERROR(IF(INDEX('CFOG'!$L$23:$L$24,MATCH($F96,'CFOG'!$B$23:$B$24,0))="","Cell will autofill based on response",INDEX('CFOG'!$L$23:$L$24,MATCH($F96,'CFOG'!$B$23:$B$24,0))),"N/A")</f>
        <v/>
      </c>
      <c r="P96" s="52">
        <f>IFERROR(IF(INDEX('ESG'!$L$10:$L$17,MATCH($F96,'ESG'!$B$10:$B$17,0))="","Cell will autofill based on response",INDEX('ESG'!$L$10:$L$17,MATCH($F96,'ESG'!$B$10:$B$17,0))),"N/A")</f>
        <v/>
      </c>
      <c r="Q96" s="52">
        <f>IFERROR(IF(INDEX('CIOG'!$L$10:$L$14,MATCH($F96,'CIOG'!$B$10:$B$14,0))="","Cell will autofill based on response",INDEX('CIOG'!$L$10:$L$14,MATCH($F96,'CIOG'!$B$10:$B$14,0))),"N/A")</f>
        <v/>
      </c>
      <c r="R96" s="52">
        <f>IFERROR(IF(INDEX('MRE'!$L$10:$L$18,MATCH($F96,'MRE'!$B$10:$B$18,0))="","Cell will autofill based on response",INDEX('MRE'!$L$10:$L$18,MATCH($F96,'MRE'!$B$10:$B$18,0))),"N/A")</f>
        <v/>
      </c>
      <c r="S96" s="52">
        <f>IFERROR(IF(INDEX('AC&amp;M'!$L$10:$L$14,MATCH($F96,'AC&amp;M'!$B$10:$B$14,0))="","Cell will autofill based on response",INDEX('AC&amp;M'!$L$10:$L$14,MATCH($F96,'AC&amp;M'!$B$10:$B$14,0))),"N/A")</f>
        <v/>
      </c>
      <c r="T96" s="52">
        <f>IFERROR(IF(INDEX('GCE'!$L$10:$L$12,MATCH($F96,'GCE'!$B$10:$B$12,0))="","Cell will autofill based on response",INDEX('GCE'!$L$10:$L$12,MATCH($F96,'GCE'!$B$10:$B$12,0))),"N/A")</f>
        <v/>
      </c>
      <c r="U96" s="52">
        <f>IFERROR(IF(INDEX('Education'!$L$10:$L$13,MATCH($F96,'Education'!$B$10:$B$13,0))="","Cell will autofill based on response",INDEX('Education'!$L$10:$L$13,MATCH($F96,'Education'!$B$10:$B$13,0))),"N/A")</f>
        <v/>
      </c>
      <c r="V96" s="52">
        <f>IFERROR(IF(INDEX('SaSS'!$L$10:$L$12,MATCH($F96,'SaSS'!$B$10:$B$12,0))="","Cell will autofill based on response",INDEX('SaSS'!$L$10:$L$12,MATCH($F96,'SaSS'!$B$10:$B$12,0))),"N/A")</f>
        <v/>
      </c>
      <c r="W96" s="52">
        <f>IFERROR(IF(INDEX('Indigenous'!$L$10:$L$11,MATCH($F96,'Indigenous'!$B$10:$B$11,0))="","Cell will autofill based on response",INDEX('Indigenous'!$L$10:$L$11,MATCH($F96,'Indigenous'!$B$10:$B$11,0))),"N/A")</f>
        <v/>
      </c>
      <c r="X96" s="52">
        <f>IFERROR(IF(INDEX('L&amp;R'!$L$10:$L$11,MATCH($F96,'L&amp;R'!$B$10:$B$11,0))="","Cell will autofill based on response",INDEX('L&amp;R'!$L$10:$L$11,MATCH($F96,'L&amp;R'!$B$10:$B$11,0))),"N/A")</f>
        <v/>
      </c>
      <c r="Z96" s="10">
        <f>SUMPRODUCT(--($H96:$X96&lt;&gt;"N/A"))</f>
        <v/>
      </c>
      <c r="AA96" s="10">
        <f>SUMPRODUCT(--(((($H96:$X96&lt;&gt;"N/A")*($H96:$X96&lt;&gt;"Cell will autofill based on response"))+(($H97:$X97&lt;&gt;"N/A")*($H97:$X97&lt;&gt;"Cell will autofill based on response")))&gt;0))</f>
        <v/>
      </c>
      <c r="AB96" s="10">
        <f>Z96-AA96</f>
        <v/>
      </c>
      <c r="AC96" s="10">
        <f>COUNTIF($H100:$X100,"Yes")</f>
        <v/>
      </c>
    </row>
    <row r="97">
      <c r="A97">
        <f>F97&amp;"|"&amp;G97</f>
        <v/>
      </c>
      <c r="B97" s="13" t="inlineStr"/>
      <c r="C97" s="8" t="inlineStr"/>
      <c r="D97" s="8" t="inlineStr"/>
      <c r="E97" s="8" t="inlineStr"/>
      <c r="F97" s="8" t="inlineStr">
        <is>
          <t>CL2(c)</t>
        </is>
      </c>
      <c r="G97" s="8" t="inlineStr">
        <is>
          <t>OPTION 2:  Indicator level reporting</t>
        </is>
      </c>
      <c r="H97" s="52">
        <f>IFERROR(IF(INDEX('Faculties'!$M$10:$M$19,MATCH($F97,'Faculties'!$B$10:$B$19,0))="","Cell will autofill based on response",INDEX('Faculties'!$M$10:$M$19,MATCH($F97,'Faculties'!$B$10:$B$19,0))),"N/A")</f>
        <v/>
      </c>
      <c r="I97" s="52">
        <f>IFERROR(IF(INDEX('Faculties'!$M$26:$M$35,MATCH($F97,'Faculties'!$B$26:$B$35,0))="","Cell will autofill based on response",INDEX('Faculties'!$M$26:$M$35,MATCH($F97,'Faculties'!$B$26:$B$35,0))),"N/A")</f>
        <v/>
      </c>
      <c r="J97" s="52">
        <f>IFERROR(IF(INDEX('Faculties'!$M$42:$M$51,MATCH($F97,'Faculties'!$B$42:$B$51,0))="","Cell will autofill based on response",INDEX('Faculties'!$M$42:$M$51,MATCH($F97,'Faculties'!$B$42:$B$51,0))),"N/A")</f>
        <v/>
      </c>
      <c r="K97" s="52">
        <f>IFERROR(IF(INDEX('Faculties'!$M$58:$M$67,MATCH($F97,'Faculties'!$B$58:$B$67,0))="","Cell will autofill based on response",INDEX('Faculties'!$M$58:$M$67,MATCH($F97,'Faculties'!$B$58:$B$67,0))),"N/A")</f>
        <v/>
      </c>
      <c r="L97" s="52">
        <f>IFERROR(IF(INDEX('CI&amp;S'!$M$10:$M$15,MATCH($F97,'CI&amp;S'!$B$10:$B$15,0))="","Cell will autofill based on response",INDEX('CI&amp;S'!$M$10:$M$15,MATCH($F97,'CI&amp;S'!$B$10:$B$15,0))),"N/A")</f>
        <v/>
      </c>
      <c r="M97" s="52">
        <f>IFERROR(IF(INDEX('CI&amp;S'!$M$22:$M$36,MATCH($F97,'CI&amp;S'!$B$22:$B$36,0))="","Cell will autofill based on response",INDEX('CI&amp;S'!$M$22:$M$36,MATCH($F97,'CI&amp;S'!$B$22:$B$36,0))),"N/A")</f>
        <v/>
      </c>
      <c r="N97" s="52">
        <f>IFERROR(IF(INDEX('CFOG'!$M$10:$M$16,MATCH($F97,'CFOG'!$B$10:$B$16,0))="","Cell will autofill based on response",INDEX('CFOG'!$M$10:$M$16,MATCH($F97,'CFOG'!$B$10:$B$16,0))),"N/A")</f>
        <v/>
      </c>
      <c r="O97" s="52">
        <f>IFERROR(IF(INDEX('CFOG'!$M$23:$M$24,MATCH($F97,'CFOG'!$B$23:$B$24,0))="","Cell will autofill based on response",INDEX('CFOG'!$M$23:$M$24,MATCH($F97,'CFOG'!$B$23:$B$24,0))),"N/A")</f>
        <v/>
      </c>
      <c r="P97" s="52">
        <f>IFERROR(IF(INDEX('ESG'!$M$10:$M$17,MATCH($F97,'ESG'!$B$10:$B$17,0))="","Cell will autofill based on response",INDEX('ESG'!$M$10:$M$17,MATCH($F97,'ESG'!$B$10:$B$17,0))),"N/A")</f>
        <v/>
      </c>
      <c r="Q97" s="52">
        <f>IFERROR(IF(INDEX('CIOG'!$M$10:$M$14,MATCH($F97,'CIOG'!$B$10:$B$14,0))="","Cell will autofill based on response",INDEX('CIOG'!$M$10:$M$14,MATCH($F97,'CIOG'!$B$10:$B$14,0))),"N/A")</f>
        <v/>
      </c>
      <c r="R97" s="52">
        <f>IFERROR(IF(INDEX('MRE'!$M$10:$M$18,MATCH($F97,'MRE'!$B$10:$B$18,0))="","Cell will autofill based on response",INDEX('MRE'!$M$10:$M$18,MATCH($F97,'MRE'!$B$10:$B$18,0))),"N/A")</f>
        <v/>
      </c>
      <c r="S97" s="52">
        <f>IFERROR(IF(INDEX('AC&amp;M'!$M$10:$M$14,MATCH($F97,'AC&amp;M'!$B$10:$B$14,0))="","Cell will autofill based on response",INDEX('AC&amp;M'!$M$10:$M$14,MATCH($F97,'AC&amp;M'!$B$10:$B$14,0))),"N/A")</f>
        <v/>
      </c>
      <c r="T97" s="52">
        <f>IFERROR(IF(INDEX('GCE'!$M$10:$M$12,MATCH($F97,'GCE'!$B$10:$B$12,0))="","Cell will autofill based on response",INDEX('GCE'!$M$10:$M$12,MATCH($F97,'GCE'!$B$10:$B$12,0))),"N/A")</f>
        <v/>
      </c>
      <c r="U97" s="52">
        <f>IFERROR(IF(INDEX('Education'!$M$10:$M$13,MATCH($F97,'Education'!$B$10:$B$13,0))="","Cell will autofill based on response",INDEX('Education'!$M$10:$M$13,MATCH($F97,'Education'!$B$10:$B$13,0))),"N/A")</f>
        <v/>
      </c>
      <c r="V97" s="52">
        <f>IFERROR(IF(INDEX('SaSS'!$M$10:$M$12,MATCH($F97,'SaSS'!$B$10:$B$12,0))="","Cell will autofill based on response",INDEX('SaSS'!$M$10:$M$12,MATCH($F97,'SaSS'!$B$10:$B$12,0))),"N/A")</f>
        <v/>
      </c>
      <c r="W97" s="52">
        <f>IFERROR(IF(INDEX('Indigenous'!$M$10:$M$11,MATCH($F97,'Indigenous'!$B$10:$B$11,0))="","Cell will autofill based on response",INDEX('Indigenous'!$M$10:$M$11,MATCH($F97,'Indigenous'!$B$10:$B$11,0))),"N/A")</f>
        <v/>
      </c>
      <c r="X97" s="52">
        <f>IFERROR(IF(INDEX('L&amp;R'!$M$10:$M$11,MATCH($F97,'L&amp;R'!$B$10:$B$11,0))="","Cell will autofill based on response",INDEX('L&amp;R'!$M$10:$M$11,MATCH($F97,'L&amp;R'!$B$10:$B$11,0))),"N/A")</f>
        <v/>
      </c>
    </row>
    <row r="98">
      <c r="A98">
        <f>F98&amp;"|"&amp;G98</f>
        <v/>
      </c>
      <c r="B98" s="13" t="inlineStr"/>
      <c r="C98" s="8" t="inlineStr"/>
      <c r="D98" s="8" t="inlineStr"/>
      <c r="E98" s="8" t="inlineStr"/>
      <c r="F98" s="8" t="inlineStr">
        <is>
          <t>CL2(c)</t>
        </is>
      </c>
      <c r="G98" s="8" t="inlineStr">
        <is>
          <t>Supporting information/comments</t>
        </is>
      </c>
      <c r="H98" s="52">
        <f>IFERROR(IF(INDEX('Faculties'!$N$10:$N$19,MATCH($F98,'Faculties'!$B$10:$B$19,0))="","Cell will autofill based on response",INDEX('Faculties'!$N$10:$N$19,MATCH($F98,'Faculties'!$B$10:$B$19,0))),"N/A")</f>
        <v/>
      </c>
      <c r="I98" s="52">
        <f>IFERROR(IF(INDEX('Faculties'!$N$26:$N$35,MATCH($F98,'Faculties'!$B$26:$B$35,0))="","Cell will autofill based on response",INDEX('Faculties'!$N$26:$N$35,MATCH($F98,'Faculties'!$B$26:$B$35,0))),"N/A")</f>
        <v/>
      </c>
      <c r="J98" s="52">
        <f>IFERROR(IF(INDEX('Faculties'!$N$42:$N$51,MATCH($F98,'Faculties'!$B$42:$B$51,0))="","Cell will autofill based on response",INDEX('Faculties'!$N$42:$N$51,MATCH($F98,'Faculties'!$B$42:$B$51,0))),"N/A")</f>
        <v/>
      </c>
      <c r="K98" s="52">
        <f>IFERROR(IF(INDEX('Faculties'!$N$58:$N$67,MATCH($F98,'Faculties'!$B$58:$B$67,0))="","Cell will autofill based on response",INDEX('Faculties'!$N$58:$N$67,MATCH($F98,'Faculties'!$B$58:$B$67,0))),"N/A")</f>
        <v/>
      </c>
      <c r="L98" s="52">
        <f>IFERROR(IF(INDEX('CI&amp;S'!$N$10:$N$15,MATCH($F98,'CI&amp;S'!$B$10:$B$15,0))="","Cell will autofill based on response",INDEX('CI&amp;S'!$N$10:$N$15,MATCH($F98,'CI&amp;S'!$B$10:$B$15,0))),"N/A")</f>
        <v/>
      </c>
      <c r="M98" s="52">
        <f>IFERROR(IF(INDEX('CI&amp;S'!$N$22:$N$36,MATCH($F98,'CI&amp;S'!$B$22:$B$36,0))="","Cell will autofill based on response",INDEX('CI&amp;S'!$N$22:$N$36,MATCH($F98,'CI&amp;S'!$B$22:$B$36,0))),"N/A")</f>
        <v/>
      </c>
      <c r="N98" s="52">
        <f>IFERROR(IF(INDEX('CFOG'!$N$10:$N$16,MATCH($F98,'CFOG'!$B$10:$B$16,0))="","Cell will autofill based on response",INDEX('CFOG'!$N$10:$N$16,MATCH($F98,'CFOG'!$B$10:$B$16,0))),"N/A")</f>
        <v/>
      </c>
      <c r="O98" s="52">
        <f>IFERROR(IF(INDEX('CFOG'!$N$23:$N$24,MATCH($F98,'CFOG'!$B$23:$B$24,0))="","Cell will autofill based on response",INDEX('CFOG'!$N$23:$N$24,MATCH($F98,'CFOG'!$B$23:$B$24,0))),"N/A")</f>
        <v/>
      </c>
      <c r="P98" s="52">
        <f>IFERROR(IF(INDEX('ESG'!$N$10:$N$17,MATCH($F98,'ESG'!$B$10:$B$17,0))="","Cell will autofill based on response",INDEX('ESG'!$N$10:$N$17,MATCH($F98,'ESG'!$B$10:$B$17,0))),"N/A")</f>
        <v/>
      </c>
      <c r="Q98" s="52">
        <f>IFERROR(IF(INDEX('CIOG'!$N$10:$N$14,MATCH($F98,'CIOG'!$B$10:$B$14,0))="","Cell will autofill based on response",INDEX('CIOG'!$N$10:$N$14,MATCH($F98,'CIOG'!$B$10:$B$14,0))),"N/A")</f>
        <v/>
      </c>
      <c r="R98" s="52">
        <f>IFERROR(IF(INDEX('MRE'!$N$10:$N$18,MATCH($F98,'MRE'!$B$10:$B$18,0))="","Cell will autofill based on response",INDEX('MRE'!$N$10:$N$18,MATCH($F98,'MRE'!$B$10:$B$18,0))),"N/A")</f>
        <v/>
      </c>
      <c r="S98" s="52">
        <f>IFERROR(IF(INDEX('AC&amp;M'!$N$10:$N$14,MATCH($F98,'AC&amp;M'!$B$10:$B$14,0))="","Cell will autofill based on response",INDEX('AC&amp;M'!$N$10:$N$14,MATCH($F98,'AC&amp;M'!$B$10:$B$14,0))),"N/A")</f>
        <v/>
      </c>
      <c r="T98" s="52">
        <f>IFERROR(IF(INDEX('GCE'!$N$10:$N$12,MATCH($F98,'GCE'!$B$10:$B$12,0))="","Cell will autofill based on response",INDEX('GCE'!$N$10:$N$12,MATCH($F98,'GCE'!$B$10:$B$12,0))),"N/A")</f>
        <v/>
      </c>
      <c r="U98" s="52">
        <f>IFERROR(IF(INDEX('Education'!$N$10:$N$13,MATCH($F98,'Education'!$B$10:$B$13,0))="","Cell will autofill based on response",INDEX('Education'!$N$10:$N$13,MATCH($F98,'Education'!$B$10:$B$13,0))),"N/A")</f>
        <v/>
      </c>
      <c r="V98" s="52">
        <f>IFERROR(IF(INDEX('SaSS'!$N$10:$N$12,MATCH($F98,'SaSS'!$B$10:$B$12,0))="","Cell will autofill based on response",INDEX('SaSS'!$N$10:$N$12,MATCH($F98,'SaSS'!$B$10:$B$12,0))),"N/A")</f>
        <v/>
      </c>
      <c r="W98" s="52">
        <f>IFERROR(IF(INDEX('Indigenous'!$N$10:$N$11,MATCH($F98,'Indigenous'!$B$10:$B$11,0))="","Cell will autofill based on response",INDEX('Indigenous'!$N$10:$N$11,MATCH($F98,'Indigenous'!$B$10:$B$11,0))),"N/A")</f>
        <v/>
      </c>
      <c r="X98" s="52">
        <f>IFERROR(IF(INDEX('L&amp;R'!$N$10:$N$11,MATCH($F98,'L&amp;R'!$B$10:$B$11,0))="","Cell will autofill based on response",INDEX('L&amp;R'!$N$10:$N$11,MATCH($F98,'L&amp;R'!$B$10:$B$11,0))),"N/A")</f>
        <v/>
      </c>
    </row>
    <row r="99">
      <c r="A99">
        <f>F99&amp;"|"&amp;G99</f>
        <v/>
      </c>
      <c r="B99" s="13" t="inlineStr"/>
      <c r="C99" s="8" t="inlineStr"/>
      <c r="D99" s="8" t="inlineStr"/>
      <c r="E99" s="8" t="inlineStr"/>
      <c r="F99" s="8" t="inlineStr">
        <is>
          <t>CL2(c)</t>
        </is>
      </c>
      <c r="G99" s="8" t="inlineStr">
        <is>
          <t>Data source and limitations</t>
        </is>
      </c>
      <c r="H99" s="52">
        <f>IFERROR(IF(INDEX('Faculties'!$O$10:$O$19,MATCH($F99,'Faculties'!$B$10:$B$19,0))="","Cell will autofill based on response",INDEX('Faculties'!$O$10:$O$19,MATCH($F99,'Faculties'!$B$10:$B$19,0))),"N/A")</f>
        <v/>
      </c>
      <c r="I99" s="52">
        <f>IFERROR(IF(INDEX('Faculties'!$O$26:$O$35,MATCH($F99,'Faculties'!$B$26:$B$35,0))="","Cell will autofill based on response",INDEX('Faculties'!$O$26:$O$35,MATCH($F99,'Faculties'!$B$26:$B$35,0))),"N/A")</f>
        <v/>
      </c>
      <c r="J99" s="52">
        <f>IFERROR(IF(INDEX('Faculties'!$O$42:$O$51,MATCH($F99,'Faculties'!$B$42:$B$51,0))="","Cell will autofill based on response",INDEX('Faculties'!$O$42:$O$51,MATCH($F99,'Faculties'!$B$42:$B$51,0))),"N/A")</f>
        <v/>
      </c>
      <c r="K99" s="52">
        <f>IFERROR(IF(INDEX('Faculties'!$O$58:$O$67,MATCH($F99,'Faculties'!$B$58:$B$67,0))="","Cell will autofill based on response",INDEX('Faculties'!$O$58:$O$67,MATCH($F99,'Faculties'!$B$58:$B$67,0))),"N/A")</f>
        <v/>
      </c>
      <c r="L99" s="52">
        <f>IFERROR(IF(INDEX('CI&amp;S'!$O$10:$O$15,MATCH($F99,'CI&amp;S'!$B$10:$B$15,0))="","Cell will autofill based on response",INDEX('CI&amp;S'!$O$10:$O$15,MATCH($F99,'CI&amp;S'!$B$10:$B$15,0))),"N/A")</f>
        <v/>
      </c>
      <c r="M99" s="52">
        <f>IFERROR(IF(INDEX('CI&amp;S'!$O$22:$O$36,MATCH($F99,'CI&amp;S'!$B$22:$B$36,0))="","Cell will autofill based on response",INDEX('CI&amp;S'!$O$22:$O$36,MATCH($F99,'CI&amp;S'!$B$22:$B$36,0))),"N/A")</f>
        <v/>
      </c>
      <c r="N99" s="52">
        <f>IFERROR(IF(INDEX('CFOG'!$O$10:$O$16,MATCH($F99,'CFOG'!$B$10:$B$16,0))="","Cell will autofill based on response",INDEX('CFOG'!$O$10:$O$16,MATCH($F99,'CFOG'!$B$10:$B$16,0))),"N/A")</f>
        <v/>
      </c>
      <c r="O99" s="52">
        <f>IFERROR(IF(INDEX('CFOG'!$O$23:$O$24,MATCH($F99,'CFOG'!$B$23:$B$24,0))="","Cell will autofill based on response",INDEX('CFOG'!$O$23:$O$24,MATCH($F99,'CFOG'!$B$23:$B$24,0))),"N/A")</f>
        <v/>
      </c>
      <c r="P99" s="52">
        <f>IFERROR(IF(INDEX('ESG'!$O$10:$O$17,MATCH($F99,'ESG'!$B$10:$B$17,0))="","Cell will autofill based on response",INDEX('ESG'!$O$10:$O$17,MATCH($F99,'ESG'!$B$10:$B$17,0))),"N/A")</f>
        <v/>
      </c>
      <c r="Q99" s="52">
        <f>IFERROR(IF(INDEX('CIOG'!$O$10:$O$14,MATCH($F99,'CIOG'!$B$10:$B$14,0))="","Cell will autofill based on response",INDEX('CIOG'!$O$10:$O$14,MATCH($F99,'CIOG'!$B$10:$B$14,0))),"N/A")</f>
        <v/>
      </c>
      <c r="R99" s="52">
        <f>IFERROR(IF(INDEX('MRE'!$O$10:$O$18,MATCH($F99,'MRE'!$B$10:$B$18,0))="","Cell will autofill based on response",INDEX('MRE'!$O$10:$O$18,MATCH($F99,'MRE'!$B$10:$B$18,0))),"N/A")</f>
        <v/>
      </c>
      <c r="S99" s="52">
        <f>IFERROR(IF(INDEX('AC&amp;M'!$O$10:$O$14,MATCH($F99,'AC&amp;M'!$B$10:$B$14,0))="","Cell will autofill based on response",INDEX('AC&amp;M'!$O$10:$O$14,MATCH($F99,'AC&amp;M'!$B$10:$B$14,0))),"N/A")</f>
        <v/>
      </c>
      <c r="T99" s="52">
        <f>IFERROR(IF(INDEX('GCE'!$O$10:$O$12,MATCH($F99,'GCE'!$B$10:$B$12,0))="","Cell will autofill based on response",INDEX('GCE'!$O$10:$O$12,MATCH($F99,'GCE'!$B$10:$B$12,0))),"N/A")</f>
        <v/>
      </c>
      <c r="U99" s="52">
        <f>IFERROR(IF(INDEX('Education'!$O$10:$O$13,MATCH($F99,'Education'!$B$10:$B$13,0))="","Cell will autofill based on response",INDEX('Education'!$O$10:$O$13,MATCH($F99,'Education'!$B$10:$B$13,0))),"N/A")</f>
        <v/>
      </c>
      <c r="V99" s="52">
        <f>IFERROR(IF(INDEX('SaSS'!$O$10:$O$12,MATCH($F99,'SaSS'!$B$10:$B$12,0))="","Cell will autofill based on response",INDEX('SaSS'!$O$10:$O$12,MATCH($F99,'SaSS'!$B$10:$B$12,0))),"N/A")</f>
        <v/>
      </c>
      <c r="W99" s="52">
        <f>IFERROR(IF(INDEX('Indigenous'!$O$10:$O$11,MATCH($F99,'Indigenous'!$B$10:$B$11,0))="","Cell will autofill based on response",INDEX('Indigenous'!$O$10:$O$11,MATCH($F99,'Indigenous'!$B$10:$B$11,0))),"N/A")</f>
        <v/>
      </c>
      <c r="X99" s="52">
        <f>IFERROR(IF(INDEX('L&amp;R'!$O$10:$O$11,MATCH($F99,'L&amp;R'!$B$10:$B$11,0))="","Cell will autofill based on response",INDEX('L&amp;R'!$O$10:$O$11,MATCH($F99,'L&amp;R'!$B$10:$B$11,0))),"N/A")</f>
        <v/>
      </c>
    </row>
    <row r="100">
      <c r="A100">
        <f>F100&amp;"|"&amp;G100</f>
        <v/>
      </c>
      <c r="B100" s="13" t="inlineStr"/>
      <c r="C100" s="8" t="inlineStr"/>
      <c r="D100" s="8" t="inlineStr"/>
      <c r="E100" s="8" t="inlineStr"/>
      <c r="F100" s="8" t="inlineStr">
        <is>
          <t>CL2(c)</t>
        </is>
      </c>
      <c r="G100" s="8" t="inlineStr">
        <is>
          <t>Data owner confirms</t>
        </is>
      </c>
      <c r="H100" s="52">
        <f>IFERROR(IF(INDEX('Faculties'!$P$10:$P$19,MATCH($F100,'Faculties'!$B$10:$B$19,0))="","Cell will autofill based on response",INDEX('Faculties'!$P$10:$P$19,MATCH($F100,'Faculties'!$B$10:$B$19,0))),"N/A")</f>
        <v/>
      </c>
      <c r="I100" s="52">
        <f>IFERROR(IF(INDEX('Faculties'!$P$26:$P$35,MATCH($F100,'Faculties'!$B$26:$B$35,0))="","Cell will autofill based on response",INDEX('Faculties'!$P$26:$P$35,MATCH($F100,'Faculties'!$B$26:$B$35,0))),"N/A")</f>
        <v/>
      </c>
      <c r="J100" s="52">
        <f>IFERROR(IF(INDEX('Faculties'!$P$42:$P$51,MATCH($F100,'Faculties'!$B$42:$B$51,0))="","Cell will autofill based on response",INDEX('Faculties'!$P$42:$P$51,MATCH($F100,'Faculties'!$B$42:$B$51,0))),"N/A")</f>
        <v/>
      </c>
      <c r="K100" s="52">
        <f>IFERROR(IF(INDEX('Faculties'!$P$58:$P$67,MATCH($F100,'Faculties'!$B$58:$B$67,0))="","Cell will autofill based on response",INDEX('Faculties'!$P$58:$P$67,MATCH($F100,'Faculties'!$B$58:$B$67,0))),"N/A")</f>
        <v/>
      </c>
      <c r="L100" s="52">
        <f>IFERROR(IF(INDEX('CI&amp;S'!$P$10:$P$15,MATCH($F100,'CI&amp;S'!$B$10:$B$15,0))="","Cell will autofill based on response",INDEX('CI&amp;S'!$P$10:$P$15,MATCH($F100,'CI&amp;S'!$B$10:$B$15,0))),"N/A")</f>
        <v/>
      </c>
      <c r="M100" s="52">
        <f>IFERROR(IF(INDEX('CI&amp;S'!$P$22:$P$36,MATCH($F100,'CI&amp;S'!$B$22:$B$36,0))="","Cell will autofill based on response",INDEX('CI&amp;S'!$P$22:$P$36,MATCH($F100,'CI&amp;S'!$B$22:$B$36,0))),"N/A")</f>
        <v/>
      </c>
      <c r="N100" s="52">
        <f>IFERROR(IF(INDEX('CFOG'!$P$10:$P$16,MATCH($F100,'CFOG'!$B$10:$B$16,0))="","Cell will autofill based on response",INDEX('CFOG'!$P$10:$P$16,MATCH($F100,'CFOG'!$B$10:$B$16,0))),"N/A")</f>
        <v/>
      </c>
      <c r="O100" s="52">
        <f>IFERROR(IF(INDEX('CFOG'!$P$23:$P$24,MATCH($F100,'CFOG'!$B$23:$B$24,0))="","Cell will autofill based on response",INDEX('CFOG'!$P$23:$P$24,MATCH($F100,'CFOG'!$B$23:$B$24,0))),"N/A")</f>
        <v/>
      </c>
      <c r="P100" s="52">
        <f>IFERROR(IF(INDEX('ESG'!$P$10:$P$17,MATCH($F100,'ESG'!$B$10:$B$17,0))="","Cell will autofill based on response",INDEX('ESG'!$P$10:$P$17,MATCH($F100,'ESG'!$B$10:$B$17,0))),"N/A")</f>
        <v/>
      </c>
      <c r="Q100" s="52">
        <f>IFERROR(IF(INDEX('CIOG'!$P$10:$P$14,MATCH($F100,'CIOG'!$B$10:$B$14,0))="","Cell will autofill based on response",INDEX('CIOG'!$P$10:$P$14,MATCH($F100,'CIOG'!$B$10:$B$14,0))),"N/A")</f>
        <v/>
      </c>
      <c r="R100" s="52">
        <f>IFERROR(IF(INDEX('MRE'!$P$10:$P$18,MATCH($F100,'MRE'!$B$10:$B$18,0))="","Cell will autofill based on response",INDEX('MRE'!$P$10:$P$18,MATCH($F100,'MRE'!$B$10:$B$18,0))),"N/A")</f>
        <v/>
      </c>
      <c r="S100" s="52">
        <f>IFERROR(IF(INDEX('AC&amp;M'!$P$10:$P$14,MATCH($F100,'AC&amp;M'!$B$10:$B$14,0))="","Cell will autofill based on response",INDEX('AC&amp;M'!$P$10:$P$14,MATCH($F100,'AC&amp;M'!$B$10:$B$14,0))),"N/A")</f>
        <v/>
      </c>
      <c r="T100" s="52">
        <f>IFERROR(IF(INDEX('GCE'!$P$10:$P$12,MATCH($F100,'GCE'!$B$10:$B$12,0))="","Cell will autofill based on response",INDEX('GCE'!$P$10:$P$12,MATCH($F100,'GCE'!$B$10:$B$12,0))),"N/A")</f>
        <v/>
      </c>
      <c r="U100" s="52">
        <f>IFERROR(IF(INDEX('Education'!$P$10:$P$13,MATCH($F100,'Education'!$B$10:$B$13,0))="","Cell will autofill based on response",INDEX('Education'!$P$10:$P$13,MATCH($F100,'Education'!$B$10:$B$13,0))),"N/A")</f>
        <v/>
      </c>
      <c r="V100" s="52">
        <f>IFERROR(IF(INDEX('SaSS'!$P$10:$P$12,MATCH($F100,'SaSS'!$B$10:$B$12,0))="","Cell will autofill based on response",INDEX('SaSS'!$P$10:$P$12,MATCH($F100,'SaSS'!$B$10:$B$12,0))),"N/A")</f>
        <v/>
      </c>
      <c r="W100" s="52">
        <f>IFERROR(IF(INDEX('Indigenous'!$P$10:$P$11,MATCH($F100,'Indigenous'!$B$10:$B$11,0))="","Cell will autofill based on response",INDEX('Indigenous'!$P$10:$P$11,MATCH($F100,'Indigenous'!$B$10:$B$11,0))),"N/A")</f>
        <v/>
      </c>
      <c r="X100" s="52">
        <f>IFERROR(IF(INDEX('L&amp;R'!$P$10:$P$11,MATCH($F100,'L&amp;R'!$B$10:$B$11,0))="","Cell will autofill based on response",INDEX('L&amp;R'!$P$10:$P$11,MATCH($F100,'L&amp;R'!$B$10:$B$11,0))),"N/A")</f>
        <v/>
      </c>
    </row>
    <row r="101">
      <c r="A101">
        <f>F101&amp;"|"&amp;G101</f>
        <v/>
      </c>
      <c r="B101" s="7" t="inlineStr">
        <is>
          <t>CL3(a)</t>
        </is>
      </c>
      <c r="C101" s="50" t="inlineStr">
        <is>
          <t>Climate leadership</t>
        </is>
      </c>
      <c r="D101"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50" t="inlineStr">
        <is>
          <t>Provide update of University maturity assesment. Include maturity ratings, key gaps and priority improvement actions.when available</t>
        </is>
      </c>
      <c r="F101" s="50" t="inlineStr">
        <is>
          <t>CL3(a)</t>
        </is>
      </c>
      <c r="G101" s="50" t="inlineStr">
        <is>
          <t>OPTION 1:  Target-level reporting</t>
        </is>
      </c>
      <c r="H101" s="52">
        <f>IFERROR(IF(INDEX('Faculties'!$L$10:$L$19,MATCH($F101,'Faculties'!$B$10:$B$19,0))="","Cell will autofill based on response",INDEX('Faculties'!$L$10:$L$19,MATCH($F101,'Faculties'!$B$10:$B$19,0))),"N/A")</f>
        <v/>
      </c>
      <c r="I101" s="52">
        <f>IFERROR(IF(INDEX('Faculties'!$L$26:$L$35,MATCH($F101,'Faculties'!$B$26:$B$35,0))="","Cell will autofill based on response",INDEX('Faculties'!$L$26:$L$35,MATCH($F101,'Faculties'!$B$26:$B$35,0))),"N/A")</f>
        <v/>
      </c>
      <c r="J101" s="52">
        <f>IFERROR(IF(INDEX('Faculties'!$L$42:$L$51,MATCH($F101,'Faculties'!$B$42:$B$51,0))="","Cell will autofill based on response",INDEX('Faculties'!$L$42:$L$51,MATCH($F101,'Faculties'!$B$42:$B$51,0))),"N/A")</f>
        <v/>
      </c>
      <c r="K101" s="52">
        <f>IFERROR(IF(INDEX('Faculties'!$L$58:$L$67,MATCH($F101,'Faculties'!$B$58:$B$67,0))="","Cell will autofill based on response",INDEX('Faculties'!$L$58:$L$67,MATCH($F101,'Faculties'!$B$58:$B$67,0))),"N/A")</f>
        <v/>
      </c>
      <c r="L101" s="52">
        <f>IFERROR(IF(INDEX('CI&amp;S'!$L$10:$L$15,MATCH($F101,'CI&amp;S'!$B$10:$B$15,0))="","Cell will autofill based on response",INDEX('CI&amp;S'!$L$10:$L$15,MATCH($F101,'CI&amp;S'!$B$10:$B$15,0))),"N/A")</f>
        <v/>
      </c>
      <c r="M101" s="52">
        <f>IFERROR(IF(INDEX('CI&amp;S'!$L$22:$L$36,MATCH($F101,'CI&amp;S'!$B$22:$B$36,0))="","Cell will autofill based on response",INDEX('CI&amp;S'!$L$22:$L$36,MATCH($F101,'CI&amp;S'!$B$22:$B$36,0))),"N/A")</f>
        <v/>
      </c>
      <c r="N101" s="52">
        <f>IFERROR(IF(INDEX('CFOG'!$L$10:$L$16,MATCH($F101,'CFOG'!$B$10:$B$16,0))="","Cell will autofill based on response",INDEX('CFOG'!$L$10:$L$16,MATCH($F101,'CFOG'!$B$10:$B$16,0))),"N/A")</f>
        <v/>
      </c>
      <c r="O101" s="52">
        <f>IFERROR(IF(INDEX('CFOG'!$L$23:$L$24,MATCH($F101,'CFOG'!$B$23:$B$24,0))="","Cell will autofill based on response",INDEX('CFOG'!$L$23:$L$24,MATCH($F101,'CFOG'!$B$23:$B$24,0))),"N/A")</f>
        <v/>
      </c>
      <c r="P101" s="52">
        <f>IFERROR(IF(INDEX('ESG'!$L$10:$L$17,MATCH($F101,'ESG'!$B$10:$B$17,0))="","Cell will autofill based on response",INDEX('ESG'!$L$10:$L$17,MATCH($F101,'ESG'!$B$10:$B$17,0))),"N/A")</f>
        <v/>
      </c>
      <c r="Q101" s="52">
        <f>IFERROR(IF(INDEX('CIOG'!$L$10:$L$14,MATCH($F101,'CIOG'!$B$10:$B$14,0))="","Cell will autofill based on response",INDEX('CIOG'!$L$10:$L$14,MATCH($F101,'CIOG'!$B$10:$B$14,0))),"N/A")</f>
        <v/>
      </c>
      <c r="R101" s="52">
        <f>IFERROR(IF(INDEX('MRE'!$L$10:$L$18,MATCH($F101,'MRE'!$B$10:$B$18,0))="","Cell will autofill based on response",INDEX('MRE'!$L$10:$L$18,MATCH($F101,'MRE'!$B$10:$B$18,0))),"N/A")</f>
        <v/>
      </c>
      <c r="S101" s="52">
        <f>IFERROR(IF(INDEX('AC&amp;M'!$L$10:$L$14,MATCH($F101,'AC&amp;M'!$B$10:$B$14,0))="","Cell will autofill based on response",INDEX('AC&amp;M'!$L$10:$L$14,MATCH($F101,'AC&amp;M'!$B$10:$B$14,0))),"N/A")</f>
        <v/>
      </c>
      <c r="T101" s="52">
        <f>IFERROR(IF(INDEX('GCE'!$L$10:$L$12,MATCH($F101,'GCE'!$B$10:$B$12,0))="","Cell will autofill based on response",INDEX('GCE'!$L$10:$L$12,MATCH($F101,'GCE'!$B$10:$B$12,0))),"N/A")</f>
        <v/>
      </c>
      <c r="U101" s="52">
        <f>IFERROR(IF(INDEX('Education'!$L$10:$L$13,MATCH($F101,'Education'!$B$10:$B$13,0))="","Cell will autofill based on response",INDEX('Education'!$L$10:$L$13,MATCH($F101,'Education'!$B$10:$B$13,0))),"N/A")</f>
        <v/>
      </c>
      <c r="V101" s="52">
        <f>IFERROR(IF(INDEX('SaSS'!$L$10:$L$12,MATCH($F101,'SaSS'!$B$10:$B$12,0))="","Cell will autofill based on response",INDEX('SaSS'!$L$10:$L$12,MATCH($F101,'SaSS'!$B$10:$B$12,0))),"N/A")</f>
        <v/>
      </c>
      <c r="W101" s="52">
        <f>IFERROR(IF(INDEX('Indigenous'!$L$10:$L$11,MATCH($F101,'Indigenous'!$B$10:$B$11,0))="","Cell will autofill based on response",INDEX('Indigenous'!$L$10:$L$11,MATCH($F101,'Indigenous'!$B$10:$B$11,0))),"N/A")</f>
        <v/>
      </c>
      <c r="X101" s="52">
        <f>IFERROR(IF(INDEX('L&amp;R'!$L$10:$L$11,MATCH($F101,'L&amp;R'!$B$10:$B$11,0))="","Cell will autofill based on response",INDEX('L&amp;R'!$L$10:$L$11,MATCH($F101,'L&amp;R'!$B$10:$B$11,0))),"N/A")</f>
        <v/>
      </c>
      <c r="Z101" s="10">
        <f>SUMPRODUCT(--($H101:$X101&lt;&gt;"N/A"))</f>
        <v/>
      </c>
      <c r="AA101" s="10">
        <f>SUMPRODUCT(--(((($H101:$X101&lt;&gt;"N/A")*($H101:$X101&lt;&gt;"Cell will autofill based on response"))+(($H102:$X102&lt;&gt;"N/A")*($H102:$X102&lt;&gt;"Cell will autofill based on response")))&gt;0))</f>
        <v/>
      </c>
      <c r="AB101" s="10">
        <f>Z101-AA101</f>
        <v/>
      </c>
      <c r="AC101" s="10">
        <f>COUNTIF($H105:$X105,"Yes")</f>
        <v/>
      </c>
    </row>
    <row r="102">
      <c r="A102">
        <f>F102&amp;"|"&amp;G102</f>
        <v/>
      </c>
      <c r="B102" s="13" t="inlineStr"/>
      <c r="C102" s="8" t="inlineStr"/>
      <c r="D102" s="8" t="inlineStr"/>
      <c r="E102" s="8" t="inlineStr"/>
      <c r="F102" s="8" t="inlineStr">
        <is>
          <t>CL3(a)</t>
        </is>
      </c>
      <c r="G102" s="8" t="inlineStr">
        <is>
          <t>OPTION 2:  Indicator level reporting</t>
        </is>
      </c>
      <c r="H102" s="52">
        <f>IFERROR(IF(INDEX('Faculties'!$M$10:$M$19,MATCH($F102,'Faculties'!$B$10:$B$19,0))="","Cell will autofill based on response",INDEX('Faculties'!$M$10:$M$19,MATCH($F102,'Faculties'!$B$10:$B$19,0))),"N/A")</f>
        <v/>
      </c>
      <c r="I102" s="52">
        <f>IFERROR(IF(INDEX('Faculties'!$M$26:$M$35,MATCH($F102,'Faculties'!$B$26:$B$35,0))="","Cell will autofill based on response",INDEX('Faculties'!$M$26:$M$35,MATCH($F102,'Faculties'!$B$26:$B$35,0))),"N/A")</f>
        <v/>
      </c>
      <c r="J102" s="52">
        <f>IFERROR(IF(INDEX('Faculties'!$M$42:$M$51,MATCH($F102,'Faculties'!$B$42:$B$51,0))="","Cell will autofill based on response",INDEX('Faculties'!$M$42:$M$51,MATCH($F102,'Faculties'!$B$42:$B$51,0))),"N/A")</f>
        <v/>
      </c>
      <c r="K102" s="52">
        <f>IFERROR(IF(INDEX('Faculties'!$M$58:$M$67,MATCH($F102,'Faculties'!$B$58:$B$67,0))="","Cell will autofill based on response",INDEX('Faculties'!$M$58:$M$67,MATCH($F102,'Faculties'!$B$58:$B$67,0))),"N/A")</f>
        <v/>
      </c>
      <c r="L102" s="52">
        <f>IFERROR(IF(INDEX('CI&amp;S'!$M$10:$M$15,MATCH($F102,'CI&amp;S'!$B$10:$B$15,0))="","Cell will autofill based on response",INDEX('CI&amp;S'!$M$10:$M$15,MATCH($F102,'CI&amp;S'!$B$10:$B$15,0))),"N/A")</f>
        <v/>
      </c>
      <c r="M102" s="52">
        <f>IFERROR(IF(INDEX('CI&amp;S'!$M$22:$M$36,MATCH($F102,'CI&amp;S'!$B$22:$B$36,0))="","Cell will autofill based on response",INDEX('CI&amp;S'!$M$22:$M$36,MATCH($F102,'CI&amp;S'!$B$22:$B$36,0))),"N/A")</f>
        <v/>
      </c>
      <c r="N102" s="52">
        <f>IFERROR(IF(INDEX('CFOG'!$M$10:$M$16,MATCH($F102,'CFOG'!$B$10:$B$16,0))="","Cell will autofill based on response",INDEX('CFOG'!$M$10:$M$16,MATCH($F102,'CFOG'!$B$10:$B$16,0))),"N/A")</f>
        <v/>
      </c>
      <c r="O102" s="52">
        <f>IFERROR(IF(INDEX('CFOG'!$M$23:$M$24,MATCH($F102,'CFOG'!$B$23:$B$24,0))="","Cell will autofill based on response",INDEX('CFOG'!$M$23:$M$24,MATCH($F102,'CFOG'!$B$23:$B$24,0))),"N/A")</f>
        <v/>
      </c>
      <c r="P102" s="52">
        <f>IFERROR(IF(INDEX('ESG'!$M$10:$M$17,MATCH($F102,'ESG'!$B$10:$B$17,0))="","Cell will autofill based on response",INDEX('ESG'!$M$10:$M$17,MATCH($F102,'ESG'!$B$10:$B$17,0))),"N/A")</f>
        <v/>
      </c>
      <c r="Q102" s="52">
        <f>IFERROR(IF(INDEX('CIOG'!$M$10:$M$14,MATCH($F102,'CIOG'!$B$10:$B$14,0))="","Cell will autofill based on response",INDEX('CIOG'!$M$10:$M$14,MATCH($F102,'CIOG'!$B$10:$B$14,0))),"N/A")</f>
        <v/>
      </c>
      <c r="R102" s="52">
        <f>IFERROR(IF(INDEX('MRE'!$M$10:$M$18,MATCH($F102,'MRE'!$B$10:$B$18,0))="","Cell will autofill based on response",INDEX('MRE'!$M$10:$M$18,MATCH($F102,'MRE'!$B$10:$B$18,0))),"N/A")</f>
        <v/>
      </c>
      <c r="S102" s="52">
        <f>IFERROR(IF(INDEX('AC&amp;M'!$M$10:$M$14,MATCH($F102,'AC&amp;M'!$B$10:$B$14,0))="","Cell will autofill based on response",INDEX('AC&amp;M'!$M$10:$M$14,MATCH($F102,'AC&amp;M'!$B$10:$B$14,0))),"N/A")</f>
        <v/>
      </c>
      <c r="T102" s="52">
        <f>IFERROR(IF(INDEX('GCE'!$M$10:$M$12,MATCH($F102,'GCE'!$B$10:$B$12,0))="","Cell will autofill based on response",INDEX('GCE'!$M$10:$M$12,MATCH($F102,'GCE'!$B$10:$B$12,0))),"N/A")</f>
        <v/>
      </c>
      <c r="U102" s="52">
        <f>IFERROR(IF(INDEX('Education'!$M$10:$M$13,MATCH($F102,'Education'!$B$10:$B$13,0))="","Cell will autofill based on response",INDEX('Education'!$M$10:$M$13,MATCH($F102,'Education'!$B$10:$B$13,0))),"N/A")</f>
        <v/>
      </c>
      <c r="V102" s="52">
        <f>IFERROR(IF(INDEX('SaSS'!$M$10:$M$12,MATCH($F102,'SaSS'!$B$10:$B$12,0))="","Cell will autofill based on response",INDEX('SaSS'!$M$10:$M$12,MATCH($F102,'SaSS'!$B$10:$B$12,0))),"N/A")</f>
        <v/>
      </c>
      <c r="W102" s="52">
        <f>IFERROR(IF(INDEX('Indigenous'!$M$10:$M$11,MATCH($F102,'Indigenous'!$B$10:$B$11,0))="","Cell will autofill based on response",INDEX('Indigenous'!$M$10:$M$11,MATCH($F102,'Indigenous'!$B$10:$B$11,0))),"N/A")</f>
        <v/>
      </c>
      <c r="X102" s="52">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CL3(a)</t>
        </is>
      </c>
      <c r="G103" s="8" t="inlineStr">
        <is>
          <t>Supporting information/comments</t>
        </is>
      </c>
      <c r="H103" s="52">
        <f>IFERROR(IF(INDEX('Faculties'!$N$10:$N$19,MATCH($F103,'Faculties'!$B$10:$B$19,0))="","Cell will autofill based on response",INDEX('Faculties'!$N$10:$N$19,MATCH($F103,'Faculties'!$B$10:$B$19,0))),"N/A")</f>
        <v/>
      </c>
      <c r="I103" s="52">
        <f>IFERROR(IF(INDEX('Faculties'!$N$26:$N$35,MATCH($F103,'Faculties'!$B$26:$B$35,0))="","Cell will autofill based on response",INDEX('Faculties'!$N$26:$N$35,MATCH($F103,'Faculties'!$B$26:$B$35,0))),"N/A")</f>
        <v/>
      </c>
      <c r="J103" s="52">
        <f>IFERROR(IF(INDEX('Faculties'!$N$42:$N$51,MATCH($F103,'Faculties'!$B$42:$B$51,0))="","Cell will autofill based on response",INDEX('Faculties'!$N$42:$N$51,MATCH($F103,'Faculties'!$B$42:$B$51,0))),"N/A")</f>
        <v/>
      </c>
      <c r="K103" s="52">
        <f>IFERROR(IF(INDEX('Faculties'!$N$58:$N$67,MATCH($F103,'Faculties'!$B$58:$B$67,0))="","Cell will autofill based on response",INDEX('Faculties'!$N$58:$N$67,MATCH($F103,'Faculties'!$B$58:$B$67,0))),"N/A")</f>
        <v/>
      </c>
      <c r="L103" s="52">
        <f>IFERROR(IF(INDEX('CI&amp;S'!$N$10:$N$15,MATCH($F103,'CI&amp;S'!$B$10:$B$15,0))="","Cell will autofill based on response",INDEX('CI&amp;S'!$N$10:$N$15,MATCH($F103,'CI&amp;S'!$B$10:$B$15,0))),"N/A")</f>
        <v/>
      </c>
      <c r="M103" s="52">
        <f>IFERROR(IF(INDEX('CI&amp;S'!$N$22:$N$36,MATCH($F103,'CI&amp;S'!$B$22:$B$36,0))="","Cell will autofill based on response",INDEX('CI&amp;S'!$N$22:$N$36,MATCH($F103,'CI&amp;S'!$B$22:$B$36,0))),"N/A")</f>
        <v/>
      </c>
      <c r="N103" s="52">
        <f>IFERROR(IF(INDEX('CFOG'!$N$10:$N$16,MATCH($F103,'CFOG'!$B$10:$B$16,0))="","Cell will autofill based on response",INDEX('CFOG'!$N$10:$N$16,MATCH($F103,'CFOG'!$B$10:$B$16,0))),"N/A")</f>
        <v/>
      </c>
      <c r="O103" s="52">
        <f>IFERROR(IF(INDEX('CFOG'!$N$23:$N$24,MATCH($F103,'CFOG'!$B$23:$B$24,0))="","Cell will autofill based on response",INDEX('CFOG'!$N$23:$N$24,MATCH($F103,'CFOG'!$B$23:$B$24,0))),"N/A")</f>
        <v/>
      </c>
      <c r="P103" s="52">
        <f>IFERROR(IF(INDEX('ESG'!$N$10:$N$17,MATCH($F103,'ESG'!$B$10:$B$17,0))="","Cell will autofill based on response",INDEX('ESG'!$N$10:$N$17,MATCH($F103,'ESG'!$B$10:$B$17,0))),"N/A")</f>
        <v/>
      </c>
      <c r="Q103" s="52">
        <f>IFERROR(IF(INDEX('CIOG'!$N$10:$N$14,MATCH($F103,'CIOG'!$B$10:$B$14,0))="","Cell will autofill based on response",INDEX('CIOG'!$N$10:$N$14,MATCH($F103,'CIOG'!$B$10:$B$14,0))),"N/A")</f>
        <v/>
      </c>
      <c r="R103" s="52">
        <f>IFERROR(IF(INDEX('MRE'!$N$10:$N$18,MATCH($F103,'MRE'!$B$10:$B$18,0))="","Cell will autofill based on response",INDEX('MRE'!$N$10:$N$18,MATCH($F103,'MRE'!$B$10:$B$18,0))),"N/A")</f>
        <v/>
      </c>
      <c r="S103" s="52">
        <f>IFERROR(IF(INDEX('AC&amp;M'!$N$10:$N$14,MATCH($F103,'AC&amp;M'!$B$10:$B$14,0))="","Cell will autofill based on response",INDEX('AC&amp;M'!$N$10:$N$14,MATCH($F103,'AC&amp;M'!$B$10:$B$14,0))),"N/A")</f>
        <v/>
      </c>
      <c r="T103" s="52">
        <f>IFERROR(IF(INDEX('GCE'!$N$10:$N$12,MATCH($F103,'GCE'!$B$10:$B$12,0))="","Cell will autofill based on response",INDEX('GCE'!$N$10:$N$12,MATCH($F103,'GCE'!$B$10:$B$12,0))),"N/A")</f>
        <v/>
      </c>
      <c r="U103" s="52">
        <f>IFERROR(IF(INDEX('Education'!$N$10:$N$13,MATCH($F103,'Education'!$B$10:$B$13,0))="","Cell will autofill based on response",INDEX('Education'!$N$10:$N$13,MATCH($F103,'Education'!$B$10:$B$13,0))),"N/A")</f>
        <v/>
      </c>
      <c r="V103" s="52">
        <f>IFERROR(IF(INDEX('SaSS'!$N$10:$N$12,MATCH($F103,'SaSS'!$B$10:$B$12,0))="","Cell will autofill based on response",INDEX('SaSS'!$N$10:$N$12,MATCH($F103,'SaSS'!$B$10:$B$12,0))),"N/A")</f>
        <v/>
      </c>
      <c r="W103" s="52">
        <f>IFERROR(IF(INDEX('Indigenous'!$N$10:$N$11,MATCH($F103,'Indigenous'!$B$10:$B$11,0))="","Cell will autofill based on response",INDEX('Indigenous'!$N$10:$N$11,MATCH($F103,'Indigenous'!$B$10:$B$11,0))),"N/A")</f>
        <v/>
      </c>
      <c r="X103" s="52">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CL3(a)</t>
        </is>
      </c>
      <c r="G104" s="8" t="inlineStr">
        <is>
          <t>Data source and limitations</t>
        </is>
      </c>
      <c r="H104" s="52">
        <f>IFERROR(IF(INDEX('Faculties'!$O$10:$O$19,MATCH($F104,'Faculties'!$B$10:$B$19,0))="","Cell will autofill based on response",INDEX('Faculties'!$O$10:$O$19,MATCH($F104,'Faculties'!$B$10:$B$19,0))),"N/A")</f>
        <v/>
      </c>
      <c r="I104" s="52">
        <f>IFERROR(IF(INDEX('Faculties'!$O$26:$O$35,MATCH($F104,'Faculties'!$B$26:$B$35,0))="","Cell will autofill based on response",INDEX('Faculties'!$O$26:$O$35,MATCH($F104,'Faculties'!$B$26:$B$35,0))),"N/A")</f>
        <v/>
      </c>
      <c r="J104" s="52">
        <f>IFERROR(IF(INDEX('Faculties'!$O$42:$O$51,MATCH($F104,'Faculties'!$B$42:$B$51,0))="","Cell will autofill based on response",INDEX('Faculties'!$O$42:$O$51,MATCH($F104,'Faculties'!$B$42:$B$51,0))),"N/A")</f>
        <v/>
      </c>
      <c r="K104" s="52">
        <f>IFERROR(IF(INDEX('Faculties'!$O$58:$O$67,MATCH($F104,'Faculties'!$B$58:$B$67,0))="","Cell will autofill based on response",INDEX('Faculties'!$O$58:$O$67,MATCH($F104,'Faculties'!$B$58:$B$67,0))),"N/A")</f>
        <v/>
      </c>
      <c r="L104" s="52">
        <f>IFERROR(IF(INDEX('CI&amp;S'!$O$10:$O$15,MATCH($F104,'CI&amp;S'!$B$10:$B$15,0))="","Cell will autofill based on response",INDEX('CI&amp;S'!$O$10:$O$15,MATCH($F104,'CI&amp;S'!$B$10:$B$15,0))),"N/A")</f>
        <v/>
      </c>
      <c r="M104" s="52">
        <f>IFERROR(IF(INDEX('CI&amp;S'!$O$22:$O$36,MATCH($F104,'CI&amp;S'!$B$22:$B$36,0))="","Cell will autofill based on response",INDEX('CI&amp;S'!$O$22:$O$36,MATCH($F104,'CI&amp;S'!$B$22:$B$36,0))),"N/A")</f>
        <v/>
      </c>
      <c r="N104" s="52">
        <f>IFERROR(IF(INDEX('CFOG'!$O$10:$O$16,MATCH($F104,'CFOG'!$B$10:$B$16,0))="","Cell will autofill based on response",INDEX('CFOG'!$O$10:$O$16,MATCH($F104,'CFOG'!$B$10:$B$16,0))),"N/A")</f>
        <v/>
      </c>
      <c r="O104" s="52">
        <f>IFERROR(IF(INDEX('CFOG'!$O$23:$O$24,MATCH($F104,'CFOG'!$B$23:$B$24,0))="","Cell will autofill based on response",INDEX('CFOG'!$O$23:$O$24,MATCH($F104,'CFOG'!$B$23:$B$24,0))),"N/A")</f>
        <v/>
      </c>
      <c r="P104" s="52">
        <f>IFERROR(IF(INDEX('ESG'!$O$10:$O$17,MATCH($F104,'ESG'!$B$10:$B$17,0))="","Cell will autofill based on response",INDEX('ESG'!$O$10:$O$17,MATCH($F104,'ESG'!$B$10:$B$17,0))),"N/A")</f>
        <v/>
      </c>
      <c r="Q104" s="52">
        <f>IFERROR(IF(INDEX('CIOG'!$O$10:$O$14,MATCH($F104,'CIOG'!$B$10:$B$14,0))="","Cell will autofill based on response",INDEX('CIOG'!$O$10:$O$14,MATCH($F104,'CIOG'!$B$10:$B$14,0))),"N/A")</f>
        <v/>
      </c>
      <c r="R104" s="52">
        <f>IFERROR(IF(INDEX('MRE'!$O$10:$O$18,MATCH($F104,'MRE'!$B$10:$B$18,0))="","Cell will autofill based on response",INDEX('MRE'!$O$10:$O$18,MATCH($F104,'MRE'!$B$10:$B$18,0))),"N/A")</f>
        <v/>
      </c>
      <c r="S104" s="52">
        <f>IFERROR(IF(INDEX('AC&amp;M'!$O$10:$O$14,MATCH($F104,'AC&amp;M'!$B$10:$B$14,0))="","Cell will autofill based on response",INDEX('AC&amp;M'!$O$10:$O$14,MATCH($F104,'AC&amp;M'!$B$10:$B$14,0))),"N/A")</f>
        <v/>
      </c>
      <c r="T104" s="52">
        <f>IFERROR(IF(INDEX('GCE'!$O$10:$O$12,MATCH($F104,'GCE'!$B$10:$B$12,0))="","Cell will autofill based on response",INDEX('GCE'!$O$10:$O$12,MATCH($F104,'GCE'!$B$10:$B$12,0))),"N/A")</f>
        <v/>
      </c>
      <c r="U104" s="52">
        <f>IFERROR(IF(INDEX('Education'!$O$10:$O$13,MATCH($F104,'Education'!$B$10:$B$13,0))="","Cell will autofill based on response",INDEX('Education'!$O$10:$O$13,MATCH($F104,'Education'!$B$10:$B$13,0))),"N/A")</f>
        <v/>
      </c>
      <c r="V104" s="52">
        <f>IFERROR(IF(INDEX('SaSS'!$O$10:$O$12,MATCH($F104,'SaSS'!$B$10:$B$12,0))="","Cell will autofill based on response",INDEX('SaSS'!$O$10:$O$12,MATCH($F104,'SaSS'!$B$10:$B$12,0))),"N/A")</f>
        <v/>
      </c>
      <c r="W104" s="52">
        <f>IFERROR(IF(INDEX('Indigenous'!$O$10:$O$11,MATCH($F104,'Indigenous'!$B$10:$B$11,0))="","Cell will autofill based on response",INDEX('Indigenous'!$O$10:$O$11,MATCH($F104,'Indigenous'!$B$10:$B$11,0))),"N/A")</f>
        <v/>
      </c>
      <c r="X104" s="52">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CL3(a)</t>
        </is>
      </c>
      <c r="G105" s="8" t="inlineStr">
        <is>
          <t>Data owner confirms</t>
        </is>
      </c>
      <c r="H105" s="52">
        <f>IFERROR(IF(INDEX('Faculties'!$P$10:$P$19,MATCH($F105,'Faculties'!$B$10:$B$19,0))="","Cell will autofill based on response",INDEX('Faculties'!$P$10:$P$19,MATCH($F105,'Faculties'!$B$10:$B$19,0))),"N/A")</f>
        <v/>
      </c>
      <c r="I105" s="52">
        <f>IFERROR(IF(INDEX('Faculties'!$P$26:$P$35,MATCH($F105,'Faculties'!$B$26:$B$35,0))="","Cell will autofill based on response",INDEX('Faculties'!$P$26:$P$35,MATCH($F105,'Faculties'!$B$26:$B$35,0))),"N/A")</f>
        <v/>
      </c>
      <c r="J105" s="52">
        <f>IFERROR(IF(INDEX('Faculties'!$P$42:$P$51,MATCH($F105,'Faculties'!$B$42:$B$51,0))="","Cell will autofill based on response",INDEX('Faculties'!$P$42:$P$51,MATCH($F105,'Faculties'!$B$42:$B$51,0))),"N/A")</f>
        <v/>
      </c>
      <c r="K105" s="52">
        <f>IFERROR(IF(INDEX('Faculties'!$P$58:$P$67,MATCH($F105,'Faculties'!$B$58:$B$67,0))="","Cell will autofill based on response",INDEX('Faculties'!$P$58:$P$67,MATCH($F105,'Faculties'!$B$58:$B$67,0))),"N/A")</f>
        <v/>
      </c>
      <c r="L105" s="52">
        <f>IFERROR(IF(INDEX('CI&amp;S'!$P$10:$P$15,MATCH($F105,'CI&amp;S'!$B$10:$B$15,0))="","Cell will autofill based on response",INDEX('CI&amp;S'!$P$10:$P$15,MATCH($F105,'CI&amp;S'!$B$10:$B$15,0))),"N/A")</f>
        <v/>
      </c>
      <c r="M105" s="52">
        <f>IFERROR(IF(INDEX('CI&amp;S'!$P$22:$P$36,MATCH($F105,'CI&amp;S'!$B$22:$B$36,0))="","Cell will autofill based on response",INDEX('CI&amp;S'!$P$22:$P$36,MATCH($F105,'CI&amp;S'!$B$22:$B$36,0))),"N/A")</f>
        <v/>
      </c>
      <c r="N105" s="52">
        <f>IFERROR(IF(INDEX('CFOG'!$P$10:$P$16,MATCH($F105,'CFOG'!$B$10:$B$16,0))="","Cell will autofill based on response",INDEX('CFOG'!$P$10:$P$16,MATCH($F105,'CFOG'!$B$10:$B$16,0))),"N/A")</f>
        <v/>
      </c>
      <c r="O105" s="52">
        <f>IFERROR(IF(INDEX('CFOG'!$P$23:$P$24,MATCH($F105,'CFOG'!$B$23:$B$24,0))="","Cell will autofill based on response",INDEX('CFOG'!$P$23:$P$24,MATCH($F105,'CFOG'!$B$23:$B$24,0))),"N/A")</f>
        <v/>
      </c>
      <c r="P105" s="52">
        <f>IFERROR(IF(INDEX('ESG'!$P$10:$P$17,MATCH($F105,'ESG'!$B$10:$B$17,0))="","Cell will autofill based on response",INDEX('ESG'!$P$10:$P$17,MATCH($F105,'ESG'!$B$10:$B$17,0))),"N/A")</f>
        <v/>
      </c>
      <c r="Q105" s="52">
        <f>IFERROR(IF(INDEX('CIOG'!$P$10:$P$14,MATCH($F105,'CIOG'!$B$10:$B$14,0))="","Cell will autofill based on response",INDEX('CIOG'!$P$10:$P$14,MATCH($F105,'CIOG'!$B$10:$B$14,0))),"N/A")</f>
        <v/>
      </c>
      <c r="R105" s="52">
        <f>IFERROR(IF(INDEX('MRE'!$P$10:$P$18,MATCH($F105,'MRE'!$B$10:$B$18,0))="","Cell will autofill based on response",INDEX('MRE'!$P$10:$P$18,MATCH($F105,'MRE'!$B$10:$B$18,0))),"N/A")</f>
        <v/>
      </c>
      <c r="S105" s="52">
        <f>IFERROR(IF(INDEX('AC&amp;M'!$P$10:$P$14,MATCH($F105,'AC&amp;M'!$B$10:$B$14,0))="","Cell will autofill based on response",INDEX('AC&amp;M'!$P$10:$P$14,MATCH($F105,'AC&amp;M'!$B$10:$B$14,0))),"N/A")</f>
        <v/>
      </c>
      <c r="T105" s="52">
        <f>IFERROR(IF(INDEX('GCE'!$P$10:$P$12,MATCH($F105,'GCE'!$B$10:$B$12,0))="","Cell will autofill based on response",INDEX('GCE'!$P$10:$P$12,MATCH($F105,'GCE'!$B$10:$B$12,0))),"N/A")</f>
        <v/>
      </c>
      <c r="U105" s="52">
        <f>IFERROR(IF(INDEX('Education'!$P$10:$P$13,MATCH($F105,'Education'!$B$10:$B$13,0))="","Cell will autofill based on response",INDEX('Education'!$P$10:$P$13,MATCH($F105,'Education'!$B$10:$B$13,0))),"N/A")</f>
        <v/>
      </c>
      <c r="V105" s="52">
        <f>IFERROR(IF(INDEX('SaSS'!$P$10:$P$12,MATCH($F105,'SaSS'!$B$10:$B$12,0))="","Cell will autofill based on response",INDEX('SaSS'!$P$10:$P$12,MATCH($F105,'SaSS'!$B$10:$B$12,0))),"N/A")</f>
        <v/>
      </c>
      <c r="W105" s="52">
        <f>IFERROR(IF(INDEX('Indigenous'!$P$10:$P$11,MATCH($F105,'Indigenous'!$B$10:$B$11,0))="","Cell will autofill based on response",INDEX('Indigenous'!$P$10:$P$11,MATCH($F105,'Indigenous'!$B$10:$B$11,0))),"N/A")</f>
        <v/>
      </c>
      <c r="X105" s="52">
        <f>IFERROR(IF(INDEX('L&amp;R'!$P$10:$P$11,MATCH($F105,'L&amp;R'!$B$10:$B$11,0))="","Cell will autofill based on response",INDEX('L&amp;R'!$P$10:$P$11,MATCH($F105,'L&amp;R'!$B$10:$B$11,0))),"N/A")</f>
        <v/>
      </c>
    </row>
    <row r="106">
      <c r="A106">
        <f>F106&amp;"|"&amp;G106</f>
        <v/>
      </c>
      <c r="B106" s="7" t="inlineStr">
        <is>
          <t>NB1(b)</t>
        </is>
      </c>
      <c r="C106" s="50" t="inlineStr">
        <is>
          <t>Nature and biodiversity</t>
        </is>
      </c>
      <c r="D106" s="50" t="inlineStr">
        <is>
          <t>Size, health and diversity of remnant vegetation at the Dookie and Creswick campuses</t>
        </is>
      </c>
      <c r="E106" s="50" t="inlineStr"/>
      <c r="F106" s="50" t="inlineStr">
        <is>
          <t>NB1(b)</t>
        </is>
      </c>
      <c r="G106" s="50" t="inlineStr">
        <is>
          <t>OPTION 1:  Target-level reporting</t>
        </is>
      </c>
      <c r="H106" s="52">
        <f>IFERROR(IF(INDEX('Faculties'!$L$10:$L$19,MATCH($F106,'Faculties'!$B$10:$B$19,0))="","Cell will autofill based on response",INDEX('Faculties'!$L$10:$L$19,MATCH($F106,'Faculties'!$B$10:$B$19,0))),"N/A")</f>
        <v/>
      </c>
      <c r="I106" s="52">
        <f>IFERROR(IF(INDEX('Faculties'!$L$26:$L$35,MATCH($F106,'Faculties'!$B$26:$B$35,0))="","Cell will autofill based on response",INDEX('Faculties'!$L$26:$L$35,MATCH($F106,'Faculties'!$B$26:$B$35,0))),"N/A")</f>
        <v/>
      </c>
      <c r="J106" s="52">
        <f>IFERROR(IF(INDEX('Faculties'!$L$42:$L$51,MATCH($F106,'Faculties'!$B$42:$B$51,0))="","Cell will autofill based on response",INDEX('Faculties'!$L$42:$L$51,MATCH($F106,'Faculties'!$B$42:$B$51,0))),"N/A")</f>
        <v/>
      </c>
      <c r="K106" s="52">
        <f>IFERROR(IF(INDEX('Faculties'!$L$58:$L$67,MATCH($F106,'Faculties'!$B$58:$B$67,0))="","Cell will autofill based on response",INDEX('Faculties'!$L$58:$L$67,MATCH($F106,'Faculties'!$B$58:$B$67,0))),"N/A")</f>
        <v/>
      </c>
      <c r="L106" s="52">
        <f>IFERROR(IF(INDEX('CI&amp;S'!$L$10:$L$15,MATCH($F106,'CI&amp;S'!$B$10:$B$15,0))="","Cell will autofill based on response",INDEX('CI&amp;S'!$L$10:$L$15,MATCH($F106,'CI&amp;S'!$B$10:$B$15,0))),"N/A")</f>
        <v/>
      </c>
      <c r="M106" s="52">
        <f>IFERROR(IF(INDEX('CI&amp;S'!$L$22:$L$36,MATCH($F106,'CI&amp;S'!$B$22:$B$36,0))="","Cell will autofill based on response",INDEX('CI&amp;S'!$L$22:$L$36,MATCH($F106,'CI&amp;S'!$B$22:$B$36,0))),"N/A")</f>
        <v/>
      </c>
      <c r="N106" s="52">
        <f>IFERROR(IF(INDEX('CFOG'!$L$10:$L$16,MATCH($F106,'CFOG'!$B$10:$B$16,0))="","Cell will autofill based on response",INDEX('CFOG'!$L$10:$L$16,MATCH($F106,'CFOG'!$B$10:$B$16,0))),"N/A")</f>
        <v/>
      </c>
      <c r="O106" s="52">
        <f>IFERROR(IF(INDEX('CFOG'!$L$23:$L$24,MATCH($F106,'CFOG'!$B$23:$B$24,0))="","Cell will autofill based on response",INDEX('CFOG'!$L$23:$L$24,MATCH($F106,'CFOG'!$B$23:$B$24,0))),"N/A")</f>
        <v/>
      </c>
      <c r="P106" s="52">
        <f>IFERROR(IF(INDEX('ESG'!$L$10:$L$17,MATCH($F106,'ESG'!$B$10:$B$17,0))="","Cell will autofill based on response",INDEX('ESG'!$L$10:$L$17,MATCH($F106,'ESG'!$B$10:$B$17,0))),"N/A")</f>
        <v/>
      </c>
      <c r="Q106" s="52">
        <f>IFERROR(IF(INDEX('CIOG'!$L$10:$L$14,MATCH($F106,'CIOG'!$B$10:$B$14,0))="","Cell will autofill based on response",INDEX('CIOG'!$L$10:$L$14,MATCH($F106,'CIOG'!$B$10:$B$14,0))),"N/A")</f>
        <v/>
      </c>
      <c r="R106" s="52">
        <f>IFERROR(IF(INDEX('MRE'!$L$10:$L$18,MATCH($F106,'MRE'!$B$10:$B$18,0))="","Cell will autofill based on response",INDEX('MRE'!$L$10:$L$18,MATCH($F106,'MRE'!$B$10:$B$18,0))),"N/A")</f>
        <v/>
      </c>
      <c r="S106" s="52">
        <f>IFERROR(IF(INDEX('AC&amp;M'!$L$10:$L$14,MATCH($F106,'AC&amp;M'!$B$10:$B$14,0))="","Cell will autofill based on response",INDEX('AC&amp;M'!$L$10:$L$14,MATCH($F106,'AC&amp;M'!$B$10:$B$14,0))),"N/A")</f>
        <v/>
      </c>
      <c r="T106" s="52">
        <f>IFERROR(IF(INDEX('GCE'!$L$10:$L$12,MATCH($F106,'GCE'!$B$10:$B$12,0))="","Cell will autofill based on response",INDEX('GCE'!$L$10:$L$12,MATCH($F106,'GCE'!$B$10:$B$12,0))),"N/A")</f>
        <v/>
      </c>
      <c r="U106" s="52">
        <f>IFERROR(IF(INDEX('Education'!$L$10:$L$13,MATCH($F106,'Education'!$B$10:$B$13,0))="","Cell will autofill based on response",INDEX('Education'!$L$10:$L$13,MATCH($F106,'Education'!$B$10:$B$13,0))),"N/A")</f>
        <v/>
      </c>
      <c r="V106" s="52">
        <f>IFERROR(IF(INDEX('SaSS'!$L$10:$L$12,MATCH($F106,'SaSS'!$B$10:$B$12,0))="","Cell will autofill based on response",INDEX('SaSS'!$L$10:$L$12,MATCH($F106,'SaSS'!$B$10:$B$12,0))),"N/A")</f>
        <v/>
      </c>
      <c r="W106" s="52">
        <f>IFERROR(IF(INDEX('Indigenous'!$L$10:$L$11,MATCH($F106,'Indigenous'!$B$10:$B$11,0))="","Cell will autofill based on response",INDEX('Indigenous'!$L$10:$L$11,MATCH($F106,'Indigenous'!$B$10:$B$11,0))),"N/A")</f>
        <v/>
      </c>
      <c r="X106" s="52">
        <f>IFERROR(IF(INDEX('L&amp;R'!$L$10:$L$11,MATCH($F106,'L&amp;R'!$B$10:$B$11,0))="","Cell will autofill based on response",INDEX('L&amp;R'!$L$10:$L$11,MATCH($F106,'L&amp;R'!$B$10:$B$11,0))),"N/A")</f>
        <v/>
      </c>
      <c r="Z106" s="10">
        <f>SUMPRODUCT(--($H106:$X106&lt;&gt;"N/A"))</f>
        <v/>
      </c>
      <c r="AA106" s="10">
        <f>SUMPRODUCT(--(((($H106:$X106&lt;&gt;"N/A")*($H106:$X106&lt;&gt;"Cell will autofill based on response"))+(($H107:$X107&lt;&gt;"N/A")*($H107:$X107&lt;&gt;"Cell will autofill based on response")))&gt;0))</f>
        <v/>
      </c>
      <c r="AB106" s="10">
        <f>Z106-AA106</f>
        <v/>
      </c>
      <c r="AC106" s="10">
        <f>COUNTIF($H110:$X110,"Yes")</f>
        <v/>
      </c>
    </row>
    <row r="107">
      <c r="A107">
        <f>F107&amp;"|"&amp;G107</f>
        <v/>
      </c>
      <c r="B107" s="13" t="inlineStr"/>
      <c r="C107" s="8" t="inlineStr"/>
      <c r="D107" s="8" t="inlineStr"/>
      <c r="E107" s="8" t="inlineStr"/>
      <c r="F107" s="8" t="inlineStr">
        <is>
          <t>NB1(b)</t>
        </is>
      </c>
      <c r="G107" s="8" t="inlineStr">
        <is>
          <t>OPTION 2:  Indicator level reporting</t>
        </is>
      </c>
      <c r="H107" s="52">
        <f>IFERROR(IF(INDEX('Faculties'!$M$10:$M$19,MATCH($F107,'Faculties'!$B$10:$B$19,0))="","Cell will autofill based on response",INDEX('Faculties'!$M$10:$M$19,MATCH($F107,'Faculties'!$B$10:$B$19,0))),"N/A")</f>
        <v/>
      </c>
      <c r="I107" s="52">
        <f>IFERROR(IF(INDEX('Faculties'!$M$26:$M$35,MATCH($F107,'Faculties'!$B$26:$B$35,0))="","Cell will autofill based on response",INDEX('Faculties'!$M$26:$M$35,MATCH($F107,'Faculties'!$B$26:$B$35,0))),"N/A")</f>
        <v/>
      </c>
      <c r="J107" s="52">
        <f>IFERROR(IF(INDEX('Faculties'!$M$42:$M$51,MATCH($F107,'Faculties'!$B$42:$B$51,0))="","Cell will autofill based on response",INDEX('Faculties'!$M$42:$M$51,MATCH($F107,'Faculties'!$B$42:$B$51,0))),"N/A")</f>
        <v/>
      </c>
      <c r="K107" s="52">
        <f>IFERROR(IF(INDEX('Faculties'!$M$58:$M$67,MATCH($F107,'Faculties'!$B$58:$B$67,0))="","Cell will autofill based on response",INDEX('Faculties'!$M$58:$M$67,MATCH($F107,'Faculties'!$B$58:$B$67,0))),"N/A")</f>
        <v/>
      </c>
      <c r="L107" s="52">
        <f>IFERROR(IF(INDEX('CI&amp;S'!$M$10:$M$15,MATCH($F107,'CI&amp;S'!$B$10:$B$15,0))="","Cell will autofill based on response",INDEX('CI&amp;S'!$M$10:$M$15,MATCH($F107,'CI&amp;S'!$B$10:$B$15,0))),"N/A")</f>
        <v/>
      </c>
      <c r="M107" s="52">
        <f>IFERROR(IF(INDEX('CI&amp;S'!$M$22:$M$36,MATCH($F107,'CI&amp;S'!$B$22:$B$36,0))="","Cell will autofill based on response",INDEX('CI&amp;S'!$M$22:$M$36,MATCH($F107,'CI&amp;S'!$B$22:$B$36,0))),"N/A")</f>
        <v/>
      </c>
      <c r="N107" s="52">
        <f>IFERROR(IF(INDEX('CFOG'!$M$10:$M$16,MATCH($F107,'CFOG'!$B$10:$B$16,0))="","Cell will autofill based on response",INDEX('CFOG'!$M$10:$M$16,MATCH($F107,'CFOG'!$B$10:$B$16,0))),"N/A")</f>
        <v/>
      </c>
      <c r="O107" s="52">
        <f>IFERROR(IF(INDEX('CFOG'!$M$23:$M$24,MATCH($F107,'CFOG'!$B$23:$B$24,0))="","Cell will autofill based on response",INDEX('CFOG'!$M$23:$M$24,MATCH($F107,'CFOG'!$B$23:$B$24,0))),"N/A")</f>
        <v/>
      </c>
      <c r="P107" s="52">
        <f>IFERROR(IF(INDEX('ESG'!$M$10:$M$17,MATCH($F107,'ESG'!$B$10:$B$17,0))="","Cell will autofill based on response",INDEX('ESG'!$M$10:$M$17,MATCH($F107,'ESG'!$B$10:$B$17,0))),"N/A")</f>
        <v/>
      </c>
      <c r="Q107" s="52">
        <f>IFERROR(IF(INDEX('CIOG'!$M$10:$M$14,MATCH($F107,'CIOG'!$B$10:$B$14,0))="","Cell will autofill based on response",INDEX('CIOG'!$M$10:$M$14,MATCH($F107,'CIOG'!$B$10:$B$14,0))),"N/A")</f>
        <v/>
      </c>
      <c r="R107" s="52">
        <f>IFERROR(IF(INDEX('MRE'!$M$10:$M$18,MATCH($F107,'MRE'!$B$10:$B$18,0))="","Cell will autofill based on response",INDEX('MRE'!$M$10:$M$18,MATCH($F107,'MRE'!$B$10:$B$18,0))),"N/A")</f>
        <v/>
      </c>
      <c r="S107" s="52">
        <f>IFERROR(IF(INDEX('AC&amp;M'!$M$10:$M$14,MATCH($F107,'AC&amp;M'!$B$10:$B$14,0))="","Cell will autofill based on response",INDEX('AC&amp;M'!$M$10:$M$14,MATCH($F107,'AC&amp;M'!$B$10:$B$14,0))),"N/A")</f>
        <v/>
      </c>
      <c r="T107" s="52">
        <f>IFERROR(IF(INDEX('GCE'!$M$10:$M$12,MATCH($F107,'GCE'!$B$10:$B$12,0))="","Cell will autofill based on response",INDEX('GCE'!$M$10:$M$12,MATCH($F107,'GCE'!$B$10:$B$12,0))),"N/A")</f>
        <v/>
      </c>
      <c r="U107" s="52">
        <f>IFERROR(IF(INDEX('Education'!$M$10:$M$13,MATCH($F107,'Education'!$B$10:$B$13,0))="","Cell will autofill based on response",INDEX('Education'!$M$10:$M$13,MATCH($F107,'Education'!$B$10:$B$13,0))),"N/A")</f>
        <v/>
      </c>
      <c r="V107" s="52">
        <f>IFERROR(IF(INDEX('SaSS'!$M$10:$M$12,MATCH($F107,'SaSS'!$B$10:$B$12,0))="","Cell will autofill based on response",INDEX('SaSS'!$M$10:$M$12,MATCH($F107,'SaSS'!$B$10:$B$12,0))),"N/A")</f>
        <v/>
      </c>
      <c r="W107" s="52">
        <f>IFERROR(IF(INDEX('Indigenous'!$M$10:$M$11,MATCH($F107,'Indigenous'!$B$10:$B$11,0))="","Cell will autofill based on response",INDEX('Indigenous'!$M$10:$M$11,MATCH($F107,'Indigenous'!$B$10:$B$11,0))),"N/A")</f>
        <v/>
      </c>
      <c r="X107" s="52">
        <f>IFERROR(IF(INDEX('L&amp;R'!$M$10:$M$11,MATCH($F107,'L&amp;R'!$B$10:$B$11,0))="","Cell will autofill based on response",INDEX('L&amp;R'!$M$10:$M$11,MATCH($F107,'L&amp;R'!$B$10:$B$11,0))),"N/A")</f>
        <v/>
      </c>
    </row>
    <row r="108">
      <c r="A108">
        <f>F108&amp;"|"&amp;G108</f>
        <v/>
      </c>
      <c r="B108" s="13" t="inlineStr"/>
      <c r="C108" s="8" t="inlineStr"/>
      <c r="D108" s="8" t="inlineStr"/>
      <c r="E108" s="8" t="inlineStr"/>
      <c r="F108" s="8" t="inlineStr">
        <is>
          <t>NB1(b)</t>
        </is>
      </c>
      <c r="G108" s="8" t="inlineStr">
        <is>
          <t>Supporting information/comments</t>
        </is>
      </c>
      <c r="H108" s="52">
        <f>IFERROR(IF(INDEX('Faculties'!$N$10:$N$19,MATCH($F108,'Faculties'!$B$10:$B$19,0))="","Cell will autofill based on response",INDEX('Faculties'!$N$10:$N$19,MATCH($F108,'Faculties'!$B$10:$B$19,0))),"N/A")</f>
        <v/>
      </c>
      <c r="I108" s="52">
        <f>IFERROR(IF(INDEX('Faculties'!$N$26:$N$35,MATCH($F108,'Faculties'!$B$26:$B$35,0))="","Cell will autofill based on response",INDEX('Faculties'!$N$26:$N$35,MATCH($F108,'Faculties'!$B$26:$B$35,0))),"N/A")</f>
        <v/>
      </c>
      <c r="J108" s="52">
        <f>IFERROR(IF(INDEX('Faculties'!$N$42:$N$51,MATCH($F108,'Faculties'!$B$42:$B$51,0))="","Cell will autofill based on response",INDEX('Faculties'!$N$42:$N$51,MATCH($F108,'Faculties'!$B$42:$B$51,0))),"N/A")</f>
        <v/>
      </c>
      <c r="K108" s="52">
        <f>IFERROR(IF(INDEX('Faculties'!$N$58:$N$67,MATCH($F108,'Faculties'!$B$58:$B$67,0))="","Cell will autofill based on response",INDEX('Faculties'!$N$58:$N$67,MATCH($F108,'Faculties'!$B$58:$B$67,0))),"N/A")</f>
        <v/>
      </c>
      <c r="L108" s="52">
        <f>IFERROR(IF(INDEX('CI&amp;S'!$N$10:$N$15,MATCH($F108,'CI&amp;S'!$B$10:$B$15,0))="","Cell will autofill based on response",INDEX('CI&amp;S'!$N$10:$N$15,MATCH($F108,'CI&amp;S'!$B$10:$B$15,0))),"N/A")</f>
        <v/>
      </c>
      <c r="M108" s="52">
        <f>IFERROR(IF(INDEX('CI&amp;S'!$N$22:$N$36,MATCH($F108,'CI&amp;S'!$B$22:$B$36,0))="","Cell will autofill based on response",INDEX('CI&amp;S'!$N$22:$N$36,MATCH($F108,'CI&amp;S'!$B$22:$B$36,0))),"N/A")</f>
        <v/>
      </c>
      <c r="N108" s="52">
        <f>IFERROR(IF(INDEX('CFOG'!$N$10:$N$16,MATCH($F108,'CFOG'!$B$10:$B$16,0))="","Cell will autofill based on response",INDEX('CFOG'!$N$10:$N$16,MATCH($F108,'CFOG'!$B$10:$B$16,0))),"N/A")</f>
        <v/>
      </c>
      <c r="O108" s="52">
        <f>IFERROR(IF(INDEX('CFOG'!$N$23:$N$24,MATCH($F108,'CFOG'!$B$23:$B$24,0))="","Cell will autofill based on response",INDEX('CFOG'!$N$23:$N$24,MATCH($F108,'CFOG'!$B$23:$B$24,0))),"N/A")</f>
        <v/>
      </c>
      <c r="P108" s="52">
        <f>IFERROR(IF(INDEX('ESG'!$N$10:$N$17,MATCH($F108,'ESG'!$B$10:$B$17,0))="","Cell will autofill based on response",INDEX('ESG'!$N$10:$N$17,MATCH($F108,'ESG'!$B$10:$B$17,0))),"N/A")</f>
        <v/>
      </c>
      <c r="Q108" s="52">
        <f>IFERROR(IF(INDEX('CIOG'!$N$10:$N$14,MATCH($F108,'CIOG'!$B$10:$B$14,0))="","Cell will autofill based on response",INDEX('CIOG'!$N$10:$N$14,MATCH($F108,'CIOG'!$B$10:$B$14,0))),"N/A")</f>
        <v/>
      </c>
      <c r="R108" s="52">
        <f>IFERROR(IF(INDEX('MRE'!$N$10:$N$18,MATCH($F108,'MRE'!$B$10:$B$18,0))="","Cell will autofill based on response",INDEX('MRE'!$N$10:$N$18,MATCH($F108,'MRE'!$B$10:$B$18,0))),"N/A")</f>
        <v/>
      </c>
      <c r="S108" s="52">
        <f>IFERROR(IF(INDEX('AC&amp;M'!$N$10:$N$14,MATCH($F108,'AC&amp;M'!$B$10:$B$14,0))="","Cell will autofill based on response",INDEX('AC&amp;M'!$N$10:$N$14,MATCH($F108,'AC&amp;M'!$B$10:$B$14,0))),"N/A")</f>
        <v/>
      </c>
      <c r="T108" s="52">
        <f>IFERROR(IF(INDEX('GCE'!$N$10:$N$12,MATCH($F108,'GCE'!$B$10:$B$12,0))="","Cell will autofill based on response",INDEX('GCE'!$N$10:$N$12,MATCH($F108,'GCE'!$B$10:$B$12,0))),"N/A")</f>
        <v/>
      </c>
      <c r="U108" s="52">
        <f>IFERROR(IF(INDEX('Education'!$N$10:$N$13,MATCH($F108,'Education'!$B$10:$B$13,0))="","Cell will autofill based on response",INDEX('Education'!$N$10:$N$13,MATCH($F108,'Education'!$B$10:$B$13,0))),"N/A")</f>
        <v/>
      </c>
      <c r="V108" s="52">
        <f>IFERROR(IF(INDEX('SaSS'!$N$10:$N$12,MATCH($F108,'SaSS'!$B$10:$B$12,0))="","Cell will autofill based on response",INDEX('SaSS'!$N$10:$N$12,MATCH($F108,'SaSS'!$B$10:$B$12,0))),"N/A")</f>
        <v/>
      </c>
      <c r="W108" s="52">
        <f>IFERROR(IF(INDEX('Indigenous'!$N$10:$N$11,MATCH($F108,'Indigenous'!$B$10:$B$11,0))="","Cell will autofill based on response",INDEX('Indigenous'!$N$10:$N$11,MATCH($F108,'Indigenous'!$B$10:$B$11,0))),"N/A")</f>
        <v/>
      </c>
      <c r="X108" s="52">
        <f>IFERROR(IF(INDEX('L&amp;R'!$N$10:$N$11,MATCH($F108,'L&amp;R'!$B$10:$B$11,0))="","Cell will autofill based on response",INDEX('L&amp;R'!$N$10:$N$11,MATCH($F108,'L&amp;R'!$B$10:$B$11,0))),"N/A")</f>
        <v/>
      </c>
    </row>
    <row r="109">
      <c r="A109">
        <f>F109&amp;"|"&amp;G109</f>
        <v/>
      </c>
      <c r="B109" s="13" t="inlineStr"/>
      <c r="C109" s="8" t="inlineStr"/>
      <c r="D109" s="8" t="inlineStr"/>
      <c r="E109" s="8" t="inlineStr"/>
      <c r="F109" s="8" t="inlineStr">
        <is>
          <t>NB1(b)</t>
        </is>
      </c>
      <c r="G109" s="8" t="inlineStr">
        <is>
          <t>Data source and limitations</t>
        </is>
      </c>
      <c r="H109" s="52">
        <f>IFERROR(IF(INDEX('Faculties'!$O$10:$O$19,MATCH($F109,'Faculties'!$B$10:$B$19,0))="","Cell will autofill based on response",INDEX('Faculties'!$O$10:$O$19,MATCH($F109,'Faculties'!$B$10:$B$19,0))),"N/A")</f>
        <v/>
      </c>
      <c r="I109" s="52">
        <f>IFERROR(IF(INDEX('Faculties'!$O$26:$O$35,MATCH($F109,'Faculties'!$B$26:$B$35,0))="","Cell will autofill based on response",INDEX('Faculties'!$O$26:$O$35,MATCH($F109,'Faculties'!$B$26:$B$35,0))),"N/A")</f>
        <v/>
      </c>
      <c r="J109" s="52">
        <f>IFERROR(IF(INDEX('Faculties'!$O$42:$O$51,MATCH($F109,'Faculties'!$B$42:$B$51,0))="","Cell will autofill based on response",INDEX('Faculties'!$O$42:$O$51,MATCH($F109,'Faculties'!$B$42:$B$51,0))),"N/A")</f>
        <v/>
      </c>
      <c r="K109" s="52">
        <f>IFERROR(IF(INDEX('Faculties'!$O$58:$O$67,MATCH($F109,'Faculties'!$B$58:$B$67,0))="","Cell will autofill based on response",INDEX('Faculties'!$O$58:$O$67,MATCH($F109,'Faculties'!$B$58:$B$67,0))),"N/A")</f>
        <v/>
      </c>
      <c r="L109" s="52">
        <f>IFERROR(IF(INDEX('CI&amp;S'!$O$10:$O$15,MATCH($F109,'CI&amp;S'!$B$10:$B$15,0))="","Cell will autofill based on response",INDEX('CI&amp;S'!$O$10:$O$15,MATCH($F109,'CI&amp;S'!$B$10:$B$15,0))),"N/A")</f>
        <v/>
      </c>
      <c r="M109" s="52">
        <f>IFERROR(IF(INDEX('CI&amp;S'!$O$22:$O$36,MATCH($F109,'CI&amp;S'!$B$22:$B$36,0))="","Cell will autofill based on response",INDEX('CI&amp;S'!$O$22:$O$36,MATCH($F109,'CI&amp;S'!$B$22:$B$36,0))),"N/A")</f>
        <v/>
      </c>
      <c r="N109" s="52">
        <f>IFERROR(IF(INDEX('CFOG'!$O$10:$O$16,MATCH($F109,'CFOG'!$B$10:$B$16,0))="","Cell will autofill based on response",INDEX('CFOG'!$O$10:$O$16,MATCH($F109,'CFOG'!$B$10:$B$16,0))),"N/A")</f>
        <v/>
      </c>
      <c r="O109" s="52">
        <f>IFERROR(IF(INDEX('CFOG'!$O$23:$O$24,MATCH($F109,'CFOG'!$B$23:$B$24,0))="","Cell will autofill based on response",INDEX('CFOG'!$O$23:$O$24,MATCH($F109,'CFOG'!$B$23:$B$24,0))),"N/A")</f>
        <v/>
      </c>
      <c r="P109" s="52">
        <f>IFERROR(IF(INDEX('ESG'!$O$10:$O$17,MATCH($F109,'ESG'!$B$10:$B$17,0))="","Cell will autofill based on response",INDEX('ESG'!$O$10:$O$17,MATCH($F109,'ESG'!$B$10:$B$17,0))),"N/A")</f>
        <v/>
      </c>
      <c r="Q109" s="52">
        <f>IFERROR(IF(INDEX('CIOG'!$O$10:$O$14,MATCH($F109,'CIOG'!$B$10:$B$14,0))="","Cell will autofill based on response",INDEX('CIOG'!$O$10:$O$14,MATCH($F109,'CIOG'!$B$10:$B$14,0))),"N/A")</f>
        <v/>
      </c>
      <c r="R109" s="52">
        <f>IFERROR(IF(INDEX('MRE'!$O$10:$O$18,MATCH($F109,'MRE'!$B$10:$B$18,0))="","Cell will autofill based on response",INDEX('MRE'!$O$10:$O$18,MATCH($F109,'MRE'!$B$10:$B$18,0))),"N/A")</f>
        <v/>
      </c>
      <c r="S109" s="52">
        <f>IFERROR(IF(INDEX('AC&amp;M'!$O$10:$O$14,MATCH($F109,'AC&amp;M'!$B$10:$B$14,0))="","Cell will autofill based on response",INDEX('AC&amp;M'!$O$10:$O$14,MATCH($F109,'AC&amp;M'!$B$10:$B$14,0))),"N/A")</f>
        <v/>
      </c>
      <c r="T109" s="52">
        <f>IFERROR(IF(INDEX('GCE'!$O$10:$O$12,MATCH($F109,'GCE'!$B$10:$B$12,0))="","Cell will autofill based on response",INDEX('GCE'!$O$10:$O$12,MATCH($F109,'GCE'!$B$10:$B$12,0))),"N/A")</f>
        <v/>
      </c>
      <c r="U109" s="52">
        <f>IFERROR(IF(INDEX('Education'!$O$10:$O$13,MATCH($F109,'Education'!$B$10:$B$13,0))="","Cell will autofill based on response",INDEX('Education'!$O$10:$O$13,MATCH($F109,'Education'!$B$10:$B$13,0))),"N/A")</f>
        <v/>
      </c>
      <c r="V109" s="52">
        <f>IFERROR(IF(INDEX('SaSS'!$O$10:$O$12,MATCH($F109,'SaSS'!$B$10:$B$12,0))="","Cell will autofill based on response",INDEX('SaSS'!$O$10:$O$12,MATCH($F109,'SaSS'!$B$10:$B$12,0))),"N/A")</f>
        <v/>
      </c>
      <c r="W109" s="52">
        <f>IFERROR(IF(INDEX('Indigenous'!$O$10:$O$11,MATCH($F109,'Indigenous'!$B$10:$B$11,0))="","Cell will autofill based on response",INDEX('Indigenous'!$O$10:$O$11,MATCH($F109,'Indigenous'!$B$10:$B$11,0))),"N/A")</f>
        <v/>
      </c>
      <c r="X109" s="52">
        <f>IFERROR(IF(INDEX('L&amp;R'!$O$10:$O$11,MATCH($F109,'L&amp;R'!$B$10:$B$11,0))="","Cell will autofill based on response",INDEX('L&amp;R'!$O$10:$O$11,MATCH($F109,'L&amp;R'!$B$10:$B$11,0))),"N/A")</f>
        <v/>
      </c>
    </row>
    <row r="110">
      <c r="A110">
        <f>F110&amp;"|"&amp;G110</f>
        <v/>
      </c>
      <c r="B110" s="13" t="inlineStr"/>
      <c r="C110" s="8" t="inlineStr"/>
      <c r="D110" s="8" t="inlineStr"/>
      <c r="E110" s="8" t="inlineStr"/>
      <c r="F110" s="8" t="inlineStr">
        <is>
          <t>NB1(b)</t>
        </is>
      </c>
      <c r="G110" s="8" t="inlineStr">
        <is>
          <t>Data owner confirms</t>
        </is>
      </c>
      <c r="H110" s="52">
        <f>IFERROR(IF(INDEX('Faculties'!$P$10:$P$19,MATCH($F110,'Faculties'!$B$10:$B$19,0))="","Cell will autofill based on response",INDEX('Faculties'!$P$10:$P$19,MATCH($F110,'Faculties'!$B$10:$B$19,0))),"N/A")</f>
        <v/>
      </c>
      <c r="I110" s="52">
        <f>IFERROR(IF(INDEX('Faculties'!$P$26:$P$35,MATCH($F110,'Faculties'!$B$26:$B$35,0))="","Cell will autofill based on response",INDEX('Faculties'!$P$26:$P$35,MATCH($F110,'Faculties'!$B$26:$B$35,0))),"N/A")</f>
        <v/>
      </c>
      <c r="J110" s="52">
        <f>IFERROR(IF(INDEX('Faculties'!$P$42:$P$51,MATCH($F110,'Faculties'!$B$42:$B$51,0))="","Cell will autofill based on response",INDEX('Faculties'!$P$42:$P$51,MATCH($F110,'Faculties'!$B$42:$B$51,0))),"N/A")</f>
        <v/>
      </c>
      <c r="K110" s="52">
        <f>IFERROR(IF(INDEX('Faculties'!$P$58:$P$67,MATCH($F110,'Faculties'!$B$58:$B$67,0))="","Cell will autofill based on response",INDEX('Faculties'!$P$58:$P$67,MATCH($F110,'Faculties'!$B$58:$B$67,0))),"N/A")</f>
        <v/>
      </c>
      <c r="L110" s="52">
        <f>IFERROR(IF(INDEX('CI&amp;S'!$P$10:$P$15,MATCH($F110,'CI&amp;S'!$B$10:$B$15,0))="","Cell will autofill based on response",INDEX('CI&amp;S'!$P$10:$P$15,MATCH($F110,'CI&amp;S'!$B$10:$B$15,0))),"N/A")</f>
        <v/>
      </c>
      <c r="M110" s="52">
        <f>IFERROR(IF(INDEX('CI&amp;S'!$P$22:$P$36,MATCH($F110,'CI&amp;S'!$B$22:$B$36,0))="","Cell will autofill based on response",INDEX('CI&amp;S'!$P$22:$P$36,MATCH($F110,'CI&amp;S'!$B$22:$B$36,0))),"N/A")</f>
        <v/>
      </c>
      <c r="N110" s="52">
        <f>IFERROR(IF(INDEX('CFOG'!$P$10:$P$16,MATCH($F110,'CFOG'!$B$10:$B$16,0))="","Cell will autofill based on response",INDEX('CFOG'!$P$10:$P$16,MATCH($F110,'CFOG'!$B$10:$B$16,0))),"N/A")</f>
        <v/>
      </c>
      <c r="O110" s="52">
        <f>IFERROR(IF(INDEX('CFOG'!$P$23:$P$24,MATCH($F110,'CFOG'!$B$23:$B$24,0))="","Cell will autofill based on response",INDEX('CFOG'!$P$23:$P$24,MATCH($F110,'CFOG'!$B$23:$B$24,0))),"N/A")</f>
        <v/>
      </c>
      <c r="P110" s="52">
        <f>IFERROR(IF(INDEX('ESG'!$P$10:$P$17,MATCH($F110,'ESG'!$B$10:$B$17,0))="","Cell will autofill based on response",INDEX('ESG'!$P$10:$P$17,MATCH($F110,'ESG'!$B$10:$B$17,0))),"N/A")</f>
        <v/>
      </c>
      <c r="Q110" s="52">
        <f>IFERROR(IF(INDEX('CIOG'!$P$10:$P$14,MATCH($F110,'CIOG'!$B$10:$B$14,0))="","Cell will autofill based on response",INDEX('CIOG'!$P$10:$P$14,MATCH($F110,'CIOG'!$B$10:$B$14,0))),"N/A")</f>
        <v/>
      </c>
      <c r="R110" s="52">
        <f>IFERROR(IF(INDEX('MRE'!$P$10:$P$18,MATCH($F110,'MRE'!$B$10:$B$18,0))="","Cell will autofill based on response",INDEX('MRE'!$P$10:$P$18,MATCH($F110,'MRE'!$B$10:$B$18,0))),"N/A")</f>
        <v/>
      </c>
      <c r="S110" s="52">
        <f>IFERROR(IF(INDEX('AC&amp;M'!$P$10:$P$14,MATCH($F110,'AC&amp;M'!$B$10:$B$14,0))="","Cell will autofill based on response",INDEX('AC&amp;M'!$P$10:$P$14,MATCH($F110,'AC&amp;M'!$B$10:$B$14,0))),"N/A")</f>
        <v/>
      </c>
      <c r="T110" s="52">
        <f>IFERROR(IF(INDEX('GCE'!$P$10:$P$12,MATCH($F110,'GCE'!$B$10:$B$12,0))="","Cell will autofill based on response",INDEX('GCE'!$P$10:$P$12,MATCH($F110,'GCE'!$B$10:$B$12,0))),"N/A")</f>
        <v/>
      </c>
      <c r="U110" s="52">
        <f>IFERROR(IF(INDEX('Education'!$P$10:$P$13,MATCH($F110,'Education'!$B$10:$B$13,0))="","Cell will autofill based on response",INDEX('Education'!$P$10:$P$13,MATCH($F110,'Education'!$B$10:$B$13,0))),"N/A")</f>
        <v/>
      </c>
      <c r="V110" s="52">
        <f>IFERROR(IF(INDEX('SaSS'!$P$10:$P$12,MATCH($F110,'SaSS'!$B$10:$B$12,0))="","Cell will autofill based on response",INDEX('SaSS'!$P$10:$P$12,MATCH($F110,'SaSS'!$B$10:$B$12,0))),"N/A")</f>
        <v/>
      </c>
      <c r="W110" s="52">
        <f>IFERROR(IF(INDEX('Indigenous'!$P$10:$P$11,MATCH($F110,'Indigenous'!$B$10:$B$11,0))="","Cell will autofill based on response",INDEX('Indigenous'!$P$10:$P$11,MATCH($F110,'Indigenous'!$B$10:$B$11,0))),"N/A")</f>
        <v/>
      </c>
      <c r="X110" s="52">
        <f>IFERROR(IF(INDEX('L&amp;R'!$P$10:$P$11,MATCH($F110,'L&amp;R'!$B$10:$B$11,0))="","Cell will autofill based on response",INDEX('L&amp;R'!$P$10:$P$11,MATCH($F110,'L&amp;R'!$B$10:$B$11,0))),"N/A")</f>
        <v/>
      </c>
    </row>
    <row r="111">
      <c r="A111">
        <f>F111&amp;"|"&amp;G111</f>
        <v/>
      </c>
      <c r="B111" s="7" t="inlineStr">
        <is>
          <t>NB1(c)</t>
        </is>
      </c>
      <c r="C111" s="50" t="inlineStr">
        <is>
          <t>Nature and biodiversity</t>
        </is>
      </c>
      <c r="D111" s="50" t="inlineStr">
        <is>
          <t>Defined quality measurement framework</t>
        </is>
      </c>
      <c r="E111" s="50" t="inlineStr"/>
      <c r="F111" s="50" t="inlineStr">
        <is>
          <t>NB1(c)</t>
        </is>
      </c>
      <c r="G111" s="50" t="inlineStr">
        <is>
          <t>OPTION 1:  Target-level reporting</t>
        </is>
      </c>
      <c r="H111" s="52">
        <f>IFERROR(IF(INDEX('Faculties'!$L$10:$L$19,MATCH($F111,'Faculties'!$B$10:$B$19,0))="","Cell will autofill based on response",INDEX('Faculties'!$L$10:$L$19,MATCH($F111,'Faculties'!$B$10:$B$19,0))),"N/A")</f>
        <v/>
      </c>
      <c r="I111" s="52">
        <f>IFERROR(IF(INDEX('Faculties'!$L$26:$L$35,MATCH($F111,'Faculties'!$B$26:$B$35,0))="","Cell will autofill based on response",INDEX('Faculties'!$L$26:$L$35,MATCH($F111,'Faculties'!$B$26:$B$35,0))),"N/A")</f>
        <v/>
      </c>
      <c r="J111" s="52">
        <f>IFERROR(IF(INDEX('Faculties'!$L$42:$L$51,MATCH($F111,'Faculties'!$B$42:$B$51,0))="","Cell will autofill based on response",INDEX('Faculties'!$L$42:$L$51,MATCH($F111,'Faculties'!$B$42:$B$51,0))),"N/A")</f>
        <v/>
      </c>
      <c r="K111" s="52">
        <f>IFERROR(IF(INDEX('Faculties'!$L$58:$L$67,MATCH($F111,'Faculties'!$B$58:$B$67,0))="","Cell will autofill based on response",INDEX('Faculties'!$L$58:$L$67,MATCH($F111,'Faculties'!$B$58:$B$67,0))),"N/A")</f>
        <v/>
      </c>
      <c r="L111" s="52">
        <f>IFERROR(IF(INDEX('CI&amp;S'!$L$10:$L$15,MATCH($F111,'CI&amp;S'!$B$10:$B$15,0))="","Cell will autofill based on response",INDEX('CI&amp;S'!$L$10:$L$15,MATCH($F111,'CI&amp;S'!$B$10:$B$15,0))),"N/A")</f>
        <v/>
      </c>
      <c r="M111" s="52">
        <f>IFERROR(IF(INDEX('CI&amp;S'!$L$22:$L$36,MATCH($F111,'CI&amp;S'!$B$22:$B$36,0))="","Cell will autofill based on response",INDEX('CI&amp;S'!$L$22:$L$36,MATCH($F111,'CI&amp;S'!$B$22:$B$36,0))),"N/A")</f>
        <v/>
      </c>
      <c r="N111" s="52">
        <f>IFERROR(IF(INDEX('CFOG'!$L$10:$L$16,MATCH($F111,'CFOG'!$B$10:$B$16,0))="","Cell will autofill based on response",INDEX('CFOG'!$L$10:$L$16,MATCH($F111,'CFOG'!$B$10:$B$16,0))),"N/A")</f>
        <v/>
      </c>
      <c r="O111" s="52">
        <f>IFERROR(IF(INDEX('CFOG'!$L$23:$L$24,MATCH($F111,'CFOG'!$B$23:$B$24,0))="","Cell will autofill based on response",INDEX('CFOG'!$L$23:$L$24,MATCH($F111,'CFOG'!$B$23:$B$24,0))),"N/A")</f>
        <v/>
      </c>
      <c r="P111" s="52">
        <f>IFERROR(IF(INDEX('ESG'!$L$10:$L$17,MATCH($F111,'ESG'!$B$10:$B$17,0))="","Cell will autofill based on response",INDEX('ESG'!$L$10:$L$17,MATCH($F111,'ESG'!$B$10:$B$17,0))),"N/A")</f>
        <v/>
      </c>
      <c r="Q111" s="52">
        <f>IFERROR(IF(INDEX('CIOG'!$L$10:$L$14,MATCH($F111,'CIOG'!$B$10:$B$14,0))="","Cell will autofill based on response",INDEX('CIOG'!$L$10:$L$14,MATCH($F111,'CIOG'!$B$10:$B$14,0))),"N/A")</f>
        <v/>
      </c>
      <c r="R111" s="52">
        <f>IFERROR(IF(INDEX('MRE'!$L$10:$L$18,MATCH($F111,'MRE'!$B$10:$B$18,0))="","Cell will autofill based on response",INDEX('MRE'!$L$10:$L$18,MATCH($F111,'MRE'!$B$10:$B$18,0))),"N/A")</f>
        <v/>
      </c>
      <c r="S111" s="52">
        <f>IFERROR(IF(INDEX('AC&amp;M'!$L$10:$L$14,MATCH($F111,'AC&amp;M'!$B$10:$B$14,0))="","Cell will autofill based on response",INDEX('AC&amp;M'!$L$10:$L$14,MATCH($F111,'AC&amp;M'!$B$10:$B$14,0))),"N/A")</f>
        <v/>
      </c>
      <c r="T111" s="52">
        <f>IFERROR(IF(INDEX('GCE'!$L$10:$L$12,MATCH($F111,'GCE'!$B$10:$B$12,0))="","Cell will autofill based on response",INDEX('GCE'!$L$10:$L$12,MATCH($F111,'GCE'!$B$10:$B$12,0))),"N/A")</f>
        <v/>
      </c>
      <c r="U111" s="52">
        <f>IFERROR(IF(INDEX('Education'!$L$10:$L$13,MATCH($F111,'Education'!$B$10:$B$13,0))="","Cell will autofill based on response",INDEX('Education'!$L$10:$L$13,MATCH($F111,'Education'!$B$10:$B$13,0))),"N/A")</f>
        <v/>
      </c>
      <c r="V111" s="52">
        <f>IFERROR(IF(INDEX('SaSS'!$L$10:$L$12,MATCH($F111,'SaSS'!$B$10:$B$12,0))="","Cell will autofill based on response",INDEX('SaSS'!$L$10:$L$12,MATCH($F111,'SaSS'!$B$10:$B$12,0))),"N/A")</f>
        <v/>
      </c>
      <c r="W111" s="52">
        <f>IFERROR(IF(INDEX('Indigenous'!$L$10:$L$11,MATCH($F111,'Indigenous'!$B$10:$B$11,0))="","Cell will autofill based on response",INDEX('Indigenous'!$L$10:$L$11,MATCH($F111,'Indigenous'!$B$10:$B$11,0))),"N/A")</f>
        <v/>
      </c>
      <c r="X111" s="52">
        <f>IFERROR(IF(INDEX('L&amp;R'!$L$10:$L$11,MATCH($F111,'L&amp;R'!$B$10:$B$11,0))="","Cell will autofill based on response",INDEX('L&amp;R'!$L$10:$L$11,MATCH($F111,'L&amp;R'!$B$10:$B$11,0))),"N/A")</f>
        <v/>
      </c>
      <c r="Z111" s="10">
        <f>SUMPRODUCT(--($H111:$X111&lt;&gt;"N/A"))</f>
        <v/>
      </c>
      <c r="AA111" s="10">
        <f>SUMPRODUCT(--(((($H111:$X111&lt;&gt;"N/A")*($H111:$X111&lt;&gt;"Cell will autofill based on response"))+(($H112:$X112&lt;&gt;"N/A")*($H112:$X112&lt;&gt;"Cell will autofill based on response")))&gt;0))</f>
        <v/>
      </c>
      <c r="AB111" s="10">
        <f>Z111-AA111</f>
        <v/>
      </c>
      <c r="AC111" s="10">
        <f>COUNTIF($H115:$X115,"Yes")</f>
        <v/>
      </c>
    </row>
    <row r="112">
      <c r="A112">
        <f>F112&amp;"|"&amp;G112</f>
        <v/>
      </c>
      <c r="B112" s="13" t="inlineStr"/>
      <c r="C112" s="8" t="inlineStr"/>
      <c r="D112" s="8" t="inlineStr"/>
      <c r="E112" s="8" t="inlineStr"/>
      <c r="F112" s="8" t="inlineStr">
        <is>
          <t>NB1(c)</t>
        </is>
      </c>
      <c r="G112" s="8" t="inlineStr">
        <is>
          <t>OPTION 2:  Indicator level reporting</t>
        </is>
      </c>
      <c r="H112" s="52">
        <f>IFERROR(IF(INDEX('Faculties'!$M$10:$M$19,MATCH($F112,'Faculties'!$B$10:$B$19,0))="","Cell will autofill based on response",INDEX('Faculties'!$M$10:$M$19,MATCH($F112,'Faculties'!$B$10:$B$19,0))),"N/A")</f>
        <v/>
      </c>
      <c r="I112" s="52">
        <f>IFERROR(IF(INDEX('Faculties'!$M$26:$M$35,MATCH($F112,'Faculties'!$B$26:$B$35,0))="","Cell will autofill based on response",INDEX('Faculties'!$M$26:$M$35,MATCH($F112,'Faculties'!$B$26:$B$35,0))),"N/A")</f>
        <v/>
      </c>
      <c r="J112" s="52">
        <f>IFERROR(IF(INDEX('Faculties'!$M$42:$M$51,MATCH($F112,'Faculties'!$B$42:$B$51,0))="","Cell will autofill based on response",INDEX('Faculties'!$M$42:$M$51,MATCH($F112,'Faculties'!$B$42:$B$51,0))),"N/A")</f>
        <v/>
      </c>
      <c r="K112" s="52">
        <f>IFERROR(IF(INDEX('Faculties'!$M$58:$M$67,MATCH($F112,'Faculties'!$B$58:$B$67,0))="","Cell will autofill based on response",INDEX('Faculties'!$M$58:$M$67,MATCH($F112,'Faculties'!$B$58:$B$67,0))),"N/A")</f>
        <v/>
      </c>
      <c r="L112" s="52">
        <f>IFERROR(IF(INDEX('CI&amp;S'!$M$10:$M$15,MATCH($F112,'CI&amp;S'!$B$10:$B$15,0))="","Cell will autofill based on response",INDEX('CI&amp;S'!$M$10:$M$15,MATCH($F112,'CI&amp;S'!$B$10:$B$15,0))),"N/A")</f>
        <v/>
      </c>
      <c r="M112" s="52">
        <f>IFERROR(IF(INDEX('CI&amp;S'!$M$22:$M$36,MATCH($F112,'CI&amp;S'!$B$22:$B$36,0))="","Cell will autofill based on response",INDEX('CI&amp;S'!$M$22:$M$36,MATCH($F112,'CI&amp;S'!$B$22:$B$36,0))),"N/A")</f>
        <v/>
      </c>
      <c r="N112" s="52">
        <f>IFERROR(IF(INDEX('CFOG'!$M$10:$M$16,MATCH($F112,'CFOG'!$B$10:$B$16,0))="","Cell will autofill based on response",INDEX('CFOG'!$M$10:$M$16,MATCH($F112,'CFOG'!$B$10:$B$16,0))),"N/A")</f>
        <v/>
      </c>
      <c r="O112" s="52">
        <f>IFERROR(IF(INDEX('CFOG'!$M$23:$M$24,MATCH($F112,'CFOG'!$B$23:$B$24,0))="","Cell will autofill based on response",INDEX('CFOG'!$M$23:$M$24,MATCH($F112,'CFOG'!$B$23:$B$24,0))),"N/A")</f>
        <v/>
      </c>
      <c r="P112" s="52">
        <f>IFERROR(IF(INDEX('ESG'!$M$10:$M$17,MATCH($F112,'ESG'!$B$10:$B$17,0))="","Cell will autofill based on response",INDEX('ESG'!$M$10:$M$17,MATCH($F112,'ESG'!$B$10:$B$17,0))),"N/A")</f>
        <v/>
      </c>
      <c r="Q112" s="52">
        <f>IFERROR(IF(INDEX('CIOG'!$M$10:$M$14,MATCH($F112,'CIOG'!$B$10:$B$14,0))="","Cell will autofill based on response",INDEX('CIOG'!$M$10:$M$14,MATCH($F112,'CIOG'!$B$10:$B$14,0))),"N/A")</f>
        <v/>
      </c>
      <c r="R112" s="52">
        <f>IFERROR(IF(INDEX('MRE'!$M$10:$M$18,MATCH($F112,'MRE'!$B$10:$B$18,0))="","Cell will autofill based on response",INDEX('MRE'!$M$10:$M$18,MATCH($F112,'MRE'!$B$10:$B$18,0))),"N/A")</f>
        <v/>
      </c>
      <c r="S112" s="52">
        <f>IFERROR(IF(INDEX('AC&amp;M'!$M$10:$M$14,MATCH($F112,'AC&amp;M'!$B$10:$B$14,0))="","Cell will autofill based on response",INDEX('AC&amp;M'!$M$10:$M$14,MATCH($F112,'AC&amp;M'!$B$10:$B$14,0))),"N/A")</f>
        <v/>
      </c>
      <c r="T112" s="52">
        <f>IFERROR(IF(INDEX('GCE'!$M$10:$M$12,MATCH($F112,'GCE'!$B$10:$B$12,0))="","Cell will autofill based on response",INDEX('GCE'!$M$10:$M$12,MATCH($F112,'GCE'!$B$10:$B$12,0))),"N/A")</f>
        <v/>
      </c>
      <c r="U112" s="52">
        <f>IFERROR(IF(INDEX('Education'!$M$10:$M$13,MATCH($F112,'Education'!$B$10:$B$13,0))="","Cell will autofill based on response",INDEX('Education'!$M$10:$M$13,MATCH($F112,'Education'!$B$10:$B$13,0))),"N/A")</f>
        <v/>
      </c>
      <c r="V112" s="52">
        <f>IFERROR(IF(INDEX('SaSS'!$M$10:$M$12,MATCH($F112,'SaSS'!$B$10:$B$12,0))="","Cell will autofill based on response",INDEX('SaSS'!$M$10:$M$12,MATCH($F112,'SaSS'!$B$10:$B$12,0))),"N/A")</f>
        <v/>
      </c>
      <c r="W112" s="52">
        <f>IFERROR(IF(INDEX('Indigenous'!$M$10:$M$11,MATCH($F112,'Indigenous'!$B$10:$B$11,0))="","Cell will autofill based on response",INDEX('Indigenous'!$M$10:$M$11,MATCH($F112,'Indigenous'!$B$10:$B$11,0))),"N/A")</f>
        <v/>
      </c>
      <c r="X112" s="52">
        <f>IFERROR(IF(INDEX('L&amp;R'!$M$10:$M$11,MATCH($F112,'L&amp;R'!$B$10:$B$11,0))="","Cell will autofill based on response",INDEX('L&amp;R'!$M$10:$M$11,MATCH($F112,'L&amp;R'!$B$10:$B$11,0))),"N/A")</f>
        <v/>
      </c>
    </row>
    <row r="113">
      <c r="A113">
        <f>F113&amp;"|"&amp;G113</f>
        <v/>
      </c>
      <c r="B113" s="13" t="inlineStr"/>
      <c r="C113" s="8" t="inlineStr"/>
      <c r="D113" s="8" t="inlineStr"/>
      <c r="E113" s="8" t="inlineStr"/>
      <c r="F113" s="8" t="inlineStr">
        <is>
          <t>NB1(c)</t>
        </is>
      </c>
      <c r="G113" s="8" t="inlineStr">
        <is>
          <t>Supporting information/comments</t>
        </is>
      </c>
      <c r="H113" s="52">
        <f>IFERROR(IF(INDEX('Faculties'!$N$10:$N$19,MATCH($F113,'Faculties'!$B$10:$B$19,0))="","Cell will autofill based on response",INDEX('Faculties'!$N$10:$N$19,MATCH($F113,'Faculties'!$B$10:$B$19,0))),"N/A")</f>
        <v/>
      </c>
      <c r="I113" s="52">
        <f>IFERROR(IF(INDEX('Faculties'!$N$26:$N$35,MATCH($F113,'Faculties'!$B$26:$B$35,0))="","Cell will autofill based on response",INDEX('Faculties'!$N$26:$N$35,MATCH($F113,'Faculties'!$B$26:$B$35,0))),"N/A")</f>
        <v/>
      </c>
      <c r="J113" s="52">
        <f>IFERROR(IF(INDEX('Faculties'!$N$42:$N$51,MATCH($F113,'Faculties'!$B$42:$B$51,0))="","Cell will autofill based on response",INDEX('Faculties'!$N$42:$N$51,MATCH($F113,'Faculties'!$B$42:$B$51,0))),"N/A")</f>
        <v/>
      </c>
      <c r="K113" s="52">
        <f>IFERROR(IF(INDEX('Faculties'!$N$58:$N$67,MATCH($F113,'Faculties'!$B$58:$B$67,0))="","Cell will autofill based on response",INDEX('Faculties'!$N$58:$N$67,MATCH($F113,'Faculties'!$B$58:$B$67,0))),"N/A")</f>
        <v/>
      </c>
      <c r="L113" s="52">
        <f>IFERROR(IF(INDEX('CI&amp;S'!$N$10:$N$15,MATCH($F113,'CI&amp;S'!$B$10:$B$15,0))="","Cell will autofill based on response",INDEX('CI&amp;S'!$N$10:$N$15,MATCH($F113,'CI&amp;S'!$B$10:$B$15,0))),"N/A")</f>
        <v/>
      </c>
      <c r="M113" s="52">
        <f>IFERROR(IF(INDEX('CI&amp;S'!$N$22:$N$36,MATCH($F113,'CI&amp;S'!$B$22:$B$36,0))="","Cell will autofill based on response",INDEX('CI&amp;S'!$N$22:$N$36,MATCH($F113,'CI&amp;S'!$B$22:$B$36,0))),"N/A")</f>
        <v/>
      </c>
      <c r="N113" s="52">
        <f>IFERROR(IF(INDEX('CFOG'!$N$10:$N$16,MATCH($F113,'CFOG'!$B$10:$B$16,0))="","Cell will autofill based on response",INDEX('CFOG'!$N$10:$N$16,MATCH($F113,'CFOG'!$B$10:$B$16,0))),"N/A")</f>
        <v/>
      </c>
      <c r="O113" s="52">
        <f>IFERROR(IF(INDEX('CFOG'!$N$23:$N$24,MATCH($F113,'CFOG'!$B$23:$B$24,0))="","Cell will autofill based on response",INDEX('CFOG'!$N$23:$N$24,MATCH($F113,'CFOG'!$B$23:$B$24,0))),"N/A")</f>
        <v/>
      </c>
      <c r="P113" s="52">
        <f>IFERROR(IF(INDEX('ESG'!$N$10:$N$17,MATCH($F113,'ESG'!$B$10:$B$17,0))="","Cell will autofill based on response",INDEX('ESG'!$N$10:$N$17,MATCH($F113,'ESG'!$B$10:$B$17,0))),"N/A")</f>
        <v/>
      </c>
      <c r="Q113" s="52">
        <f>IFERROR(IF(INDEX('CIOG'!$N$10:$N$14,MATCH($F113,'CIOG'!$B$10:$B$14,0))="","Cell will autofill based on response",INDEX('CIOG'!$N$10:$N$14,MATCH($F113,'CIOG'!$B$10:$B$14,0))),"N/A")</f>
        <v/>
      </c>
      <c r="R113" s="52">
        <f>IFERROR(IF(INDEX('MRE'!$N$10:$N$18,MATCH($F113,'MRE'!$B$10:$B$18,0))="","Cell will autofill based on response",INDEX('MRE'!$N$10:$N$18,MATCH($F113,'MRE'!$B$10:$B$18,0))),"N/A")</f>
        <v/>
      </c>
      <c r="S113" s="52">
        <f>IFERROR(IF(INDEX('AC&amp;M'!$N$10:$N$14,MATCH($F113,'AC&amp;M'!$B$10:$B$14,0))="","Cell will autofill based on response",INDEX('AC&amp;M'!$N$10:$N$14,MATCH($F113,'AC&amp;M'!$B$10:$B$14,0))),"N/A")</f>
        <v/>
      </c>
      <c r="T113" s="52">
        <f>IFERROR(IF(INDEX('GCE'!$N$10:$N$12,MATCH($F113,'GCE'!$B$10:$B$12,0))="","Cell will autofill based on response",INDEX('GCE'!$N$10:$N$12,MATCH($F113,'GCE'!$B$10:$B$12,0))),"N/A")</f>
        <v/>
      </c>
      <c r="U113" s="52">
        <f>IFERROR(IF(INDEX('Education'!$N$10:$N$13,MATCH($F113,'Education'!$B$10:$B$13,0))="","Cell will autofill based on response",INDEX('Education'!$N$10:$N$13,MATCH($F113,'Education'!$B$10:$B$13,0))),"N/A")</f>
        <v/>
      </c>
      <c r="V113" s="52">
        <f>IFERROR(IF(INDEX('SaSS'!$N$10:$N$12,MATCH($F113,'SaSS'!$B$10:$B$12,0))="","Cell will autofill based on response",INDEX('SaSS'!$N$10:$N$12,MATCH($F113,'SaSS'!$B$10:$B$12,0))),"N/A")</f>
        <v/>
      </c>
      <c r="W113" s="52">
        <f>IFERROR(IF(INDEX('Indigenous'!$N$10:$N$11,MATCH($F113,'Indigenous'!$B$10:$B$11,0))="","Cell will autofill based on response",INDEX('Indigenous'!$N$10:$N$11,MATCH($F113,'Indigenous'!$B$10:$B$11,0))),"N/A")</f>
        <v/>
      </c>
      <c r="X113" s="52">
        <f>IFERROR(IF(INDEX('L&amp;R'!$N$10:$N$11,MATCH($F113,'L&amp;R'!$B$10:$B$11,0))="","Cell will autofill based on response",INDEX('L&amp;R'!$N$10:$N$11,MATCH($F113,'L&amp;R'!$B$10:$B$11,0))),"N/A")</f>
        <v/>
      </c>
    </row>
    <row r="114">
      <c r="A114">
        <f>F114&amp;"|"&amp;G114</f>
        <v/>
      </c>
      <c r="B114" s="13" t="inlineStr"/>
      <c r="C114" s="8" t="inlineStr"/>
      <c r="D114" s="8" t="inlineStr"/>
      <c r="E114" s="8" t="inlineStr"/>
      <c r="F114" s="8" t="inlineStr">
        <is>
          <t>NB1(c)</t>
        </is>
      </c>
      <c r="G114" s="8" t="inlineStr">
        <is>
          <t>Data source and limitations</t>
        </is>
      </c>
      <c r="H114" s="52">
        <f>IFERROR(IF(INDEX('Faculties'!$O$10:$O$19,MATCH($F114,'Faculties'!$B$10:$B$19,0))="","Cell will autofill based on response",INDEX('Faculties'!$O$10:$O$19,MATCH($F114,'Faculties'!$B$10:$B$19,0))),"N/A")</f>
        <v/>
      </c>
      <c r="I114" s="52">
        <f>IFERROR(IF(INDEX('Faculties'!$O$26:$O$35,MATCH($F114,'Faculties'!$B$26:$B$35,0))="","Cell will autofill based on response",INDEX('Faculties'!$O$26:$O$35,MATCH($F114,'Faculties'!$B$26:$B$35,0))),"N/A")</f>
        <v/>
      </c>
      <c r="J114" s="52">
        <f>IFERROR(IF(INDEX('Faculties'!$O$42:$O$51,MATCH($F114,'Faculties'!$B$42:$B$51,0))="","Cell will autofill based on response",INDEX('Faculties'!$O$42:$O$51,MATCH($F114,'Faculties'!$B$42:$B$51,0))),"N/A")</f>
        <v/>
      </c>
      <c r="K114" s="52">
        <f>IFERROR(IF(INDEX('Faculties'!$O$58:$O$67,MATCH($F114,'Faculties'!$B$58:$B$67,0))="","Cell will autofill based on response",INDEX('Faculties'!$O$58:$O$67,MATCH($F114,'Faculties'!$B$58:$B$67,0))),"N/A")</f>
        <v/>
      </c>
      <c r="L114" s="52">
        <f>IFERROR(IF(INDEX('CI&amp;S'!$O$10:$O$15,MATCH($F114,'CI&amp;S'!$B$10:$B$15,0))="","Cell will autofill based on response",INDEX('CI&amp;S'!$O$10:$O$15,MATCH($F114,'CI&amp;S'!$B$10:$B$15,0))),"N/A")</f>
        <v/>
      </c>
      <c r="M114" s="52">
        <f>IFERROR(IF(INDEX('CI&amp;S'!$O$22:$O$36,MATCH($F114,'CI&amp;S'!$B$22:$B$36,0))="","Cell will autofill based on response",INDEX('CI&amp;S'!$O$22:$O$36,MATCH($F114,'CI&amp;S'!$B$22:$B$36,0))),"N/A")</f>
        <v/>
      </c>
      <c r="N114" s="52">
        <f>IFERROR(IF(INDEX('CFOG'!$O$10:$O$16,MATCH($F114,'CFOG'!$B$10:$B$16,0))="","Cell will autofill based on response",INDEX('CFOG'!$O$10:$O$16,MATCH($F114,'CFOG'!$B$10:$B$16,0))),"N/A")</f>
        <v/>
      </c>
      <c r="O114" s="52">
        <f>IFERROR(IF(INDEX('CFOG'!$O$23:$O$24,MATCH($F114,'CFOG'!$B$23:$B$24,0))="","Cell will autofill based on response",INDEX('CFOG'!$O$23:$O$24,MATCH($F114,'CFOG'!$B$23:$B$24,0))),"N/A")</f>
        <v/>
      </c>
      <c r="P114" s="52">
        <f>IFERROR(IF(INDEX('ESG'!$O$10:$O$17,MATCH($F114,'ESG'!$B$10:$B$17,0))="","Cell will autofill based on response",INDEX('ESG'!$O$10:$O$17,MATCH($F114,'ESG'!$B$10:$B$17,0))),"N/A")</f>
        <v/>
      </c>
      <c r="Q114" s="52">
        <f>IFERROR(IF(INDEX('CIOG'!$O$10:$O$14,MATCH($F114,'CIOG'!$B$10:$B$14,0))="","Cell will autofill based on response",INDEX('CIOG'!$O$10:$O$14,MATCH($F114,'CIOG'!$B$10:$B$14,0))),"N/A")</f>
        <v/>
      </c>
      <c r="R114" s="52">
        <f>IFERROR(IF(INDEX('MRE'!$O$10:$O$18,MATCH($F114,'MRE'!$B$10:$B$18,0))="","Cell will autofill based on response",INDEX('MRE'!$O$10:$O$18,MATCH($F114,'MRE'!$B$10:$B$18,0))),"N/A")</f>
        <v/>
      </c>
      <c r="S114" s="52">
        <f>IFERROR(IF(INDEX('AC&amp;M'!$O$10:$O$14,MATCH($F114,'AC&amp;M'!$B$10:$B$14,0))="","Cell will autofill based on response",INDEX('AC&amp;M'!$O$10:$O$14,MATCH($F114,'AC&amp;M'!$B$10:$B$14,0))),"N/A")</f>
        <v/>
      </c>
      <c r="T114" s="52">
        <f>IFERROR(IF(INDEX('GCE'!$O$10:$O$12,MATCH($F114,'GCE'!$B$10:$B$12,0))="","Cell will autofill based on response",INDEX('GCE'!$O$10:$O$12,MATCH($F114,'GCE'!$B$10:$B$12,0))),"N/A")</f>
        <v/>
      </c>
      <c r="U114" s="52">
        <f>IFERROR(IF(INDEX('Education'!$O$10:$O$13,MATCH($F114,'Education'!$B$10:$B$13,0))="","Cell will autofill based on response",INDEX('Education'!$O$10:$O$13,MATCH($F114,'Education'!$B$10:$B$13,0))),"N/A")</f>
        <v/>
      </c>
      <c r="V114" s="52">
        <f>IFERROR(IF(INDEX('SaSS'!$O$10:$O$12,MATCH($F114,'SaSS'!$B$10:$B$12,0))="","Cell will autofill based on response",INDEX('SaSS'!$O$10:$O$12,MATCH($F114,'SaSS'!$B$10:$B$12,0))),"N/A")</f>
        <v/>
      </c>
      <c r="W114" s="52">
        <f>IFERROR(IF(INDEX('Indigenous'!$O$10:$O$11,MATCH($F114,'Indigenous'!$B$10:$B$11,0))="","Cell will autofill based on response",INDEX('Indigenous'!$O$10:$O$11,MATCH($F114,'Indigenous'!$B$10:$B$11,0))),"N/A")</f>
        <v/>
      </c>
      <c r="X114" s="52">
        <f>IFERROR(IF(INDEX('L&amp;R'!$O$10:$O$11,MATCH($F114,'L&amp;R'!$B$10:$B$11,0))="","Cell will autofill based on response",INDEX('L&amp;R'!$O$10:$O$11,MATCH($F114,'L&amp;R'!$B$10:$B$11,0))),"N/A")</f>
        <v/>
      </c>
    </row>
    <row r="115">
      <c r="A115">
        <f>F115&amp;"|"&amp;G115</f>
        <v/>
      </c>
      <c r="B115" s="13" t="inlineStr"/>
      <c r="C115" s="8" t="inlineStr"/>
      <c r="D115" s="8" t="inlineStr"/>
      <c r="E115" s="8" t="inlineStr"/>
      <c r="F115" s="8" t="inlineStr">
        <is>
          <t>NB1(c)</t>
        </is>
      </c>
      <c r="G115" s="8" t="inlineStr">
        <is>
          <t>Data owner confirms</t>
        </is>
      </c>
      <c r="H115" s="52">
        <f>IFERROR(IF(INDEX('Faculties'!$P$10:$P$19,MATCH($F115,'Faculties'!$B$10:$B$19,0))="","Cell will autofill based on response",INDEX('Faculties'!$P$10:$P$19,MATCH($F115,'Faculties'!$B$10:$B$19,0))),"N/A")</f>
        <v/>
      </c>
      <c r="I115" s="52">
        <f>IFERROR(IF(INDEX('Faculties'!$P$26:$P$35,MATCH($F115,'Faculties'!$B$26:$B$35,0))="","Cell will autofill based on response",INDEX('Faculties'!$P$26:$P$35,MATCH($F115,'Faculties'!$B$26:$B$35,0))),"N/A")</f>
        <v/>
      </c>
      <c r="J115" s="52">
        <f>IFERROR(IF(INDEX('Faculties'!$P$42:$P$51,MATCH($F115,'Faculties'!$B$42:$B$51,0))="","Cell will autofill based on response",INDEX('Faculties'!$P$42:$P$51,MATCH($F115,'Faculties'!$B$42:$B$51,0))),"N/A")</f>
        <v/>
      </c>
      <c r="K115" s="52">
        <f>IFERROR(IF(INDEX('Faculties'!$P$58:$P$67,MATCH($F115,'Faculties'!$B$58:$B$67,0))="","Cell will autofill based on response",INDEX('Faculties'!$P$58:$P$67,MATCH($F115,'Faculties'!$B$58:$B$67,0))),"N/A")</f>
        <v/>
      </c>
      <c r="L115" s="52">
        <f>IFERROR(IF(INDEX('CI&amp;S'!$P$10:$P$15,MATCH($F115,'CI&amp;S'!$B$10:$B$15,0))="","Cell will autofill based on response",INDEX('CI&amp;S'!$P$10:$P$15,MATCH($F115,'CI&amp;S'!$B$10:$B$15,0))),"N/A")</f>
        <v/>
      </c>
      <c r="M115" s="52">
        <f>IFERROR(IF(INDEX('CI&amp;S'!$P$22:$P$36,MATCH($F115,'CI&amp;S'!$B$22:$B$36,0))="","Cell will autofill based on response",INDEX('CI&amp;S'!$P$22:$P$36,MATCH($F115,'CI&amp;S'!$B$22:$B$36,0))),"N/A")</f>
        <v/>
      </c>
      <c r="N115" s="52">
        <f>IFERROR(IF(INDEX('CFOG'!$P$10:$P$16,MATCH($F115,'CFOG'!$B$10:$B$16,0))="","Cell will autofill based on response",INDEX('CFOG'!$P$10:$P$16,MATCH($F115,'CFOG'!$B$10:$B$16,0))),"N/A")</f>
        <v/>
      </c>
      <c r="O115" s="52">
        <f>IFERROR(IF(INDEX('CFOG'!$P$23:$P$24,MATCH($F115,'CFOG'!$B$23:$B$24,0))="","Cell will autofill based on response",INDEX('CFOG'!$P$23:$P$24,MATCH($F115,'CFOG'!$B$23:$B$24,0))),"N/A")</f>
        <v/>
      </c>
      <c r="P115" s="52">
        <f>IFERROR(IF(INDEX('ESG'!$P$10:$P$17,MATCH($F115,'ESG'!$B$10:$B$17,0))="","Cell will autofill based on response",INDEX('ESG'!$P$10:$P$17,MATCH($F115,'ESG'!$B$10:$B$17,0))),"N/A")</f>
        <v/>
      </c>
      <c r="Q115" s="52">
        <f>IFERROR(IF(INDEX('CIOG'!$P$10:$P$14,MATCH($F115,'CIOG'!$B$10:$B$14,0))="","Cell will autofill based on response",INDEX('CIOG'!$P$10:$P$14,MATCH($F115,'CIOG'!$B$10:$B$14,0))),"N/A")</f>
        <v/>
      </c>
      <c r="R115" s="52">
        <f>IFERROR(IF(INDEX('MRE'!$P$10:$P$18,MATCH($F115,'MRE'!$B$10:$B$18,0))="","Cell will autofill based on response",INDEX('MRE'!$P$10:$P$18,MATCH($F115,'MRE'!$B$10:$B$18,0))),"N/A")</f>
        <v/>
      </c>
      <c r="S115" s="52">
        <f>IFERROR(IF(INDEX('AC&amp;M'!$P$10:$P$14,MATCH($F115,'AC&amp;M'!$B$10:$B$14,0))="","Cell will autofill based on response",INDEX('AC&amp;M'!$P$10:$P$14,MATCH($F115,'AC&amp;M'!$B$10:$B$14,0))),"N/A")</f>
        <v/>
      </c>
      <c r="T115" s="52">
        <f>IFERROR(IF(INDEX('GCE'!$P$10:$P$12,MATCH($F115,'GCE'!$B$10:$B$12,0))="","Cell will autofill based on response",INDEX('GCE'!$P$10:$P$12,MATCH($F115,'GCE'!$B$10:$B$12,0))),"N/A")</f>
        <v/>
      </c>
      <c r="U115" s="52">
        <f>IFERROR(IF(INDEX('Education'!$P$10:$P$13,MATCH($F115,'Education'!$B$10:$B$13,0))="","Cell will autofill based on response",INDEX('Education'!$P$10:$P$13,MATCH($F115,'Education'!$B$10:$B$13,0))),"N/A")</f>
        <v/>
      </c>
      <c r="V115" s="52">
        <f>IFERROR(IF(INDEX('SaSS'!$P$10:$P$12,MATCH($F115,'SaSS'!$B$10:$B$12,0))="","Cell will autofill based on response",INDEX('SaSS'!$P$10:$P$12,MATCH($F115,'SaSS'!$B$10:$B$12,0))),"N/A")</f>
        <v/>
      </c>
      <c r="W115" s="52">
        <f>IFERROR(IF(INDEX('Indigenous'!$P$10:$P$11,MATCH($F115,'Indigenous'!$B$10:$B$11,0))="","Cell will autofill based on response",INDEX('Indigenous'!$P$10:$P$11,MATCH($F115,'Indigenous'!$B$10:$B$11,0))),"N/A")</f>
        <v/>
      </c>
      <c r="X115" s="52">
        <f>IFERROR(IF(INDEX('L&amp;R'!$P$10:$P$11,MATCH($F115,'L&amp;R'!$B$10:$B$11,0))="","Cell will autofill based on response",INDEX('L&amp;R'!$P$10:$P$11,MATCH($F115,'L&amp;R'!$B$10:$B$11,0))),"N/A")</f>
        <v/>
      </c>
    </row>
    <row r="116">
      <c r="A116">
        <f>F116&amp;"|"&amp;G116</f>
        <v/>
      </c>
      <c r="B116" s="7" t="inlineStr">
        <is>
          <t>NB1(d)</t>
        </is>
      </c>
      <c r="C116" s="50" t="inlineStr">
        <is>
          <t>Nature and biodiversity</t>
        </is>
      </c>
      <c r="D116" s="50" t="inlineStr">
        <is>
          <t>Defined and quantified campus connectivity</t>
        </is>
      </c>
      <c r="E116" s="50" t="inlineStr">
        <is>
          <t>Please provide the current definition and quantified assessment of campus ecological connectivity, could include the methodology used, campuses covered, baseline or benchmark values, and any material change over the reporting period.</t>
        </is>
      </c>
      <c r="F116" s="50" t="inlineStr">
        <is>
          <t>NB1(d)</t>
        </is>
      </c>
      <c r="G116" s="50" t="inlineStr">
        <is>
          <t>OPTION 1:  Target-level reporting</t>
        </is>
      </c>
      <c r="H116" s="52">
        <f>IFERROR(IF(INDEX('Faculties'!$L$10:$L$19,MATCH($F116,'Faculties'!$B$10:$B$19,0))="","Cell will autofill based on response",INDEX('Faculties'!$L$10:$L$19,MATCH($F116,'Faculties'!$B$10:$B$19,0))),"N/A")</f>
        <v/>
      </c>
      <c r="I116" s="52">
        <f>IFERROR(IF(INDEX('Faculties'!$L$26:$L$35,MATCH($F116,'Faculties'!$B$26:$B$35,0))="","Cell will autofill based on response",INDEX('Faculties'!$L$26:$L$35,MATCH($F116,'Faculties'!$B$26:$B$35,0))),"N/A")</f>
        <v/>
      </c>
      <c r="J116" s="52">
        <f>IFERROR(IF(INDEX('Faculties'!$L$42:$L$51,MATCH($F116,'Faculties'!$B$42:$B$51,0))="","Cell will autofill based on response",INDEX('Faculties'!$L$42:$L$51,MATCH($F116,'Faculties'!$B$42:$B$51,0))),"N/A")</f>
        <v/>
      </c>
      <c r="K116" s="52">
        <f>IFERROR(IF(INDEX('Faculties'!$L$58:$L$67,MATCH($F116,'Faculties'!$B$58:$B$67,0))="","Cell will autofill based on response",INDEX('Faculties'!$L$58:$L$67,MATCH($F116,'Faculties'!$B$58:$B$67,0))),"N/A")</f>
        <v/>
      </c>
      <c r="L116" s="52">
        <f>IFERROR(IF(INDEX('CI&amp;S'!$L$10:$L$15,MATCH($F116,'CI&amp;S'!$B$10:$B$15,0))="","Cell will autofill based on response",INDEX('CI&amp;S'!$L$10:$L$15,MATCH($F116,'CI&amp;S'!$B$10:$B$15,0))),"N/A")</f>
        <v/>
      </c>
      <c r="M116" s="52">
        <f>IFERROR(IF(INDEX('CI&amp;S'!$L$22:$L$36,MATCH($F116,'CI&amp;S'!$B$22:$B$36,0))="","Cell will autofill based on response",INDEX('CI&amp;S'!$L$22:$L$36,MATCH($F116,'CI&amp;S'!$B$22:$B$36,0))),"N/A")</f>
        <v/>
      </c>
      <c r="N116" s="52">
        <f>IFERROR(IF(INDEX('CFOG'!$L$10:$L$16,MATCH($F116,'CFOG'!$B$10:$B$16,0))="","Cell will autofill based on response",INDEX('CFOG'!$L$10:$L$16,MATCH($F116,'CFOG'!$B$10:$B$16,0))),"N/A")</f>
        <v/>
      </c>
      <c r="O116" s="52">
        <f>IFERROR(IF(INDEX('CFOG'!$L$23:$L$24,MATCH($F116,'CFOG'!$B$23:$B$24,0))="","Cell will autofill based on response",INDEX('CFOG'!$L$23:$L$24,MATCH($F116,'CFOG'!$B$23:$B$24,0))),"N/A")</f>
        <v/>
      </c>
      <c r="P116" s="52">
        <f>IFERROR(IF(INDEX('ESG'!$L$10:$L$17,MATCH($F116,'ESG'!$B$10:$B$17,0))="","Cell will autofill based on response",INDEX('ESG'!$L$10:$L$17,MATCH($F116,'ESG'!$B$10:$B$17,0))),"N/A")</f>
        <v/>
      </c>
      <c r="Q116" s="52">
        <f>IFERROR(IF(INDEX('CIOG'!$L$10:$L$14,MATCH($F116,'CIOG'!$B$10:$B$14,0))="","Cell will autofill based on response",INDEX('CIOG'!$L$10:$L$14,MATCH($F116,'CIOG'!$B$10:$B$14,0))),"N/A")</f>
        <v/>
      </c>
      <c r="R116" s="52">
        <f>IFERROR(IF(INDEX('MRE'!$L$10:$L$18,MATCH($F116,'MRE'!$B$10:$B$18,0))="","Cell will autofill based on response",INDEX('MRE'!$L$10:$L$18,MATCH($F116,'MRE'!$B$10:$B$18,0))),"N/A")</f>
        <v/>
      </c>
      <c r="S116" s="52">
        <f>IFERROR(IF(INDEX('AC&amp;M'!$L$10:$L$14,MATCH($F116,'AC&amp;M'!$B$10:$B$14,0))="","Cell will autofill based on response",INDEX('AC&amp;M'!$L$10:$L$14,MATCH($F116,'AC&amp;M'!$B$10:$B$14,0))),"N/A")</f>
        <v/>
      </c>
      <c r="T116" s="52">
        <f>IFERROR(IF(INDEX('GCE'!$L$10:$L$12,MATCH($F116,'GCE'!$B$10:$B$12,0))="","Cell will autofill based on response",INDEX('GCE'!$L$10:$L$12,MATCH($F116,'GCE'!$B$10:$B$12,0))),"N/A")</f>
        <v/>
      </c>
      <c r="U116" s="52">
        <f>IFERROR(IF(INDEX('Education'!$L$10:$L$13,MATCH($F116,'Education'!$B$10:$B$13,0))="","Cell will autofill based on response",INDEX('Education'!$L$10:$L$13,MATCH($F116,'Education'!$B$10:$B$13,0))),"N/A")</f>
        <v/>
      </c>
      <c r="V116" s="52">
        <f>IFERROR(IF(INDEX('SaSS'!$L$10:$L$12,MATCH($F116,'SaSS'!$B$10:$B$12,0))="","Cell will autofill based on response",INDEX('SaSS'!$L$10:$L$12,MATCH($F116,'SaSS'!$B$10:$B$12,0))),"N/A")</f>
        <v/>
      </c>
      <c r="W116" s="52">
        <f>IFERROR(IF(INDEX('Indigenous'!$L$10:$L$11,MATCH($F116,'Indigenous'!$B$10:$B$11,0))="","Cell will autofill based on response",INDEX('Indigenous'!$L$10:$L$11,MATCH($F116,'Indigenous'!$B$10:$B$11,0))),"N/A")</f>
        <v/>
      </c>
      <c r="X116" s="52">
        <f>IFERROR(IF(INDEX('L&amp;R'!$L$10:$L$11,MATCH($F116,'L&amp;R'!$B$10:$B$11,0))="","Cell will autofill based on response",INDEX('L&amp;R'!$L$10:$L$11,MATCH($F116,'L&amp;R'!$B$10:$B$11,0))),"N/A")</f>
        <v/>
      </c>
      <c r="Z116" s="10">
        <f>SUMPRODUCT(--($H116:$X116&lt;&gt;"N/A"))</f>
        <v/>
      </c>
      <c r="AA116" s="10">
        <f>SUMPRODUCT(--(((($H116:$X116&lt;&gt;"N/A")*($H116:$X116&lt;&gt;"Cell will autofill based on response"))+(($H117:$X117&lt;&gt;"N/A")*($H117:$X117&lt;&gt;"Cell will autofill based on response")))&gt;0))</f>
        <v/>
      </c>
      <c r="AB116" s="10">
        <f>Z116-AA116</f>
        <v/>
      </c>
      <c r="AC116" s="10">
        <f>COUNTIF($H120:$X120,"Yes")</f>
        <v/>
      </c>
    </row>
    <row r="117">
      <c r="A117">
        <f>F117&amp;"|"&amp;G117</f>
        <v/>
      </c>
      <c r="B117" s="13" t="inlineStr"/>
      <c r="C117" s="8" t="inlineStr"/>
      <c r="D117" s="8" t="inlineStr"/>
      <c r="E117" s="8" t="inlineStr"/>
      <c r="F117" s="8" t="inlineStr">
        <is>
          <t>NB1(d)</t>
        </is>
      </c>
      <c r="G117" s="8" t="inlineStr">
        <is>
          <t>OPTION 2:  Indicator level reporting</t>
        </is>
      </c>
      <c r="H117" s="52">
        <f>IFERROR(IF(INDEX('Faculties'!$M$10:$M$19,MATCH($F117,'Faculties'!$B$10:$B$19,0))="","Cell will autofill based on response",INDEX('Faculties'!$M$10:$M$19,MATCH($F117,'Faculties'!$B$10:$B$19,0))),"N/A")</f>
        <v/>
      </c>
      <c r="I117" s="52">
        <f>IFERROR(IF(INDEX('Faculties'!$M$26:$M$35,MATCH($F117,'Faculties'!$B$26:$B$35,0))="","Cell will autofill based on response",INDEX('Faculties'!$M$26:$M$35,MATCH($F117,'Faculties'!$B$26:$B$35,0))),"N/A")</f>
        <v/>
      </c>
      <c r="J117" s="52">
        <f>IFERROR(IF(INDEX('Faculties'!$M$42:$M$51,MATCH($F117,'Faculties'!$B$42:$B$51,0))="","Cell will autofill based on response",INDEX('Faculties'!$M$42:$M$51,MATCH($F117,'Faculties'!$B$42:$B$51,0))),"N/A")</f>
        <v/>
      </c>
      <c r="K117" s="52">
        <f>IFERROR(IF(INDEX('Faculties'!$M$58:$M$67,MATCH($F117,'Faculties'!$B$58:$B$67,0))="","Cell will autofill based on response",INDEX('Faculties'!$M$58:$M$67,MATCH($F117,'Faculties'!$B$58:$B$67,0))),"N/A")</f>
        <v/>
      </c>
      <c r="L117" s="52">
        <f>IFERROR(IF(INDEX('CI&amp;S'!$M$10:$M$15,MATCH($F117,'CI&amp;S'!$B$10:$B$15,0))="","Cell will autofill based on response",INDEX('CI&amp;S'!$M$10:$M$15,MATCH($F117,'CI&amp;S'!$B$10:$B$15,0))),"N/A")</f>
        <v/>
      </c>
      <c r="M117" s="52">
        <f>IFERROR(IF(INDEX('CI&amp;S'!$M$22:$M$36,MATCH($F117,'CI&amp;S'!$B$22:$B$36,0))="","Cell will autofill based on response",INDEX('CI&amp;S'!$M$22:$M$36,MATCH($F117,'CI&amp;S'!$B$22:$B$36,0))),"N/A")</f>
        <v/>
      </c>
      <c r="N117" s="52">
        <f>IFERROR(IF(INDEX('CFOG'!$M$10:$M$16,MATCH($F117,'CFOG'!$B$10:$B$16,0))="","Cell will autofill based on response",INDEX('CFOG'!$M$10:$M$16,MATCH($F117,'CFOG'!$B$10:$B$16,0))),"N/A")</f>
        <v/>
      </c>
      <c r="O117" s="52">
        <f>IFERROR(IF(INDEX('CFOG'!$M$23:$M$24,MATCH($F117,'CFOG'!$B$23:$B$24,0))="","Cell will autofill based on response",INDEX('CFOG'!$M$23:$M$24,MATCH($F117,'CFOG'!$B$23:$B$24,0))),"N/A")</f>
        <v/>
      </c>
      <c r="P117" s="52">
        <f>IFERROR(IF(INDEX('ESG'!$M$10:$M$17,MATCH($F117,'ESG'!$B$10:$B$17,0))="","Cell will autofill based on response",INDEX('ESG'!$M$10:$M$17,MATCH($F117,'ESG'!$B$10:$B$17,0))),"N/A")</f>
        <v/>
      </c>
      <c r="Q117" s="52">
        <f>IFERROR(IF(INDEX('CIOG'!$M$10:$M$14,MATCH($F117,'CIOG'!$B$10:$B$14,0))="","Cell will autofill based on response",INDEX('CIOG'!$M$10:$M$14,MATCH($F117,'CIOG'!$B$10:$B$14,0))),"N/A")</f>
        <v/>
      </c>
      <c r="R117" s="52">
        <f>IFERROR(IF(INDEX('MRE'!$M$10:$M$18,MATCH($F117,'MRE'!$B$10:$B$18,0))="","Cell will autofill based on response",INDEX('MRE'!$M$10:$M$18,MATCH($F117,'MRE'!$B$10:$B$18,0))),"N/A")</f>
        <v/>
      </c>
      <c r="S117" s="52">
        <f>IFERROR(IF(INDEX('AC&amp;M'!$M$10:$M$14,MATCH($F117,'AC&amp;M'!$B$10:$B$14,0))="","Cell will autofill based on response",INDEX('AC&amp;M'!$M$10:$M$14,MATCH($F117,'AC&amp;M'!$B$10:$B$14,0))),"N/A")</f>
        <v/>
      </c>
      <c r="T117" s="52">
        <f>IFERROR(IF(INDEX('GCE'!$M$10:$M$12,MATCH($F117,'GCE'!$B$10:$B$12,0))="","Cell will autofill based on response",INDEX('GCE'!$M$10:$M$12,MATCH($F117,'GCE'!$B$10:$B$12,0))),"N/A")</f>
        <v/>
      </c>
      <c r="U117" s="52">
        <f>IFERROR(IF(INDEX('Education'!$M$10:$M$13,MATCH($F117,'Education'!$B$10:$B$13,0))="","Cell will autofill based on response",INDEX('Education'!$M$10:$M$13,MATCH($F117,'Education'!$B$10:$B$13,0))),"N/A")</f>
        <v/>
      </c>
      <c r="V117" s="52">
        <f>IFERROR(IF(INDEX('SaSS'!$M$10:$M$12,MATCH($F117,'SaSS'!$B$10:$B$12,0))="","Cell will autofill based on response",INDEX('SaSS'!$M$10:$M$12,MATCH($F117,'SaSS'!$B$10:$B$12,0))),"N/A")</f>
        <v/>
      </c>
      <c r="W117" s="52">
        <f>IFERROR(IF(INDEX('Indigenous'!$M$10:$M$11,MATCH($F117,'Indigenous'!$B$10:$B$11,0))="","Cell will autofill based on response",INDEX('Indigenous'!$M$10:$M$11,MATCH($F117,'Indigenous'!$B$10:$B$11,0))),"N/A")</f>
        <v/>
      </c>
      <c r="X117" s="52">
        <f>IFERROR(IF(INDEX('L&amp;R'!$M$10:$M$11,MATCH($F117,'L&amp;R'!$B$10:$B$11,0))="","Cell will autofill based on response",INDEX('L&amp;R'!$M$10:$M$11,MATCH($F117,'L&amp;R'!$B$10:$B$11,0))),"N/A")</f>
        <v/>
      </c>
    </row>
    <row r="118">
      <c r="A118">
        <f>F118&amp;"|"&amp;G118</f>
        <v/>
      </c>
      <c r="B118" s="13" t="inlineStr"/>
      <c r="C118" s="8" t="inlineStr"/>
      <c r="D118" s="8" t="inlineStr"/>
      <c r="E118" s="8" t="inlineStr"/>
      <c r="F118" s="8" t="inlineStr">
        <is>
          <t>NB1(d)</t>
        </is>
      </c>
      <c r="G118" s="8" t="inlineStr">
        <is>
          <t>Supporting information/comments</t>
        </is>
      </c>
      <c r="H118" s="52">
        <f>IFERROR(IF(INDEX('Faculties'!$N$10:$N$19,MATCH($F118,'Faculties'!$B$10:$B$19,0))="","Cell will autofill based on response",INDEX('Faculties'!$N$10:$N$19,MATCH($F118,'Faculties'!$B$10:$B$19,0))),"N/A")</f>
        <v/>
      </c>
      <c r="I118" s="52">
        <f>IFERROR(IF(INDEX('Faculties'!$N$26:$N$35,MATCH($F118,'Faculties'!$B$26:$B$35,0))="","Cell will autofill based on response",INDEX('Faculties'!$N$26:$N$35,MATCH($F118,'Faculties'!$B$26:$B$35,0))),"N/A")</f>
        <v/>
      </c>
      <c r="J118" s="52">
        <f>IFERROR(IF(INDEX('Faculties'!$N$42:$N$51,MATCH($F118,'Faculties'!$B$42:$B$51,0))="","Cell will autofill based on response",INDEX('Faculties'!$N$42:$N$51,MATCH($F118,'Faculties'!$B$42:$B$51,0))),"N/A")</f>
        <v/>
      </c>
      <c r="K118" s="52">
        <f>IFERROR(IF(INDEX('Faculties'!$N$58:$N$67,MATCH($F118,'Faculties'!$B$58:$B$67,0))="","Cell will autofill based on response",INDEX('Faculties'!$N$58:$N$67,MATCH($F118,'Faculties'!$B$58:$B$67,0))),"N/A")</f>
        <v/>
      </c>
      <c r="L118" s="52">
        <f>IFERROR(IF(INDEX('CI&amp;S'!$N$10:$N$15,MATCH($F118,'CI&amp;S'!$B$10:$B$15,0))="","Cell will autofill based on response",INDEX('CI&amp;S'!$N$10:$N$15,MATCH($F118,'CI&amp;S'!$B$10:$B$15,0))),"N/A")</f>
        <v/>
      </c>
      <c r="M118" s="52">
        <f>IFERROR(IF(INDEX('CI&amp;S'!$N$22:$N$36,MATCH($F118,'CI&amp;S'!$B$22:$B$36,0))="","Cell will autofill based on response",INDEX('CI&amp;S'!$N$22:$N$36,MATCH($F118,'CI&amp;S'!$B$22:$B$36,0))),"N/A")</f>
        <v/>
      </c>
      <c r="N118" s="52">
        <f>IFERROR(IF(INDEX('CFOG'!$N$10:$N$16,MATCH($F118,'CFOG'!$B$10:$B$16,0))="","Cell will autofill based on response",INDEX('CFOG'!$N$10:$N$16,MATCH($F118,'CFOG'!$B$10:$B$16,0))),"N/A")</f>
        <v/>
      </c>
      <c r="O118" s="52">
        <f>IFERROR(IF(INDEX('CFOG'!$N$23:$N$24,MATCH($F118,'CFOG'!$B$23:$B$24,0))="","Cell will autofill based on response",INDEX('CFOG'!$N$23:$N$24,MATCH($F118,'CFOG'!$B$23:$B$24,0))),"N/A")</f>
        <v/>
      </c>
      <c r="P118" s="52">
        <f>IFERROR(IF(INDEX('ESG'!$N$10:$N$17,MATCH($F118,'ESG'!$B$10:$B$17,0))="","Cell will autofill based on response",INDEX('ESG'!$N$10:$N$17,MATCH($F118,'ESG'!$B$10:$B$17,0))),"N/A")</f>
        <v/>
      </c>
      <c r="Q118" s="52">
        <f>IFERROR(IF(INDEX('CIOG'!$N$10:$N$14,MATCH($F118,'CIOG'!$B$10:$B$14,0))="","Cell will autofill based on response",INDEX('CIOG'!$N$10:$N$14,MATCH($F118,'CIOG'!$B$10:$B$14,0))),"N/A")</f>
        <v/>
      </c>
      <c r="R118" s="52">
        <f>IFERROR(IF(INDEX('MRE'!$N$10:$N$18,MATCH($F118,'MRE'!$B$10:$B$18,0))="","Cell will autofill based on response",INDEX('MRE'!$N$10:$N$18,MATCH($F118,'MRE'!$B$10:$B$18,0))),"N/A")</f>
        <v/>
      </c>
      <c r="S118" s="52">
        <f>IFERROR(IF(INDEX('AC&amp;M'!$N$10:$N$14,MATCH($F118,'AC&amp;M'!$B$10:$B$14,0))="","Cell will autofill based on response",INDEX('AC&amp;M'!$N$10:$N$14,MATCH($F118,'AC&amp;M'!$B$10:$B$14,0))),"N/A")</f>
        <v/>
      </c>
      <c r="T118" s="52">
        <f>IFERROR(IF(INDEX('GCE'!$N$10:$N$12,MATCH($F118,'GCE'!$B$10:$B$12,0))="","Cell will autofill based on response",INDEX('GCE'!$N$10:$N$12,MATCH($F118,'GCE'!$B$10:$B$12,0))),"N/A")</f>
        <v/>
      </c>
      <c r="U118" s="52">
        <f>IFERROR(IF(INDEX('Education'!$N$10:$N$13,MATCH($F118,'Education'!$B$10:$B$13,0))="","Cell will autofill based on response",INDEX('Education'!$N$10:$N$13,MATCH($F118,'Education'!$B$10:$B$13,0))),"N/A")</f>
        <v/>
      </c>
      <c r="V118" s="52">
        <f>IFERROR(IF(INDEX('SaSS'!$N$10:$N$12,MATCH($F118,'SaSS'!$B$10:$B$12,0))="","Cell will autofill based on response",INDEX('SaSS'!$N$10:$N$12,MATCH($F118,'SaSS'!$B$10:$B$12,0))),"N/A")</f>
        <v/>
      </c>
      <c r="W118" s="52">
        <f>IFERROR(IF(INDEX('Indigenous'!$N$10:$N$11,MATCH($F118,'Indigenous'!$B$10:$B$11,0))="","Cell will autofill based on response",INDEX('Indigenous'!$N$10:$N$11,MATCH($F118,'Indigenous'!$B$10:$B$11,0))),"N/A")</f>
        <v/>
      </c>
      <c r="X118" s="52">
        <f>IFERROR(IF(INDEX('L&amp;R'!$N$10:$N$11,MATCH($F118,'L&amp;R'!$B$10:$B$11,0))="","Cell will autofill based on response",INDEX('L&amp;R'!$N$10:$N$11,MATCH($F118,'L&amp;R'!$B$10:$B$11,0))),"N/A")</f>
        <v/>
      </c>
    </row>
    <row r="119">
      <c r="A119">
        <f>F119&amp;"|"&amp;G119</f>
        <v/>
      </c>
      <c r="B119" s="13" t="inlineStr"/>
      <c r="C119" s="8" t="inlineStr"/>
      <c r="D119" s="8" t="inlineStr"/>
      <c r="E119" s="8" t="inlineStr"/>
      <c r="F119" s="8" t="inlineStr">
        <is>
          <t>NB1(d)</t>
        </is>
      </c>
      <c r="G119" s="8" t="inlineStr">
        <is>
          <t>Data source and limitations</t>
        </is>
      </c>
      <c r="H119" s="52">
        <f>IFERROR(IF(INDEX('Faculties'!$O$10:$O$19,MATCH($F119,'Faculties'!$B$10:$B$19,0))="","Cell will autofill based on response",INDEX('Faculties'!$O$10:$O$19,MATCH($F119,'Faculties'!$B$10:$B$19,0))),"N/A")</f>
        <v/>
      </c>
      <c r="I119" s="52">
        <f>IFERROR(IF(INDEX('Faculties'!$O$26:$O$35,MATCH($F119,'Faculties'!$B$26:$B$35,0))="","Cell will autofill based on response",INDEX('Faculties'!$O$26:$O$35,MATCH($F119,'Faculties'!$B$26:$B$35,0))),"N/A")</f>
        <v/>
      </c>
      <c r="J119" s="52">
        <f>IFERROR(IF(INDEX('Faculties'!$O$42:$O$51,MATCH($F119,'Faculties'!$B$42:$B$51,0))="","Cell will autofill based on response",INDEX('Faculties'!$O$42:$O$51,MATCH($F119,'Faculties'!$B$42:$B$51,0))),"N/A")</f>
        <v/>
      </c>
      <c r="K119" s="52">
        <f>IFERROR(IF(INDEX('Faculties'!$O$58:$O$67,MATCH($F119,'Faculties'!$B$58:$B$67,0))="","Cell will autofill based on response",INDEX('Faculties'!$O$58:$O$67,MATCH($F119,'Faculties'!$B$58:$B$67,0))),"N/A")</f>
        <v/>
      </c>
      <c r="L119" s="52">
        <f>IFERROR(IF(INDEX('CI&amp;S'!$O$10:$O$15,MATCH($F119,'CI&amp;S'!$B$10:$B$15,0))="","Cell will autofill based on response",INDEX('CI&amp;S'!$O$10:$O$15,MATCH($F119,'CI&amp;S'!$B$10:$B$15,0))),"N/A")</f>
        <v/>
      </c>
      <c r="M119" s="52">
        <f>IFERROR(IF(INDEX('CI&amp;S'!$O$22:$O$36,MATCH($F119,'CI&amp;S'!$B$22:$B$36,0))="","Cell will autofill based on response",INDEX('CI&amp;S'!$O$22:$O$36,MATCH($F119,'CI&amp;S'!$B$22:$B$36,0))),"N/A")</f>
        <v/>
      </c>
      <c r="N119" s="52">
        <f>IFERROR(IF(INDEX('CFOG'!$O$10:$O$16,MATCH($F119,'CFOG'!$B$10:$B$16,0))="","Cell will autofill based on response",INDEX('CFOG'!$O$10:$O$16,MATCH($F119,'CFOG'!$B$10:$B$16,0))),"N/A")</f>
        <v/>
      </c>
      <c r="O119" s="52">
        <f>IFERROR(IF(INDEX('CFOG'!$O$23:$O$24,MATCH($F119,'CFOG'!$B$23:$B$24,0))="","Cell will autofill based on response",INDEX('CFOG'!$O$23:$O$24,MATCH($F119,'CFOG'!$B$23:$B$24,0))),"N/A")</f>
        <v/>
      </c>
      <c r="P119" s="52">
        <f>IFERROR(IF(INDEX('ESG'!$O$10:$O$17,MATCH($F119,'ESG'!$B$10:$B$17,0))="","Cell will autofill based on response",INDEX('ESG'!$O$10:$O$17,MATCH($F119,'ESG'!$B$10:$B$17,0))),"N/A")</f>
        <v/>
      </c>
      <c r="Q119" s="52">
        <f>IFERROR(IF(INDEX('CIOG'!$O$10:$O$14,MATCH($F119,'CIOG'!$B$10:$B$14,0))="","Cell will autofill based on response",INDEX('CIOG'!$O$10:$O$14,MATCH($F119,'CIOG'!$B$10:$B$14,0))),"N/A")</f>
        <v/>
      </c>
      <c r="R119" s="52">
        <f>IFERROR(IF(INDEX('MRE'!$O$10:$O$18,MATCH($F119,'MRE'!$B$10:$B$18,0))="","Cell will autofill based on response",INDEX('MRE'!$O$10:$O$18,MATCH($F119,'MRE'!$B$10:$B$18,0))),"N/A")</f>
        <v/>
      </c>
      <c r="S119" s="52">
        <f>IFERROR(IF(INDEX('AC&amp;M'!$O$10:$O$14,MATCH($F119,'AC&amp;M'!$B$10:$B$14,0))="","Cell will autofill based on response",INDEX('AC&amp;M'!$O$10:$O$14,MATCH($F119,'AC&amp;M'!$B$10:$B$14,0))),"N/A")</f>
        <v/>
      </c>
      <c r="T119" s="52">
        <f>IFERROR(IF(INDEX('GCE'!$O$10:$O$12,MATCH($F119,'GCE'!$B$10:$B$12,0))="","Cell will autofill based on response",INDEX('GCE'!$O$10:$O$12,MATCH($F119,'GCE'!$B$10:$B$12,0))),"N/A")</f>
        <v/>
      </c>
      <c r="U119" s="52">
        <f>IFERROR(IF(INDEX('Education'!$O$10:$O$13,MATCH($F119,'Education'!$B$10:$B$13,0))="","Cell will autofill based on response",INDEX('Education'!$O$10:$O$13,MATCH($F119,'Education'!$B$10:$B$13,0))),"N/A")</f>
        <v/>
      </c>
      <c r="V119" s="52">
        <f>IFERROR(IF(INDEX('SaSS'!$O$10:$O$12,MATCH($F119,'SaSS'!$B$10:$B$12,0))="","Cell will autofill based on response",INDEX('SaSS'!$O$10:$O$12,MATCH($F119,'SaSS'!$B$10:$B$12,0))),"N/A")</f>
        <v/>
      </c>
      <c r="W119" s="52">
        <f>IFERROR(IF(INDEX('Indigenous'!$O$10:$O$11,MATCH($F119,'Indigenous'!$B$10:$B$11,0))="","Cell will autofill based on response",INDEX('Indigenous'!$O$10:$O$11,MATCH($F119,'Indigenous'!$B$10:$B$11,0))),"N/A")</f>
        <v/>
      </c>
      <c r="X119" s="52">
        <f>IFERROR(IF(INDEX('L&amp;R'!$O$10:$O$11,MATCH($F119,'L&amp;R'!$B$10:$B$11,0))="","Cell will autofill based on response",INDEX('L&amp;R'!$O$10:$O$11,MATCH($F119,'L&amp;R'!$B$10:$B$11,0))),"N/A")</f>
        <v/>
      </c>
    </row>
    <row r="120">
      <c r="A120">
        <f>F120&amp;"|"&amp;G120</f>
        <v/>
      </c>
      <c r="B120" s="13" t="inlineStr"/>
      <c r="C120" s="8" t="inlineStr"/>
      <c r="D120" s="8" t="inlineStr"/>
      <c r="E120" s="8" t="inlineStr"/>
      <c r="F120" s="8" t="inlineStr">
        <is>
          <t>NB1(d)</t>
        </is>
      </c>
      <c r="G120" s="8" t="inlineStr">
        <is>
          <t>Data owner confirms</t>
        </is>
      </c>
      <c r="H120" s="52">
        <f>IFERROR(IF(INDEX('Faculties'!$P$10:$P$19,MATCH($F120,'Faculties'!$B$10:$B$19,0))="","Cell will autofill based on response",INDEX('Faculties'!$P$10:$P$19,MATCH($F120,'Faculties'!$B$10:$B$19,0))),"N/A")</f>
        <v/>
      </c>
      <c r="I120" s="52">
        <f>IFERROR(IF(INDEX('Faculties'!$P$26:$P$35,MATCH($F120,'Faculties'!$B$26:$B$35,0))="","Cell will autofill based on response",INDEX('Faculties'!$P$26:$P$35,MATCH($F120,'Faculties'!$B$26:$B$35,0))),"N/A")</f>
        <v/>
      </c>
      <c r="J120" s="52">
        <f>IFERROR(IF(INDEX('Faculties'!$P$42:$P$51,MATCH($F120,'Faculties'!$B$42:$B$51,0))="","Cell will autofill based on response",INDEX('Faculties'!$P$42:$P$51,MATCH($F120,'Faculties'!$B$42:$B$51,0))),"N/A")</f>
        <v/>
      </c>
      <c r="K120" s="52">
        <f>IFERROR(IF(INDEX('Faculties'!$P$58:$P$67,MATCH($F120,'Faculties'!$B$58:$B$67,0))="","Cell will autofill based on response",INDEX('Faculties'!$P$58:$P$67,MATCH($F120,'Faculties'!$B$58:$B$67,0))),"N/A")</f>
        <v/>
      </c>
      <c r="L120" s="52">
        <f>IFERROR(IF(INDEX('CI&amp;S'!$P$10:$P$15,MATCH($F120,'CI&amp;S'!$B$10:$B$15,0))="","Cell will autofill based on response",INDEX('CI&amp;S'!$P$10:$P$15,MATCH($F120,'CI&amp;S'!$B$10:$B$15,0))),"N/A")</f>
        <v/>
      </c>
      <c r="M120" s="52">
        <f>IFERROR(IF(INDEX('CI&amp;S'!$P$22:$P$36,MATCH($F120,'CI&amp;S'!$B$22:$B$36,0))="","Cell will autofill based on response",INDEX('CI&amp;S'!$P$22:$P$36,MATCH($F120,'CI&amp;S'!$B$22:$B$36,0))),"N/A")</f>
        <v/>
      </c>
      <c r="N120" s="52">
        <f>IFERROR(IF(INDEX('CFOG'!$P$10:$P$16,MATCH($F120,'CFOG'!$B$10:$B$16,0))="","Cell will autofill based on response",INDEX('CFOG'!$P$10:$P$16,MATCH($F120,'CFOG'!$B$10:$B$16,0))),"N/A")</f>
        <v/>
      </c>
      <c r="O120" s="52">
        <f>IFERROR(IF(INDEX('CFOG'!$P$23:$P$24,MATCH($F120,'CFOG'!$B$23:$B$24,0))="","Cell will autofill based on response",INDEX('CFOG'!$P$23:$P$24,MATCH($F120,'CFOG'!$B$23:$B$24,0))),"N/A")</f>
        <v/>
      </c>
      <c r="P120" s="52">
        <f>IFERROR(IF(INDEX('ESG'!$P$10:$P$17,MATCH($F120,'ESG'!$B$10:$B$17,0))="","Cell will autofill based on response",INDEX('ESG'!$P$10:$P$17,MATCH($F120,'ESG'!$B$10:$B$17,0))),"N/A")</f>
        <v/>
      </c>
      <c r="Q120" s="52">
        <f>IFERROR(IF(INDEX('CIOG'!$P$10:$P$14,MATCH($F120,'CIOG'!$B$10:$B$14,0))="","Cell will autofill based on response",INDEX('CIOG'!$P$10:$P$14,MATCH($F120,'CIOG'!$B$10:$B$14,0))),"N/A")</f>
        <v/>
      </c>
      <c r="R120" s="52">
        <f>IFERROR(IF(INDEX('MRE'!$P$10:$P$18,MATCH($F120,'MRE'!$B$10:$B$18,0))="","Cell will autofill based on response",INDEX('MRE'!$P$10:$P$18,MATCH($F120,'MRE'!$B$10:$B$18,0))),"N/A")</f>
        <v/>
      </c>
      <c r="S120" s="52">
        <f>IFERROR(IF(INDEX('AC&amp;M'!$P$10:$P$14,MATCH($F120,'AC&amp;M'!$B$10:$B$14,0))="","Cell will autofill based on response",INDEX('AC&amp;M'!$P$10:$P$14,MATCH($F120,'AC&amp;M'!$B$10:$B$14,0))),"N/A")</f>
        <v/>
      </c>
      <c r="T120" s="52">
        <f>IFERROR(IF(INDEX('GCE'!$P$10:$P$12,MATCH($F120,'GCE'!$B$10:$B$12,0))="","Cell will autofill based on response",INDEX('GCE'!$P$10:$P$12,MATCH($F120,'GCE'!$B$10:$B$12,0))),"N/A")</f>
        <v/>
      </c>
      <c r="U120" s="52">
        <f>IFERROR(IF(INDEX('Education'!$P$10:$P$13,MATCH($F120,'Education'!$B$10:$B$13,0))="","Cell will autofill based on response",INDEX('Education'!$P$10:$P$13,MATCH($F120,'Education'!$B$10:$B$13,0))),"N/A")</f>
        <v/>
      </c>
      <c r="V120" s="52">
        <f>IFERROR(IF(INDEX('SaSS'!$P$10:$P$12,MATCH($F120,'SaSS'!$B$10:$B$12,0))="","Cell will autofill based on response",INDEX('SaSS'!$P$10:$P$12,MATCH($F120,'SaSS'!$B$10:$B$12,0))),"N/A")</f>
        <v/>
      </c>
      <c r="W120" s="52">
        <f>IFERROR(IF(INDEX('Indigenous'!$P$10:$P$11,MATCH($F120,'Indigenous'!$B$10:$B$11,0))="","Cell will autofill based on response",INDEX('Indigenous'!$P$10:$P$11,MATCH($F120,'Indigenous'!$B$10:$B$11,0))),"N/A")</f>
        <v/>
      </c>
      <c r="X120" s="52">
        <f>IFERROR(IF(INDEX('L&amp;R'!$P$10:$P$11,MATCH($F120,'L&amp;R'!$B$10:$B$11,0))="","Cell will autofill based on response",INDEX('L&amp;R'!$P$10:$P$11,MATCH($F120,'L&amp;R'!$B$10:$B$11,0))),"N/A")</f>
        <v/>
      </c>
    </row>
    <row r="121">
      <c r="A121">
        <f>F121&amp;"|"&amp;G121</f>
        <v/>
      </c>
      <c r="B121" s="7" t="inlineStr">
        <is>
          <t>NB2(a)</t>
        </is>
      </c>
      <c r="C121" s="50" t="inlineStr">
        <is>
          <t>Nature and biodiversity</t>
        </is>
      </c>
      <c r="D121" s="50" t="inlineStr">
        <is>
          <t>Documented baseline nature footprint analysis</t>
        </is>
      </c>
      <c r="E121" s="50" t="inlineStr">
        <is>
          <t>Impact Encore Measurement</t>
        </is>
      </c>
      <c r="F121" s="50" t="inlineStr">
        <is>
          <t>NB2(a)</t>
        </is>
      </c>
      <c r="G121" s="50" t="inlineStr">
        <is>
          <t>OPTION 1:  Target-level reporting</t>
        </is>
      </c>
      <c r="H121" s="52">
        <f>IFERROR(IF(INDEX('Faculties'!$L$10:$L$19,MATCH($F121,'Faculties'!$B$10:$B$19,0))="","Cell will autofill based on response",INDEX('Faculties'!$L$10:$L$19,MATCH($F121,'Faculties'!$B$10:$B$19,0))),"N/A")</f>
        <v/>
      </c>
      <c r="I121" s="52">
        <f>IFERROR(IF(INDEX('Faculties'!$L$26:$L$35,MATCH($F121,'Faculties'!$B$26:$B$35,0))="","Cell will autofill based on response",INDEX('Faculties'!$L$26:$L$35,MATCH($F121,'Faculties'!$B$26:$B$35,0))),"N/A")</f>
        <v/>
      </c>
      <c r="J121" s="52">
        <f>IFERROR(IF(INDEX('Faculties'!$L$42:$L$51,MATCH($F121,'Faculties'!$B$42:$B$51,0))="","Cell will autofill based on response",INDEX('Faculties'!$L$42:$L$51,MATCH($F121,'Faculties'!$B$42:$B$51,0))),"N/A")</f>
        <v/>
      </c>
      <c r="K121" s="52">
        <f>IFERROR(IF(INDEX('Faculties'!$L$58:$L$67,MATCH($F121,'Faculties'!$B$58:$B$67,0))="","Cell will autofill based on response",INDEX('Faculties'!$L$58:$L$67,MATCH($F121,'Faculties'!$B$58:$B$67,0))),"N/A")</f>
        <v/>
      </c>
      <c r="L121" s="52">
        <f>IFERROR(IF(INDEX('CI&amp;S'!$L$10:$L$15,MATCH($F121,'CI&amp;S'!$B$10:$B$15,0))="","Cell will autofill based on response",INDEX('CI&amp;S'!$L$10:$L$15,MATCH($F121,'CI&amp;S'!$B$10:$B$15,0))),"N/A")</f>
        <v/>
      </c>
      <c r="M121" s="52">
        <f>IFERROR(IF(INDEX('CI&amp;S'!$L$22:$L$36,MATCH($F121,'CI&amp;S'!$B$22:$B$36,0))="","Cell will autofill based on response",INDEX('CI&amp;S'!$L$22:$L$36,MATCH($F121,'CI&amp;S'!$B$22:$B$36,0))),"N/A")</f>
        <v/>
      </c>
      <c r="N121" s="52">
        <f>IFERROR(IF(INDEX('CFOG'!$L$10:$L$16,MATCH($F121,'CFOG'!$B$10:$B$16,0))="","Cell will autofill based on response",INDEX('CFOG'!$L$10:$L$16,MATCH($F121,'CFOG'!$B$10:$B$16,0))),"N/A")</f>
        <v/>
      </c>
      <c r="O121" s="52">
        <f>IFERROR(IF(INDEX('CFOG'!$L$23:$L$24,MATCH($F121,'CFOG'!$B$23:$B$24,0))="","Cell will autofill based on response",INDEX('CFOG'!$L$23:$L$24,MATCH($F121,'CFOG'!$B$23:$B$24,0))),"N/A")</f>
        <v/>
      </c>
      <c r="P121" s="52">
        <f>IFERROR(IF(INDEX('ESG'!$L$10:$L$17,MATCH($F121,'ESG'!$B$10:$B$17,0))="","Cell will autofill based on response",INDEX('ESG'!$L$10:$L$17,MATCH($F121,'ESG'!$B$10:$B$17,0))),"N/A")</f>
        <v/>
      </c>
      <c r="Q121" s="52">
        <f>IFERROR(IF(INDEX('CIOG'!$L$10:$L$14,MATCH($F121,'CIOG'!$B$10:$B$14,0))="","Cell will autofill based on response",INDEX('CIOG'!$L$10:$L$14,MATCH($F121,'CIOG'!$B$10:$B$14,0))),"N/A")</f>
        <v/>
      </c>
      <c r="R121" s="52">
        <f>IFERROR(IF(INDEX('MRE'!$L$10:$L$18,MATCH($F121,'MRE'!$B$10:$B$18,0))="","Cell will autofill based on response",INDEX('MRE'!$L$10:$L$18,MATCH($F121,'MRE'!$B$10:$B$18,0))),"N/A")</f>
        <v/>
      </c>
      <c r="S121" s="52">
        <f>IFERROR(IF(INDEX('AC&amp;M'!$L$10:$L$14,MATCH($F121,'AC&amp;M'!$B$10:$B$14,0))="","Cell will autofill based on response",INDEX('AC&amp;M'!$L$10:$L$14,MATCH($F121,'AC&amp;M'!$B$10:$B$14,0))),"N/A")</f>
        <v/>
      </c>
      <c r="T121" s="52">
        <f>IFERROR(IF(INDEX('GCE'!$L$10:$L$12,MATCH($F121,'GCE'!$B$10:$B$12,0))="","Cell will autofill based on response",INDEX('GCE'!$L$10:$L$12,MATCH($F121,'GCE'!$B$10:$B$12,0))),"N/A")</f>
        <v/>
      </c>
      <c r="U121" s="52">
        <f>IFERROR(IF(INDEX('Education'!$L$10:$L$13,MATCH($F121,'Education'!$B$10:$B$13,0))="","Cell will autofill based on response",INDEX('Education'!$L$10:$L$13,MATCH($F121,'Education'!$B$10:$B$13,0))),"N/A")</f>
        <v/>
      </c>
      <c r="V121" s="52">
        <f>IFERROR(IF(INDEX('SaSS'!$L$10:$L$12,MATCH($F121,'SaSS'!$B$10:$B$12,0))="","Cell will autofill based on response",INDEX('SaSS'!$L$10:$L$12,MATCH($F121,'SaSS'!$B$10:$B$12,0))),"N/A")</f>
        <v/>
      </c>
      <c r="W121" s="52">
        <f>IFERROR(IF(INDEX('Indigenous'!$L$10:$L$11,MATCH($F121,'Indigenous'!$B$10:$B$11,0))="","Cell will autofill based on response",INDEX('Indigenous'!$L$10:$L$11,MATCH($F121,'Indigenous'!$B$10:$B$11,0))),"N/A")</f>
        <v/>
      </c>
      <c r="X121" s="52">
        <f>IFERROR(IF(INDEX('L&amp;R'!$L$10:$L$11,MATCH($F121,'L&amp;R'!$B$10:$B$11,0))="","Cell will autofill based on response",INDEX('L&amp;R'!$L$10:$L$11,MATCH($F121,'L&amp;R'!$B$10:$B$11,0))),"N/A")</f>
        <v/>
      </c>
      <c r="Z121" s="10">
        <f>SUMPRODUCT(--($H121:$X121&lt;&gt;"N/A"))</f>
        <v/>
      </c>
      <c r="AA121" s="10">
        <f>SUMPRODUCT(--(((($H121:$X121&lt;&gt;"N/A")*($H121:$X121&lt;&gt;"Cell will autofill based on response"))+(($H122:$X122&lt;&gt;"N/A")*($H122:$X122&lt;&gt;"Cell will autofill based on response")))&gt;0))</f>
        <v/>
      </c>
      <c r="AB121" s="10">
        <f>Z121-AA121</f>
        <v/>
      </c>
      <c r="AC121" s="10">
        <f>COUNTIF($H125:$X125,"Yes")</f>
        <v/>
      </c>
    </row>
    <row r="122">
      <c r="A122">
        <f>F122&amp;"|"&amp;G122</f>
        <v/>
      </c>
      <c r="B122" s="13" t="inlineStr"/>
      <c r="C122" s="8" t="inlineStr"/>
      <c r="D122" s="8" t="inlineStr"/>
      <c r="E122" s="8" t="inlineStr"/>
      <c r="F122" s="8" t="inlineStr">
        <is>
          <t>NB2(a)</t>
        </is>
      </c>
      <c r="G122" s="8" t="inlineStr">
        <is>
          <t>OPTION 2:  Indicator level reporting</t>
        </is>
      </c>
      <c r="H122" s="52">
        <f>IFERROR(IF(INDEX('Faculties'!$M$10:$M$19,MATCH($F122,'Faculties'!$B$10:$B$19,0))="","Cell will autofill based on response",INDEX('Faculties'!$M$10:$M$19,MATCH($F122,'Faculties'!$B$10:$B$19,0))),"N/A")</f>
        <v/>
      </c>
      <c r="I122" s="52">
        <f>IFERROR(IF(INDEX('Faculties'!$M$26:$M$35,MATCH($F122,'Faculties'!$B$26:$B$35,0))="","Cell will autofill based on response",INDEX('Faculties'!$M$26:$M$35,MATCH($F122,'Faculties'!$B$26:$B$35,0))),"N/A")</f>
        <v/>
      </c>
      <c r="J122" s="52">
        <f>IFERROR(IF(INDEX('Faculties'!$M$42:$M$51,MATCH($F122,'Faculties'!$B$42:$B$51,0))="","Cell will autofill based on response",INDEX('Faculties'!$M$42:$M$51,MATCH($F122,'Faculties'!$B$42:$B$51,0))),"N/A")</f>
        <v/>
      </c>
      <c r="K122" s="52">
        <f>IFERROR(IF(INDEX('Faculties'!$M$58:$M$67,MATCH($F122,'Faculties'!$B$58:$B$67,0))="","Cell will autofill based on response",INDEX('Faculties'!$M$58:$M$67,MATCH($F122,'Faculties'!$B$58:$B$67,0))),"N/A")</f>
        <v/>
      </c>
      <c r="L122" s="52">
        <f>IFERROR(IF(INDEX('CI&amp;S'!$M$10:$M$15,MATCH($F122,'CI&amp;S'!$B$10:$B$15,0))="","Cell will autofill based on response",INDEX('CI&amp;S'!$M$10:$M$15,MATCH($F122,'CI&amp;S'!$B$10:$B$15,0))),"N/A")</f>
        <v/>
      </c>
      <c r="M122" s="52">
        <f>IFERROR(IF(INDEX('CI&amp;S'!$M$22:$M$36,MATCH($F122,'CI&amp;S'!$B$22:$B$36,0))="","Cell will autofill based on response",INDEX('CI&amp;S'!$M$22:$M$36,MATCH($F122,'CI&amp;S'!$B$22:$B$36,0))),"N/A")</f>
        <v/>
      </c>
      <c r="N122" s="52">
        <f>IFERROR(IF(INDEX('CFOG'!$M$10:$M$16,MATCH($F122,'CFOG'!$B$10:$B$16,0))="","Cell will autofill based on response",INDEX('CFOG'!$M$10:$M$16,MATCH($F122,'CFOG'!$B$10:$B$16,0))),"N/A")</f>
        <v/>
      </c>
      <c r="O122" s="52">
        <f>IFERROR(IF(INDEX('CFOG'!$M$23:$M$24,MATCH($F122,'CFOG'!$B$23:$B$24,0))="","Cell will autofill based on response",INDEX('CFOG'!$M$23:$M$24,MATCH($F122,'CFOG'!$B$23:$B$24,0))),"N/A")</f>
        <v/>
      </c>
      <c r="P122" s="52">
        <f>IFERROR(IF(INDEX('ESG'!$M$10:$M$17,MATCH($F122,'ESG'!$B$10:$B$17,0))="","Cell will autofill based on response",INDEX('ESG'!$M$10:$M$17,MATCH($F122,'ESG'!$B$10:$B$17,0))),"N/A")</f>
        <v/>
      </c>
      <c r="Q122" s="52">
        <f>IFERROR(IF(INDEX('CIOG'!$M$10:$M$14,MATCH($F122,'CIOG'!$B$10:$B$14,0))="","Cell will autofill based on response",INDEX('CIOG'!$M$10:$M$14,MATCH($F122,'CIOG'!$B$10:$B$14,0))),"N/A")</f>
        <v/>
      </c>
      <c r="R122" s="52">
        <f>IFERROR(IF(INDEX('MRE'!$M$10:$M$18,MATCH($F122,'MRE'!$B$10:$B$18,0))="","Cell will autofill based on response",INDEX('MRE'!$M$10:$M$18,MATCH($F122,'MRE'!$B$10:$B$18,0))),"N/A")</f>
        <v/>
      </c>
      <c r="S122" s="52">
        <f>IFERROR(IF(INDEX('AC&amp;M'!$M$10:$M$14,MATCH($F122,'AC&amp;M'!$B$10:$B$14,0))="","Cell will autofill based on response",INDEX('AC&amp;M'!$M$10:$M$14,MATCH($F122,'AC&amp;M'!$B$10:$B$14,0))),"N/A")</f>
        <v/>
      </c>
      <c r="T122" s="52">
        <f>IFERROR(IF(INDEX('GCE'!$M$10:$M$12,MATCH($F122,'GCE'!$B$10:$B$12,0))="","Cell will autofill based on response",INDEX('GCE'!$M$10:$M$12,MATCH($F122,'GCE'!$B$10:$B$12,0))),"N/A")</f>
        <v/>
      </c>
      <c r="U122" s="52">
        <f>IFERROR(IF(INDEX('Education'!$M$10:$M$13,MATCH($F122,'Education'!$B$10:$B$13,0))="","Cell will autofill based on response",INDEX('Education'!$M$10:$M$13,MATCH($F122,'Education'!$B$10:$B$13,0))),"N/A")</f>
        <v/>
      </c>
      <c r="V122" s="52">
        <f>IFERROR(IF(INDEX('SaSS'!$M$10:$M$12,MATCH($F122,'SaSS'!$B$10:$B$12,0))="","Cell will autofill based on response",INDEX('SaSS'!$M$10:$M$12,MATCH($F122,'SaSS'!$B$10:$B$12,0))),"N/A")</f>
        <v/>
      </c>
      <c r="W122" s="52">
        <f>IFERROR(IF(INDEX('Indigenous'!$M$10:$M$11,MATCH($F122,'Indigenous'!$B$10:$B$11,0))="","Cell will autofill based on response",INDEX('Indigenous'!$M$10:$M$11,MATCH($F122,'Indigenous'!$B$10:$B$11,0))),"N/A")</f>
        <v/>
      </c>
      <c r="X122" s="52">
        <f>IFERROR(IF(INDEX('L&amp;R'!$M$10:$M$11,MATCH($F122,'L&amp;R'!$B$10:$B$11,0))="","Cell will autofill based on response",INDEX('L&amp;R'!$M$10:$M$11,MATCH($F122,'L&amp;R'!$B$10:$B$11,0))),"N/A")</f>
        <v/>
      </c>
    </row>
    <row r="123">
      <c r="A123">
        <f>F123&amp;"|"&amp;G123</f>
        <v/>
      </c>
      <c r="B123" s="13" t="inlineStr"/>
      <c r="C123" s="8" t="inlineStr"/>
      <c r="D123" s="8" t="inlineStr"/>
      <c r="E123" s="8" t="inlineStr"/>
      <c r="F123" s="8" t="inlineStr">
        <is>
          <t>NB2(a)</t>
        </is>
      </c>
      <c r="G123" s="8" t="inlineStr">
        <is>
          <t>Supporting information/comments</t>
        </is>
      </c>
      <c r="H123" s="52">
        <f>IFERROR(IF(INDEX('Faculties'!$N$10:$N$19,MATCH($F123,'Faculties'!$B$10:$B$19,0))="","Cell will autofill based on response",INDEX('Faculties'!$N$10:$N$19,MATCH($F123,'Faculties'!$B$10:$B$19,0))),"N/A")</f>
        <v/>
      </c>
      <c r="I123" s="52">
        <f>IFERROR(IF(INDEX('Faculties'!$N$26:$N$35,MATCH($F123,'Faculties'!$B$26:$B$35,0))="","Cell will autofill based on response",INDEX('Faculties'!$N$26:$N$35,MATCH($F123,'Faculties'!$B$26:$B$35,0))),"N/A")</f>
        <v/>
      </c>
      <c r="J123" s="52">
        <f>IFERROR(IF(INDEX('Faculties'!$N$42:$N$51,MATCH($F123,'Faculties'!$B$42:$B$51,0))="","Cell will autofill based on response",INDEX('Faculties'!$N$42:$N$51,MATCH($F123,'Faculties'!$B$42:$B$51,0))),"N/A")</f>
        <v/>
      </c>
      <c r="K123" s="52">
        <f>IFERROR(IF(INDEX('Faculties'!$N$58:$N$67,MATCH($F123,'Faculties'!$B$58:$B$67,0))="","Cell will autofill based on response",INDEX('Faculties'!$N$58:$N$67,MATCH($F123,'Faculties'!$B$58:$B$67,0))),"N/A")</f>
        <v/>
      </c>
      <c r="L123" s="52">
        <f>IFERROR(IF(INDEX('CI&amp;S'!$N$10:$N$15,MATCH($F123,'CI&amp;S'!$B$10:$B$15,0))="","Cell will autofill based on response",INDEX('CI&amp;S'!$N$10:$N$15,MATCH($F123,'CI&amp;S'!$B$10:$B$15,0))),"N/A")</f>
        <v/>
      </c>
      <c r="M123" s="52">
        <f>IFERROR(IF(INDEX('CI&amp;S'!$N$22:$N$36,MATCH($F123,'CI&amp;S'!$B$22:$B$36,0))="","Cell will autofill based on response",INDEX('CI&amp;S'!$N$22:$N$36,MATCH($F123,'CI&amp;S'!$B$22:$B$36,0))),"N/A")</f>
        <v/>
      </c>
      <c r="N123" s="52">
        <f>IFERROR(IF(INDEX('CFOG'!$N$10:$N$16,MATCH($F123,'CFOG'!$B$10:$B$16,0))="","Cell will autofill based on response",INDEX('CFOG'!$N$10:$N$16,MATCH($F123,'CFOG'!$B$10:$B$16,0))),"N/A")</f>
        <v/>
      </c>
      <c r="O123" s="52">
        <f>IFERROR(IF(INDEX('CFOG'!$N$23:$N$24,MATCH($F123,'CFOG'!$B$23:$B$24,0))="","Cell will autofill based on response",INDEX('CFOG'!$N$23:$N$24,MATCH($F123,'CFOG'!$B$23:$B$24,0))),"N/A")</f>
        <v/>
      </c>
      <c r="P123" s="52">
        <f>IFERROR(IF(INDEX('ESG'!$N$10:$N$17,MATCH($F123,'ESG'!$B$10:$B$17,0))="","Cell will autofill based on response",INDEX('ESG'!$N$10:$N$17,MATCH($F123,'ESG'!$B$10:$B$17,0))),"N/A")</f>
        <v/>
      </c>
      <c r="Q123" s="52">
        <f>IFERROR(IF(INDEX('CIOG'!$N$10:$N$14,MATCH($F123,'CIOG'!$B$10:$B$14,0))="","Cell will autofill based on response",INDEX('CIOG'!$N$10:$N$14,MATCH($F123,'CIOG'!$B$10:$B$14,0))),"N/A")</f>
        <v/>
      </c>
      <c r="R123" s="52">
        <f>IFERROR(IF(INDEX('MRE'!$N$10:$N$18,MATCH($F123,'MRE'!$B$10:$B$18,0))="","Cell will autofill based on response",INDEX('MRE'!$N$10:$N$18,MATCH($F123,'MRE'!$B$10:$B$18,0))),"N/A")</f>
        <v/>
      </c>
      <c r="S123" s="52">
        <f>IFERROR(IF(INDEX('AC&amp;M'!$N$10:$N$14,MATCH($F123,'AC&amp;M'!$B$10:$B$14,0))="","Cell will autofill based on response",INDEX('AC&amp;M'!$N$10:$N$14,MATCH($F123,'AC&amp;M'!$B$10:$B$14,0))),"N/A")</f>
        <v/>
      </c>
      <c r="T123" s="52">
        <f>IFERROR(IF(INDEX('GCE'!$N$10:$N$12,MATCH($F123,'GCE'!$B$10:$B$12,0))="","Cell will autofill based on response",INDEX('GCE'!$N$10:$N$12,MATCH($F123,'GCE'!$B$10:$B$12,0))),"N/A")</f>
        <v/>
      </c>
      <c r="U123" s="52">
        <f>IFERROR(IF(INDEX('Education'!$N$10:$N$13,MATCH($F123,'Education'!$B$10:$B$13,0))="","Cell will autofill based on response",INDEX('Education'!$N$10:$N$13,MATCH($F123,'Education'!$B$10:$B$13,0))),"N/A")</f>
        <v/>
      </c>
      <c r="V123" s="52">
        <f>IFERROR(IF(INDEX('SaSS'!$N$10:$N$12,MATCH($F123,'SaSS'!$B$10:$B$12,0))="","Cell will autofill based on response",INDEX('SaSS'!$N$10:$N$12,MATCH($F123,'SaSS'!$B$10:$B$12,0))),"N/A")</f>
        <v/>
      </c>
      <c r="W123" s="52">
        <f>IFERROR(IF(INDEX('Indigenous'!$N$10:$N$11,MATCH($F123,'Indigenous'!$B$10:$B$11,0))="","Cell will autofill based on response",INDEX('Indigenous'!$N$10:$N$11,MATCH($F123,'Indigenous'!$B$10:$B$11,0))),"N/A")</f>
        <v/>
      </c>
      <c r="X123" s="52">
        <f>IFERROR(IF(INDEX('L&amp;R'!$N$10:$N$11,MATCH($F123,'L&amp;R'!$B$10:$B$11,0))="","Cell will autofill based on response",INDEX('L&amp;R'!$N$10:$N$11,MATCH($F123,'L&amp;R'!$B$10:$B$11,0))),"N/A")</f>
        <v/>
      </c>
    </row>
    <row r="124">
      <c r="A124">
        <f>F124&amp;"|"&amp;G124</f>
        <v/>
      </c>
      <c r="B124" s="13" t="inlineStr"/>
      <c r="C124" s="8" t="inlineStr"/>
      <c r="D124" s="8" t="inlineStr"/>
      <c r="E124" s="8" t="inlineStr"/>
      <c r="F124" s="8" t="inlineStr">
        <is>
          <t>NB2(a)</t>
        </is>
      </c>
      <c r="G124" s="8" t="inlineStr">
        <is>
          <t>Data source and limitations</t>
        </is>
      </c>
      <c r="H124" s="52">
        <f>IFERROR(IF(INDEX('Faculties'!$O$10:$O$19,MATCH($F124,'Faculties'!$B$10:$B$19,0))="","Cell will autofill based on response",INDEX('Faculties'!$O$10:$O$19,MATCH($F124,'Faculties'!$B$10:$B$19,0))),"N/A")</f>
        <v/>
      </c>
      <c r="I124" s="52">
        <f>IFERROR(IF(INDEX('Faculties'!$O$26:$O$35,MATCH($F124,'Faculties'!$B$26:$B$35,0))="","Cell will autofill based on response",INDEX('Faculties'!$O$26:$O$35,MATCH($F124,'Faculties'!$B$26:$B$35,0))),"N/A")</f>
        <v/>
      </c>
      <c r="J124" s="52">
        <f>IFERROR(IF(INDEX('Faculties'!$O$42:$O$51,MATCH($F124,'Faculties'!$B$42:$B$51,0))="","Cell will autofill based on response",INDEX('Faculties'!$O$42:$O$51,MATCH($F124,'Faculties'!$B$42:$B$51,0))),"N/A")</f>
        <v/>
      </c>
      <c r="K124" s="52">
        <f>IFERROR(IF(INDEX('Faculties'!$O$58:$O$67,MATCH($F124,'Faculties'!$B$58:$B$67,0))="","Cell will autofill based on response",INDEX('Faculties'!$O$58:$O$67,MATCH($F124,'Faculties'!$B$58:$B$67,0))),"N/A")</f>
        <v/>
      </c>
      <c r="L124" s="52">
        <f>IFERROR(IF(INDEX('CI&amp;S'!$O$10:$O$15,MATCH($F124,'CI&amp;S'!$B$10:$B$15,0))="","Cell will autofill based on response",INDEX('CI&amp;S'!$O$10:$O$15,MATCH($F124,'CI&amp;S'!$B$10:$B$15,0))),"N/A")</f>
        <v/>
      </c>
      <c r="M124" s="52">
        <f>IFERROR(IF(INDEX('CI&amp;S'!$O$22:$O$36,MATCH($F124,'CI&amp;S'!$B$22:$B$36,0))="","Cell will autofill based on response",INDEX('CI&amp;S'!$O$22:$O$36,MATCH($F124,'CI&amp;S'!$B$22:$B$36,0))),"N/A")</f>
        <v/>
      </c>
      <c r="N124" s="52">
        <f>IFERROR(IF(INDEX('CFOG'!$O$10:$O$16,MATCH($F124,'CFOG'!$B$10:$B$16,0))="","Cell will autofill based on response",INDEX('CFOG'!$O$10:$O$16,MATCH($F124,'CFOG'!$B$10:$B$16,0))),"N/A")</f>
        <v/>
      </c>
      <c r="O124" s="52">
        <f>IFERROR(IF(INDEX('CFOG'!$O$23:$O$24,MATCH($F124,'CFOG'!$B$23:$B$24,0))="","Cell will autofill based on response",INDEX('CFOG'!$O$23:$O$24,MATCH($F124,'CFOG'!$B$23:$B$24,0))),"N/A")</f>
        <v/>
      </c>
      <c r="P124" s="52">
        <f>IFERROR(IF(INDEX('ESG'!$O$10:$O$17,MATCH($F124,'ESG'!$B$10:$B$17,0))="","Cell will autofill based on response",INDEX('ESG'!$O$10:$O$17,MATCH($F124,'ESG'!$B$10:$B$17,0))),"N/A")</f>
        <v/>
      </c>
      <c r="Q124" s="52">
        <f>IFERROR(IF(INDEX('CIOG'!$O$10:$O$14,MATCH($F124,'CIOG'!$B$10:$B$14,0))="","Cell will autofill based on response",INDEX('CIOG'!$O$10:$O$14,MATCH($F124,'CIOG'!$B$10:$B$14,0))),"N/A")</f>
        <v/>
      </c>
      <c r="R124" s="52">
        <f>IFERROR(IF(INDEX('MRE'!$O$10:$O$18,MATCH($F124,'MRE'!$B$10:$B$18,0))="","Cell will autofill based on response",INDEX('MRE'!$O$10:$O$18,MATCH($F124,'MRE'!$B$10:$B$18,0))),"N/A")</f>
        <v/>
      </c>
      <c r="S124" s="52">
        <f>IFERROR(IF(INDEX('AC&amp;M'!$O$10:$O$14,MATCH($F124,'AC&amp;M'!$B$10:$B$14,0))="","Cell will autofill based on response",INDEX('AC&amp;M'!$O$10:$O$14,MATCH($F124,'AC&amp;M'!$B$10:$B$14,0))),"N/A")</f>
        <v/>
      </c>
      <c r="T124" s="52">
        <f>IFERROR(IF(INDEX('GCE'!$O$10:$O$12,MATCH($F124,'GCE'!$B$10:$B$12,0))="","Cell will autofill based on response",INDEX('GCE'!$O$10:$O$12,MATCH($F124,'GCE'!$B$10:$B$12,0))),"N/A")</f>
        <v/>
      </c>
      <c r="U124" s="52">
        <f>IFERROR(IF(INDEX('Education'!$O$10:$O$13,MATCH($F124,'Education'!$B$10:$B$13,0))="","Cell will autofill based on response",INDEX('Education'!$O$10:$O$13,MATCH($F124,'Education'!$B$10:$B$13,0))),"N/A")</f>
        <v/>
      </c>
      <c r="V124" s="52">
        <f>IFERROR(IF(INDEX('SaSS'!$O$10:$O$12,MATCH($F124,'SaSS'!$B$10:$B$12,0))="","Cell will autofill based on response",INDEX('SaSS'!$O$10:$O$12,MATCH($F124,'SaSS'!$B$10:$B$12,0))),"N/A")</f>
        <v/>
      </c>
      <c r="W124" s="52">
        <f>IFERROR(IF(INDEX('Indigenous'!$O$10:$O$11,MATCH($F124,'Indigenous'!$B$10:$B$11,0))="","Cell will autofill based on response",INDEX('Indigenous'!$O$10:$O$11,MATCH($F124,'Indigenous'!$B$10:$B$11,0))),"N/A")</f>
        <v/>
      </c>
      <c r="X124" s="52">
        <f>IFERROR(IF(INDEX('L&amp;R'!$O$10:$O$11,MATCH($F124,'L&amp;R'!$B$10:$B$11,0))="","Cell will autofill based on response",INDEX('L&amp;R'!$O$10:$O$11,MATCH($F124,'L&amp;R'!$B$10:$B$11,0))),"N/A")</f>
        <v/>
      </c>
    </row>
    <row r="125">
      <c r="A125">
        <f>F125&amp;"|"&amp;G125</f>
        <v/>
      </c>
      <c r="B125" s="13" t="inlineStr"/>
      <c r="C125" s="8" t="inlineStr"/>
      <c r="D125" s="8" t="inlineStr"/>
      <c r="E125" s="8" t="inlineStr"/>
      <c r="F125" s="8" t="inlineStr">
        <is>
          <t>NB2(a)</t>
        </is>
      </c>
      <c r="G125" s="8" t="inlineStr">
        <is>
          <t>Data owner confirms</t>
        </is>
      </c>
      <c r="H125" s="52">
        <f>IFERROR(IF(INDEX('Faculties'!$P$10:$P$19,MATCH($F125,'Faculties'!$B$10:$B$19,0))="","Cell will autofill based on response",INDEX('Faculties'!$P$10:$P$19,MATCH($F125,'Faculties'!$B$10:$B$19,0))),"N/A")</f>
        <v/>
      </c>
      <c r="I125" s="52">
        <f>IFERROR(IF(INDEX('Faculties'!$P$26:$P$35,MATCH($F125,'Faculties'!$B$26:$B$35,0))="","Cell will autofill based on response",INDEX('Faculties'!$P$26:$P$35,MATCH($F125,'Faculties'!$B$26:$B$35,0))),"N/A")</f>
        <v/>
      </c>
      <c r="J125" s="52">
        <f>IFERROR(IF(INDEX('Faculties'!$P$42:$P$51,MATCH($F125,'Faculties'!$B$42:$B$51,0))="","Cell will autofill based on response",INDEX('Faculties'!$P$42:$P$51,MATCH($F125,'Faculties'!$B$42:$B$51,0))),"N/A")</f>
        <v/>
      </c>
      <c r="K125" s="52">
        <f>IFERROR(IF(INDEX('Faculties'!$P$58:$P$67,MATCH($F125,'Faculties'!$B$58:$B$67,0))="","Cell will autofill based on response",INDEX('Faculties'!$P$58:$P$67,MATCH($F125,'Faculties'!$B$58:$B$67,0))),"N/A")</f>
        <v/>
      </c>
      <c r="L125" s="52">
        <f>IFERROR(IF(INDEX('CI&amp;S'!$P$10:$P$15,MATCH($F125,'CI&amp;S'!$B$10:$B$15,0))="","Cell will autofill based on response",INDEX('CI&amp;S'!$P$10:$P$15,MATCH($F125,'CI&amp;S'!$B$10:$B$15,0))),"N/A")</f>
        <v/>
      </c>
      <c r="M125" s="52">
        <f>IFERROR(IF(INDEX('CI&amp;S'!$P$22:$P$36,MATCH($F125,'CI&amp;S'!$B$22:$B$36,0))="","Cell will autofill based on response",INDEX('CI&amp;S'!$P$22:$P$36,MATCH($F125,'CI&amp;S'!$B$22:$B$36,0))),"N/A")</f>
        <v/>
      </c>
      <c r="N125" s="52">
        <f>IFERROR(IF(INDEX('CFOG'!$P$10:$P$16,MATCH($F125,'CFOG'!$B$10:$B$16,0))="","Cell will autofill based on response",INDEX('CFOG'!$P$10:$P$16,MATCH($F125,'CFOG'!$B$10:$B$16,0))),"N/A")</f>
        <v/>
      </c>
      <c r="O125" s="52">
        <f>IFERROR(IF(INDEX('CFOG'!$P$23:$P$24,MATCH($F125,'CFOG'!$B$23:$B$24,0))="","Cell will autofill based on response",INDEX('CFOG'!$P$23:$P$24,MATCH($F125,'CFOG'!$B$23:$B$24,0))),"N/A")</f>
        <v/>
      </c>
      <c r="P125" s="52">
        <f>IFERROR(IF(INDEX('ESG'!$P$10:$P$17,MATCH($F125,'ESG'!$B$10:$B$17,0))="","Cell will autofill based on response",INDEX('ESG'!$P$10:$P$17,MATCH($F125,'ESG'!$B$10:$B$17,0))),"N/A")</f>
        <v/>
      </c>
      <c r="Q125" s="52">
        <f>IFERROR(IF(INDEX('CIOG'!$P$10:$P$14,MATCH($F125,'CIOG'!$B$10:$B$14,0))="","Cell will autofill based on response",INDEX('CIOG'!$P$10:$P$14,MATCH($F125,'CIOG'!$B$10:$B$14,0))),"N/A")</f>
        <v/>
      </c>
      <c r="R125" s="52">
        <f>IFERROR(IF(INDEX('MRE'!$P$10:$P$18,MATCH($F125,'MRE'!$B$10:$B$18,0))="","Cell will autofill based on response",INDEX('MRE'!$P$10:$P$18,MATCH($F125,'MRE'!$B$10:$B$18,0))),"N/A")</f>
        <v/>
      </c>
      <c r="S125" s="52">
        <f>IFERROR(IF(INDEX('AC&amp;M'!$P$10:$P$14,MATCH($F125,'AC&amp;M'!$B$10:$B$14,0))="","Cell will autofill based on response",INDEX('AC&amp;M'!$P$10:$P$14,MATCH($F125,'AC&amp;M'!$B$10:$B$14,0))),"N/A")</f>
        <v/>
      </c>
      <c r="T125" s="52">
        <f>IFERROR(IF(INDEX('GCE'!$P$10:$P$12,MATCH($F125,'GCE'!$B$10:$B$12,0))="","Cell will autofill based on response",INDEX('GCE'!$P$10:$P$12,MATCH($F125,'GCE'!$B$10:$B$12,0))),"N/A")</f>
        <v/>
      </c>
      <c r="U125" s="52">
        <f>IFERROR(IF(INDEX('Education'!$P$10:$P$13,MATCH($F125,'Education'!$B$10:$B$13,0))="","Cell will autofill based on response",INDEX('Education'!$P$10:$P$13,MATCH($F125,'Education'!$B$10:$B$13,0))),"N/A")</f>
        <v/>
      </c>
      <c r="V125" s="52">
        <f>IFERROR(IF(INDEX('SaSS'!$P$10:$P$12,MATCH($F125,'SaSS'!$B$10:$B$12,0))="","Cell will autofill based on response",INDEX('SaSS'!$P$10:$P$12,MATCH($F125,'SaSS'!$B$10:$B$12,0))),"N/A")</f>
        <v/>
      </c>
      <c r="W125" s="52">
        <f>IFERROR(IF(INDEX('Indigenous'!$P$10:$P$11,MATCH($F125,'Indigenous'!$B$10:$B$11,0))="","Cell will autofill based on response",INDEX('Indigenous'!$P$10:$P$11,MATCH($F125,'Indigenous'!$B$10:$B$11,0))),"N/A")</f>
        <v/>
      </c>
      <c r="X125" s="52">
        <f>IFERROR(IF(INDEX('L&amp;R'!$P$10:$P$11,MATCH($F125,'L&amp;R'!$B$10:$B$11,0))="","Cell will autofill based on response",INDEX('L&amp;R'!$P$10:$P$11,MATCH($F125,'L&amp;R'!$B$10:$B$11,0))),"N/A")</f>
        <v/>
      </c>
    </row>
    <row r="126">
      <c r="A126">
        <f>F126&amp;"|"&amp;G126</f>
        <v/>
      </c>
      <c r="B126" s="7" t="inlineStr">
        <is>
          <t>NB2(b)</t>
        </is>
      </c>
      <c r="C126" s="50" t="inlineStr">
        <is>
          <t>Nature and biodiversity</t>
        </is>
      </c>
      <c r="D126" s="50" t="inlineStr">
        <is>
          <t>Evidence of established framework to monitor and track supply-chain nature impacts over time</t>
        </is>
      </c>
      <c r="E126" s="50" t="inlineStr">
        <is>
          <t>Please describe the framework established to monitor and track supply-chain impacts on nature over time, could include metrics, data sources, governance/ownership, reporting frequency and current implementation status.</t>
        </is>
      </c>
      <c r="F126" s="50" t="inlineStr">
        <is>
          <t>NB2(b)</t>
        </is>
      </c>
      <c r="G126" s="50" t="inlineStr">
        <is>
          <t>OPTION 1:  Target-level reporting</t>
        </is>
      </c>
      <c r="H126" s="52">
        <f>IFERROR(IF(INDEX('Faculties'!$L$10:$L$19,MATCH($F126,'Faculties'!$B$10:$B$19,0))="","Cell will autofill based on response",INDEX('Faculties'!$L$10:$L$19,MATCH($F126,'Faculties'!$B$10:$B$19,0))),"N/A")</f>
        <v/>
      </c>
      <c r="I126" s="52">
        <f>IFERROR(IF(INDEX('Faculties'!$L$26:$L$35,MATCH($F126,'Faculties'!$B$26:$B$35,0))="","Cell will autofill based on response",INDEX('Faculties'!$L$26:$L$35,MATCH($F126,'Faculties'!$B$26:$B$35,0))),"N/A")</f>
        <v/>
      </c>
      <c r="J126" s="52">
        <f>IFERROR(IF(INDEX('Faculties'!$L$42:$L$51,MATCH($F126,'Faculties'!$B$42:$B$51,0))="","Cell will autofill based on response",INDEX('Faculties'!$L$42:$L$51,MATCH($F126,'Faculties'!$B$42:$B$51,0))),"N/A")</f>
        <v/>
      </c>
      <c r="K126" s="52">
        <f>IFERROR(IF(INDEX('Faculties'!$L$58:$L$67,MATCH($F126,'Faculties'!$B$58:$B$67,0))="","Cell will autofill based on response",INDEX('Faculties'!$L$58:$L$67,MATCH($F126,'Faculties'!$B$58:$B$67,0))),"N/A")</f>
        <v/>
      </c>
      <c r="L126" s="52">
        <f>IFERROR(IF(INDEX('CI&amp;S'!$L$10:$L$15,MATCH($F126,'CI&amp;S'!$B$10:$B$15,0))="","Cell will autofill based on response",INDEX('CI&amp;S'!$L$10:$L$15,MATCH($F126,'CI&amp;S'!$B$10:$B$15,0))),"N/A")</f>
        <v/>
      </c>
      <c r="M126" s="52">
        <f>IFERROR(IF(INDEX('CI&amp;S'!$L$22:$L$36,MATCH($F126,'CI&amp;S'!$B$22:$B$36,0))="","Cell will autofill based on response",INDEX('CI&amp;S'!$L$22:$L$36,MATCH($F126,'CI&amp;S'!$B$22:$B$36,0))),"N/A")</f>
        <v/>
      </c>
      <c r="N126" s="52">
        <f>IFERROR(IF(INDEX('CFOG'!$L$10:$L$16,MATCH($F126,'CFOG'!$B$10:$B$16,0))="","Cell will autofill based on response",INDEX('CFOG'!$L$10:$L$16,MATCH($F126,'CFOG'!$B$10:$B$16,0))),"N/A")</f>
        <v/>
      </c>
      <c r="O126" s="52">
        <f>IFERROR(IF(INDEX('CFOG'!$L$23:$L$24,MATCH($F126,'CFOG'!$B$23:$B$24,0))="","Cell will autofill based on response",INDEX('CFOG'!$L$23:$L$24,MATCH($F126,'CFOG'!$B$23:$B$24,0))),"N/A")</f>
        <v/>
      </c>
      <c r="P126" s="52">
        <f>IFERROR(IF(INDEX('ESG'!$L$10:$L$17,MATCH($F126,'ESG'!$B$10:$B$17,0))="","Cell will autofill based on response",INDEX('ESG'!$L$10:$L$17,MATCH($F126,'ESG'!$B$10:$B$17,0))),"N/A")</f>
        <v/>
      </c>
      <c r="Q126" s="52">
        <f>IFERROR(IF(INDEX('CIOG'!$L$10:$L$14,MATCH($F126,'CIOG'!$B$10:$B$14,0))="","Cell will autofill based on response",INDEX('CIOG'!$L$10:$L$14,MATCH($F126,'CIOG'!$B$10:$B$14,0))),"N/A")</f>
        <v/>
      </c>
      <c r="R126" s="52">
        <f>IFERROR(IF(INDEX('MRE'!$L$10:$L$18,MATCH($F126,'MRE'!$B$10:$B$18,0))="","Cell will autofill based on response",INDEX('MRE'!$L$10:$L$18,MATCH($F126,'MRE'!$B$10:$B$18,0))),"N/A")</f>
        <v/>
      </c>
      <c r="S126" s="52">
        <f>IFERROR(IF(INDEX('AC&amp;M'!$L$10:$L$14,MATCH($F126,'AC&amp;M'!$B$10:$B$14,0))="","Cell will autofill based on response",INDEX('AC&amp;M'!$L$10:$L$14,MATCH($F126,'AC&amp;M'!$B$10:$B$14,0))),"N/A")</f>
        <v/>
      </c>
      <c r="T126" s="52">
        <f>IFERROR(IF(INDEX('GCE'!$L$10:$L$12,MATCH($F126,'GCE'!$B$10:$B$12,0))="","Cell will autofill based on response",INDEX('GCE'!$L$10:$L$12,MATCH($F126,'GCE'!$B$10:$B$12,0))),"N/A")</f>
        <v/>
      </c>
      <c r="U126" s="52">
        <f>IFERROR(IF(INDEX('Education'!$L$10:$L$13,MATCH($F126,'Education'!$B$10:$B$13,0))="","Cell will autofill based on response",INDEX('Education'!$L$10:$L$13,MATCH($F126,'Education'!$B$10:$B$13,0))),"N/A")</f>
        <v/>
      </c>
      <c r="V126" s="52">
        <f>IFERROR(IF(INDEX('SaSS'!$L$10:$L$12,MATCH($F126,'SaSS'!$B$10:$B$12,0))="","Cell will autofill based on response",INDEX('SaSS'!$L$10:$L$12,MATCH($F126,'SaSS'!$B$10:$B$12,0))),"N/A")</f>
        <v/>
      </c>
      <c r="W126" s="52">
        <f>IFERROR(IF(INDEX('Indigenous'!$L$10:$L$11,MATCH($F126,'Indigenous'!$B$10:$B$11,0))="","Cell will autofill based on response",INDEX('Indigenous'!$L$10:$L$11,MATCH($F126,'Indigenous'!$B$10:$B$11,0))),"N/A")</f>
        <v/>
      </c>
      <c r="X126" s="52">
        <f>IFERROR(IF(INDEX('L&amp;R'!$L$10:$L$11,MATCH($F126,'L&amp;R'!$B$10:$B$11,0))="","Cell will autofill based on response",INDEX('L&amp;R'!$L$10:$L$11,MATCH($F126,'L&amp;R'!$B$10:$B$11,0))),"N/A")</f>
        <v/>
      </c>
      <c r="Z126" s="10">
        <f>SUMPRODUCT(--($H126:$X126&lt;&gt;"N/A"))</f>
        <v/>
      </c>
      <c r="AA126" s="10">
        <f>SUMPRODUCT(--(((($H126:$X126&lt;&gt;"N/A")*($H126:$X126&lt;&gt;"Cell will autofill based on response"))+(($H127:$X127&lt;&gt;"N/A")*($H127:$X127&lt;&gt;"Cell will autofill based on response")))&gt;0))</f>
        <v/>
      </c>
      <c r="AB126" s="10">
        <f>Z126-AA126</f>
        <v/>
      </c>
      <c r="AC126" s="10">
        <f>COUNTIF($H130:$X130,"Yes")</f>
        <v/>
      </c>
    </row>
    <row r="127">
      <c r="A127">
        <f>F127&amp;"|"&amp;G127</f>
        <v/>
      </c>
      <c r="B127" s="13" t="inlineStr"/>
      <c r="C127" s="8" t="inlineStr"/>
      <c r="D127" s="8" t="inlineStr"/>
      <c r="E127" s="8" t="inlineStr"/>
      <c r="F127" s="8" t="inlineStr">
        <is>
          <t>NB2(b)</t>
        </is>
      </c>
      <c r="G127" s="8" t="inlineStr">
        <is>
          <t>OPTION 2:  Indicator level reporting</t>
        </is>
      </c>
      <c r="H127" s="52">
        <f>IFERROR(IF(INDEX('Faculties'!$M$10:$M$19,MATCH($F127,'Faculties'!$B$10:$B$19,0))="","Cell will autofill based on response",INDEX('Faculties'!$M$10:$M$19,MATCH($F127,'Faculties'!$B$10:$B$19,0))),"N/A")</f>
        <v/>
      </c>
      <c r="I127" s="52">
        <f>IFERROR(IF(INDEX('Faculties'!$M$26:$M$35,MATCH($F127,'Faculties'!$B$26:$B$35,0))="","Cell will autofill based on response",INDEX('Faculties'!$M$26:$M$35,MATCH($F127,'Faculties'!$B$26:$B$35,0))),"N/A")</f>
        <v/>
      </c>
      <c r="J127" s="52">
        <f>IFERROR(IF(INDEX('Faculties'!$M$42:$M$51,MATCH($F127,'Faculties'!$B$42:$B$51,0))="","Cell will autofill based on response",INDEX('Faculties'!$M$42:$M$51,MATCH($F127,'Faculties'!$B$42:$B$51,0))),"N/A")</f>
        <v/>
      </c>
      <c r="K127" s="52">
        <f>IFERROR(IF(INDEX('Faculties'!$M$58:$M$67,MATCH($F127,'Faculties'!$B$58:$B$67,0))="","Cell will autofill based on response",INDEX('Faculties'!$M$58:$M$67,MATCH($F127,'Faculties'!$B$58:$B$67,0))),"N/A")</f>
        <v/>
      </c>
      <c r="L127" s="52">
        <f>IFERROR(IF(INDEX('CI&amp;S'!$M$10:$M$15,MATCH($F127,'CI&amp;S'!$B$10:$B$15,0))="","Cell will autofill based on response",INDEX('CI&amp;S'!$M$10:$M$15,MATCH($F127,'CI&amp;S'!$B$10:$B$15,0))),"N/A")</f>
        <v/>
      </c>
      <c r="M127" s="52">
        <f>IFERROR(IF(INDEX('CI&amp;S'!$M$22:$M$36,MATCH($F127,'CI&amp;S'!$B$22:$B$36,0))="","Cell will autofill based on response",INDEX('CI&amp;S'!$M$22:$M$36,MATCH($F127,'CI&amp;S'!$B$22:$B$36,0))),"N/A")</f>
        <v/>
      </c>
      <c r="N127" s="52">
        <f>IFERROR(IF(INDEX('CFOG'!$M$10:$M$16,MATCH($F127,'CFOG'!$B$10:$B$16,0))="","Cell will autofill based on response",INDEX('CFOG'!$M$10:$M$16,MATCH($F127,'CFOG'!$B$10:$B$16,0))),"N/A")</f>
        <v/>
      </c>
      <c r="O127" s="52">
        <f>IFERROR(IF(INDEX('CFOG'!$M$23:$M$24,MATCH($F127,'CFOG'!$B$23:$B$24,0))="","Cell will autofill based on response",INDEX('CFOG'!$M$23:$M$24,MATCH($F127,'CFOG'!$B$23:$B$24,0))),"N/A")</f>
        <v/>
      </c>
      <c r="P127" s="52">
        <f>IFERROR(IF(INDEX('ESG'!$M$10:$M$17,MATCH($F127,'ESG'!$B$10:$B$17,0))="","Cell will autofill based on response",INDEX('ESG'!$M$10:$M$17,MATCH($F127,'ESG'!$B$10:$B$17,0))),"N/A")</f>
        <v/>
      </c>
      <c r="Q127" s="52">
        <f>IFERROR(IF(INDEX('CIOG'!$M$10:$M$14,MATCH($F127,'CIOG'!$B$10:$B$14,0))="","Cell will autofill based on response",INDEX('CIOG'!$M$10:$M$14,MATCH($F127,'CIOG'!$B$10:$B$14,0))),"N/A")</f>
        <v/>
      </c>
      <c r="R127" s="52">
        <f>IFERROR(IF(INDEX('MRE'!$M$10:$M$18,MATCH($F127,'MRE'!$B$10:$B$18,0))="","Cell will autofill based on response",INDEX('MRE'!$M$10:$M$18,MATCH($F127,'MRE'!$B$10:$B$18,0))),"N/A")</f>
        <v/>
      </c>
      <c r="S127" s="52">
        <f>IFERROR(IF(INDEX('AC&amp;M'!$M$10:$M$14,MATCH($F127,'AC&amp;M'!$B$10:$B$14,0))="","Cell will autofill based on response",INDEX('AC&amp;M'!$M$10:$M$14,MATCH($F127,'AC&amp;M'!$B$10:$B$14,0))),"N/A")</f>
        <v/>
      </c>
      <c r="T127" s="52">
        <f>IFERROR(IF(INDEX('GCE'!$M$10:$M$12,MATCH($F127,'GCE'!$B$10:$B$12,0))="","Cell will autofill based on response",INDEX('GCE'!$M$10:$M$12,MATCH($F127,'GCE'!$B$10:$B$12,0))),"N/A")</f>
        <v/>
      </c>
      <c r="U127" s="52">
        <f>IFERROR(IF(INDEX('Education'!$M$10:$M$13,MATCH($F127,'Education'!$B$10:$B$13,0))="","Cell will autofill based on response",INDEX('Education'!$M$10:$M$13,MATCH($F127,'Education'!$B$10:$B$13,0))),"N/A")</f>
        <v/>
      </c>
      <c r="V127" s="52">
        <f>IFERROR(IF(INDEX('SaSS'!$M$10:$M$12,MATCH($F127,'SaSS'!$B$10:$B$12,0))="","Cell will autofill based on response",INDEX('SaSS'!$M$10:$M$12,MATCH($F127,'SaSS'!$B$10:$B$12,0))),"N/A")</f>
        <v/>
      </c>
      <c r="W127" s="52">
        <f>IFERROR(IF(INDEX('Indigenous'!$M$10:$M$11,MATCH($F127,'Indigenous'!$B$10:$B$11,0))="","Cell will autofill based on response",INDEX('Indigenous'!$M$10:$M$11,MATCH($F127,'Indigenous'!$B$10:$B$11,0))),"N/A")</f>
        <v/>
      </c>
      <c r="X127" s="52">
        <f>IFERROR(IF(INDEX('L&amp;R'!$M$10:$M$11,MATCH($F127,'L&amp;R'!$B$10:$B$11,0))="","Cell will autofill based on response",INDEX('L&amp;R'!$M$10:$M$11,MATCH($F127,'L&amp;R'!$B$10:$B$11,0))),"N/A")</f>
        <v/>
      </c>
    </row>
    <row r="128">
      <c r="A128">
        <f>F128&amp;"|"&amp;G128</f>
        <v/>
      </c>
      <c r="B128" s="13" t="inlineStr"/>
      <c r="C128" s="8" t="inlineStr"/>
      <c r="D128" s="8" t="inlineStr"/>
      <c r="E128" s="8" t="inlineStr"/>
      <c r="F128" s="8" t="inlineStr">
        <is>
          <t>NB2(b)</t>
        </is>
      </c>
      <c r="G128" s="8" t="inlineStr">
        <is>
          <t>Supporting information/comments</t>
        </is>
      </c>
      <c r="H128" s="52">
        <f>IFERROR(IF(INDEX('Faculties'!$N$10:$N$19,MATCH($F128,'Faculties'!$B$10:$B$19,0))="","Cell will autofill based on response",INDEX('Faculties'!$N$10:$N$19,MATCH($F128,'Faculties'!$B$10:$B$19,0))),"N/A")</f>
        <v/>
      </c>
      <c r="I128" s="52">
        <f>IFERROR(IF(INDEX('Faculties'!$N$26:$N$35,MATCH($F128,'Faculties'!$B$26:$B$35,0))="","Cell will autofill based on response",INDEX('Faculties'!$N$26:$N$35,MATCH($F128,'Faculties'!$B$26:$B$35,0))),"N/A")</f>
        <v/>
      </c>
      <c r="J128" s="52">
        <f>IFERROR(IF(INDEX('Faculties'!$N$42:$N$51,MATCH($F128,'Faculties'!$B$42:$B$51,0))="","Cell will autofill based on response",INDEX('Faculties'!$N$42:$N$51,MATCH($F128,'Faculties'!$B$42:$B$51,0))),"N/A")</f>
        <v/>
      </c>
      <c r="K128" s="52">
        <f>IFERROR(IF(INDEX('Faculties'!$N$58:$N$67,MATCH($F128,'Faculties'!$B$58:$B$67,0))="","Cell will autofill based on response",INDEX('Faculties'!$N$58:$N$67,MATCH($F128,'Faculties'!$B$58:$B$67,0))),"N/A")</f>
        <v/>
      </c>
      <c r="L128" s="52">
        <f>IFERROR(IF(INDEX('CI&amp;S'!$N$10:$N$15,MATCH($F128,'CI&amp;S'!$B$10:$B$15,0))="","Cell will autofill based on response",INDEX('CI&amp;S'!$N$10:$N$15,MATCH($F128,'CI&amp;S'!$B$10:$B$15,0))),"N/A")</f>
        <v/>
      </c>
      <c r="M128" s="52">
        <f>IFERROR(IF(INDEX('CI&amp;S'!$N$22:$N$36,MATCH($F128,'CI&amp;S'!$B$22:$B$36,0))="","Cell will autofill based on response",INDEX('CI&amp;S'!$N$22:$N$36,MATCH($F128,'CI&amp;S'!$B$22:$B$36,0))),"N/A")</f>
        <v/>
      </c>
      <c r="N128" s="52">
        <f>IFERROR(IF(INDEX('CFOG'!$N$10:$N$16,MATCH($F128,'CFOG'!$B$10:$B$16,0))="","Cell will autofill based on response",INDEX('CFOG'!$N$10:$N$16,MATCH($F128,'CFOG'!$B$10:$B$16,0))),"N/A")</f>
        <v/>
      </c>
      <c r="O128" s="52">
        <f>IFERROR(IF(INDEX('CFOG'!$N$23:$N$24,MATCH($F128,'CFOG'!$B$23:$B$24,0))="","Cell will autofill based on response",INDEX('CFOG'!$N$23:$N$24,MATCH($F128,'CFOG'!$B$23:$B$24,0))),"N/A")</f>
        <v/>
      </c>
      <c r="P128" s="52">
        <f>IFERROR(IF(INDEX('ESG'!$N$10:$N$17,MATCH($F128,'ESG'!$B$10:$B$17,0))="","Cell will autofill based on response",INDEX('ESG'!$N$10:$N$17,MATCH($F128,'ESG'!$B$10:$B$17,0))),"N/A")</f>
        <v/>
      </c>
      <c r="Q128" s="52">
        <f>IFERROR(IF(INDEX('CIOG'!$N$10:$N$14,MATCH($F128,'CIOG'!$B$10:$B$14,0))="","Cell will autofill based on response",INDEX('CIOG'!$N$10:$N$14,MATCH($F128,'CIOG'!$B$10:$B$14,0))),"N/A")</f>
        <v/>
      </c>
      <c r="R128" s="52">
        <f>IFERROR(IF(INDEX('MRE'!$N$10:$N$18,MATCH($F128,'MRE'!$B$10:$B$18,0))="","Cell will autofill based on response",INDEX('MRE'!$N$10:$N$18,MATCH($F128,'MRE'!$B$10:$B$18,0))),"N/A")</f>
        <v/>
      </c>
      <c r="S128" s="52">
        <f>IFERROR(IF(INDEX('AC&amp;M'!$N$10:$N$14,MATCH($F128,'AC&amp;M'!$B$10:$B$14,0))="","Cell will autofill based on response",INDEX('AC&amp;M'!$N$10:$N$14,MATCH($F128,'AC&amp;M'!$B$10:$B$14,0))),"N/A")</f>
        <v/>
      </c>
      <c r="T128" s="52">
        <f>IFERROR(IF(INDEX('GCE'!$N$10:$N$12,MATCH($F128,'GCE'!$B$10:$B$12,0))="","Cell will autofill based on response",INDEX('GCE'!$N$10:$N$12,MATCH($F128,'GCE'!$B$10:$B$12,0))),"N/A")</f>
        <v/>
      </c>
      <c r="U128" s="52">
        <f>IFERROR(IF(INDEX('Education'!$N$10:$N$13,MATCH($F128,'Education'!$B$10:$B$13,0))="","Cell will autofill based on response",INDEX('Education'!$N$10:$N$13,MATCH($F128,'Education'!$B$10:$B$13,0))),"N/A")</f>
        <v/>
      </c>
      <c r="V128" s="52">
        <f>IFERROR(IF(INDEX('SaSS'!$N$10:$N$12,MATCH($F128,'SaSS'!$B$10:$B$12,0))="","Cell will autofill based on response",INDEX('SaSS'!$N$10:$N$12,MATCH($F128,'SaSS'!$B$10:$B$12,0))),"N/A")</f>
        <v/>
      </c>
      <c r="W128" s="52">
        <f>IFERROR(IF(INDEX('Indigenous'!$N$10:$N$11,MATCH($F128,'Indigenous'!$B$10:$B$11,0))="","Cell will autofill based on response",INDEX('Indigenous'!$N$10:$N$11,MATCH($F128,'Indigenous'!$B$10:$B$11,0))),"N/A")</f>
        <v/>
      </c>
      <c r="X128" s="52">
        <f>IFERROR(IF(INDEX('L&amp;R'!$N$10:$N$11,MATCH($F128,'L&amp;R'!$B$10:$B$11,0))="","Cell will autofill based on response",INDEX('L&amp;R'!$N$10:$N$11,MATCH($F128,'L&amp;R'!$B$10:$B$11,0))),"N/A")</f>
        <v/>
      </c>
    </row>
    <row r="129">
      <c r="A129">
        <f>F129&amp;"|"&amp;G129</f>
        <v/>
      </c>
      <c r="B129" s="13" t="inlineStr"/>
      <c r="C129" s="8" t="inlineStr"/>
      <c r="D129" s="8" t="inlineStr"/>
      <c r="E129" s="8" t="inlineStr"/>
      <c r="F129" s="8" t="inlineStr">
        <is>
          <t>NB2(b)</t>
        </is>
      </c>
      <c r="G129" s="8" t="inlineStr">
        <is>
          <t>Data source and limitations</t>
        </is>
      </c>
      <c r="H129" s="52">
        <f>IFERROR(IF(INDEX('Faculties'!$O$10:$O$19,MATCH($F129,'Faculties'!$B$10:$B$19,0))="","Cell will autofill based on response",INDEX('Faculties'!$O$10:$O$19,MATCH($F129,'Faculties'!$B$10:$B$19,0))),"N/A")</f>
        <v/>
      </c>
      <c r="I129" s="52">
        <f>IFERROR(IF(INDEX('Faculties'!$O$26:$O$35,MATCH($F129,'Faculties'!$B$26:$B$35,0))="","Cell will autofill based on response",INDEX('Faculties'!$O$26:$O$35,MATCH($F129,'Faculties'!$B$26:$B$35,0))),"N/A")</f>
        <v/>
      </c>
      <c r="J129" s="52">
        <f>IFERROR(IF(INDEX('Faculties'!$O$42:$O$51,MATCH($F129,'Faculties'!$B$42:$B$51,0))="","Cell will autofill based on response",INDEX('Faculties'!$O$42:$O$51,MATCH($F129,'Faculties'!$B$42:$B$51,0))),"N/A")</f>
        <v/>
      </c>
      <c r="K129" s="52">
        <f>IFERROR(IF(INDEX('Faculties'!$O$58:$O$67,MATCH($F129,'Faculties'!$B$58:$B$67,0))="","Cell will autofill based on response",INDEX('Faculties'!$O$58:$O$67,MATCH($F129,'Faculties'!$B$58:$B$67,0))),"N/A")</f>
        <v/>
      </c>
      <c r="L129" s="52">
        <f>IFERROR(IF(INDEX('CI&amp;S'!$O$10:$O$15,MATCH($F129,'CI&amp;S'!$B$10:$B$15,0))="","Cell will autofill based on response",INDEX('CI&amp;S'!$O$10:$O$15,MATCH($F129,'CI&amp;S'!$B$10:$B$15,0))),"N/A")</f>
        <v/>
      </c>
      <c r="M129" s="52">
        <f>IFERROR(IF(INDEX('CI&amp;S'!$O$22:$O$36,MATCH($F129,'CI&amp;S'!$B$22:$B$36,0))="","Cell will autofill based on response",INDEX('CI&amp;S'!$O$22:$O$36,MATCH($F129,'CI&amp;S'!$B$22:$B$36,0))),"N/A")</f>
        <v/>
      </c>
      <c r="N129" s="52">
        <f>IFERROR(IF(INDEX('CFOG'!$O$10:$O$16,MATCH($F129,'CFOG'!$B$10:$B$16,0))="","Cell will autofill based on response",INDEX('CFOG'!$O$10:$O$16,MATCH($F129,'CFOG'!$B$10:$B$16,0))),"N/A")</f>
        <v/>
      </c>
      <c r="O129" s="52">
        <f>IFERROR(IF(INDEX('CFOG'!$O$23:$O$24,MATCH($F129,'CFOG'!$B$23:$B$24,0))="","Cell will autofill based on response",INDEX('CFOG'!$O$23:$O$24,MATCH($F129,'CFOG'!$B$23:$B$24,0))),"N/A")</f>
        <v/>
      </c>
      <c r="P129" s="52">
        <f>IFERROR(IF(INDEX('ESG'!$O$10:$O$17,MATCH($F129,'ESG'!$B$10:$B$17,0))="","Cell will autofill based on response",INDEX('ESG'!$O$10:$O$17,MATCH($F129,'ESG'!$B$10:$B$17,0))),"N/A")</f>
        <v/>
      </c>
      <c r="Q129" s="52">
        <f>IFERROR(IF(INDEX('CIOG'!$O$10:$O$14,MATCH($F129,'CIOG'!$B$10:$B$14,0))="","Cell will autofill based on response",INDEX('CIOG'!$O$10:$O$14,MATCH($F129,'CIOG'!$B$10:$B$14,0))),"N/A")</f>
        <v/>
      </c>
      <c r="R129" s="52">
        <f>IFERROR(IF(INDEX('MRE'!$O$10:$O$18,MATCH($F129,'MRE'!$B$10:$B$18,0))="","Cell will autofill based on response",INDEX('MRE'!$O$10:$O$18,MATCH($F129,'MRE'!$B$10:$B$18,0))),"N/A")</f>
        <v/>
      </c>
      <c r="S129" s="52">
        <f>IFERROR(IF(INDEX('AC&amp;M'!$O$10:$O$14,MATCH($F129,'AC&amp;M'!$B$10:$B$14,0))="","Cell will autofill based on response",INDEX('AC&amp;M'!$O$10:$O$14,MATCH($F129,'AC&amp;M'!$B$10:$B$14,0))),"N/A")</f>
        <v/>
      </c>
      <c r="T129" s="52">
        <f>IFERROR(IF(INDEX('GCE'!$O$10:$O$12,MATCH($F129,'GCE'!$B$10:$B$12,0))="","Cell will autofill based on response",INDEX('GCE'!$O$10:$O$12,MATCH($F129,'GCE'!$B$10:$B$12,0))),"N/A")</f>
        <v/>
      </c>
      <c r="U129" s="52">
        <f>IFERROR(IF(INDEX('Education'!$O$10:$O$13,MATCH($F129,'Education'!$B$10:$B$13,0))="","Cell will autofill based on response",INDEX('Education'!$O$10:$O$13,MATCH($F129,'Education'!$B$10:$B$13,0))),"N/A")</f>
        <v/>
      </c>
      <c r="V129" s="52">
        <f>IFERROR(IF(INDEX('SaSS'!$O$10:$O$12,MATCH($F129,'SaSS'!$B$10:$B$12,0))="","Cell will autofill based on response",INDEX('SaSS'!$O$10:$O$12,MATCH($F129,'SaSS'!$B$10:$B$12,0))),"N/A")</f>
        <v/>
      </c>
      <c r="W129" s="52">
        <f>IFERROR(IF(INDEX('Indigenous'!$O$10:$O$11,MATCH($F129,'Indigenous'!$B$10:$B$11,0))="","Cell will autofill based on response",INDEX('Indigenous'!$O$10:$O$11,MATCH($F129,'Indigenous'!$B$10:$B$11,0))),"N/A")</f>
        <v/>
      </c>
      <c r="X129" s="52">
        <f>IFERROR(IF(INDEX('L&amp;R'!$O$10:$O$11,MATCH($F129,'L&amp;R'!$B$10:$B$11,0))="","Cell will autofill based on response",INDEX('L&amp;R'!$O$10:$O$11,MATCH($F129,'L&amp;R'!$B$10:$B$11,0))),"N/A")</f>
        <v/>
      </c>
    </row>
    <row r="130">
      <c r="A130">
        <f>F130&amp;"|"&amp;G130</f>
        <v/>
      </c>
      <c r="B130" s="13" t="inlineStr"/>
      <c r="C130" s="8" t="inlineStr"/>
      <c r="D130" s="8" t="inlineStr"/>
      <c r="E130" s="8" t="inlineStr"/>
      <c r="F130" s="8" t="inlineStr">
        <is>
          <t>NB2(b)</t>
        </is>
      </c>
      <c r="G130" s="8" t="inlineStr">
        <is>
          <t>Data owner confirms</t>
        </is>
      </c>
      <c r="H130" s="52">
        <f>IFERROR(IF(INDEX('Faculties'!$P$10:$P$19,MATCH($F130,'Faculties'!$B$10:$B$19,0))="","Cell will autofill based on response",INDEX('Faculties'!$P$10:$P$19,MATCH($F130,'Faculties'!$B$10:$B$19,0))),"N/A")</f>
        <v/>
      </c>
      <c r="I130" s="52">
        <f>IFERROR(IF(INDEX('Faculties'!$P$26:$P$35,MATCH($F130,'Faculties'!$B$26:$B$35,0))="","Cell will autofill based on response",INDEX('Faculties'!$P$26:$P$35,MATCH($F130,'Faculties'!$B$26:$B$35,0))),"N/A")</f>
        <v/>
      </c>
      <c r="J130" s="52">
        <f>IFERROR(IF(INDEX('Faculties'!$P$42:$P$51,MATCH($F130,'Faculties'!$B$42:$B$51,0))="","Cell will autofill based on response",INDEX('Faculties'!$P$42:$P$51,MATCH($F130,'Faculties'!$B$42:$B$51,0))),"N/A")</f>
        <v/>
      </c>
      <c r="K130" s="52">
        <f>IFERROR(IF(INDEX('Faculties'!$P$58:$P$67,MATCH($F130,'Faculties'!$B$58:$B$67,0))="","Cell will autofill based on response",INDEX('Faculties'!$P$58:$P$67,MATCH($F130,'Faculties'!$B$58:$B$67,0))),"N/A")</f>
        <v/>
      </c>
      <c r="L130" s="52">
        <f>IFERROR(IF(INDEX('CI&amp;S'!$P$10:$P$15,MATCH($F130,'CI&amp;S'!$B$10:$B$15,0))="","Cell will autofill based on response",INDEX('CI&amp;S'!$P$10:$P$15,MATCH($F130,'CI&amp;S'!$B$10:$B$15,0))),"N/A")</f>
        <v/>
      </c>
      <c r="M130" s="52">
        <f>IFERROR(IF(INDEX('CI&amp;S'!$P$22:$P$36,MATCH($F130,'CI&amp;S'!$B$22:$B$36,0))="","Cell will autofill based on response",INDEX('CI&amp;S'!$P$22:$P$36,MATCH($F130,'CI&amp;S'!$B$22:$B$36,0))),"N/A")</f>
        <v/>
      </c>
      <c r="N130" s="52">
        <f>IFERROR(IF(INDEX('CFOG'!$P$10:$P$16,MATCH($F130,'CFOG'!$B$10:$B$16,0))="","Cell will autofill based on response",INDEX('CFOG'!$P$10:$P$16,MATCH($F130,'CFOG'!$B$10:$B$16,0))),"N/A")</f>
        <v/>
      </c>
      <c r="O130" s="52">
        <f>IFERROR(IF(INDEX('CFOG'!$P$23:$P$24,MATCH($F130,'CFOG'!$B$23:$B$24,0))="","Cell will autofill based on response",INDEX('CFOG'!$P$23:$P$24,MATCH($F130,'CFOG'!$B$23:$B$24,0))),"N/A")</f>
        <v/>
      </c>
      <c r="P130" s="52">
        <f>IFERROR(IF(INDEX('ESG'!$P$10:$P$17,MATCH($F130,'ESG'!$B$10:$B$17,0))="","Cell will autofill based on response",INDEX('ESG'!$P$10:$P$17,MATCH($F130,'ESG'!$B$10:$B$17,0))),"N/A")</f>
        <v/>
      </c>
      <c r="Q130" s="52">
        <f>IFERROR(IF(INDEX('CIOG'!$P$10:$P$14,MATCH($F130,'CIOG'!$B$10:$B$14,0))="","Cell will autofill based on response",INDEX('CIOG'!$P$10:$P$14,MATCH($F130,'CIOG'!$B$10:$B$14,0))),"N/A")</f>
        <v/>
      </c>
      <c r="R130" s="52">
        <f>IFERROR(IF(INDEX('MRE'!$P$10:$P$18,MATCH($F130,'MRE'!$B$10:$B$18,0))="","Cell will autofill based on response",INDEX('MRE'!$P$10:$P$18,MATCH($F130,'MRE'!$B$10:$B$18,0))),"N/A")</f>
        <v/>
      </c>
      <c r="S130" s="52">
        <f>IFERROR(IF(INDEX('AC&amp;M'!$P$10:$P$14,MATCH($F130,'AC&amp;M'!$B$10:$B$14,0))="","Cell will autofill based on response",INDEX('AC&amp;M'!$P$10:$P$14,MATCH($F130,'AC&amp;M'!$B$10:$B$14,0))),"N/A")</f>
        <v/>
      </c>
      <c r="T130" s="52">
        <f>IFERROR(IF(INDEX('GCE'!$P$10:$P$12,MATCH($F130,'GCE'!$B$10:$B$12,0))="","Cell will autofill based on response",INDEX('GCE'!$P$10:$P$12,MATCH($F130,'GCE'!$B$10:$B$12,0))),"N/A")</f>
        <v/>
      </c>
      <c r="U130" s="52">
        <f>IFERROR(IF(INDEX('Education'!$P$10:$P$13,MATCH($F130,'Education'!$B$10:$B$13,0))="","Cell will autofill based on response",INDEX('Education'!$P$10:$P$13,MATCH($F130,'Education'!$B$10:$B$13,0))),"N/A")</f>
        <v/>
      </c>
      <c r="V130" s="52">
        <f>IFERROR(IF(INDEX('SaSS'!$P$10:$P$12,MATCH($F130,'SaSS'!$B$10:$B$12,0))="","Cell will autofill based on response",INDEX('SaSS'!$P$10:$P$12,MATCH($F130,'SaSS'!$B$10:$B$12,0))),"N/A")</f>
        <v/>
      </c>
      <c r="W130" s="52">
        <f>IFERROR(IF(INDEX('Indigenous'!$P$10:$P$11,MATCH($F130,'Indigenous'!$B$10:$B$11,0))="","Cell will autofill based on response",INDEX('Indigenous'!$P$10:$P$11,MATCH($F130,'Indigenous'!$B$10:$B$11,0))),"N/A")</f>
        <v/>
      </c>
      <c r="X130" s="52">
        <f>IFERROR(IF(INDEX('L&amp;R'!$P$10:$P$11,MATCH($F130,'L&amp;R'!$B$10:$B$11,0))="","Cell will autofill based on response",INDEX('L&amp;R'!$P$10:$P$11,MATCH($F130,'L&amp;R'!$B$10:$B$11,0))),"N/A")</f>
        <v/>
      </c>
    </row>
    <row r="131">
      <c r="A131">
        <f>F131&amp;"|"&amp;G131</f>
        <v/>
      </c>
      <c r="B131" s="7" t="inlineStr">
        <is>
          <t>NB2(c)</t>
        </is>
      </c>
      <c r="C131" s="50" t="inlineStr">
        <is>
          <t>Nature and biodiversity</t>
        </is>
      </c>
      <c r="D131" s="50" t="inlineStr">
        <is>
          <t>Evidence of prioritised high risk procurement categories or suppliers for nature impact management</t>
        </is>
      </c>
      <c r="E131" s="50" t="inlineStr">
        <is>
          <t>Please provide the prioritised high-risk procurement categories and/or suppliers identified for nature-impact management, could include the basis for prioritisation and any risk-management, engagement or mitigation actions undertaken or planned.</t>
        </is>
      </c>
      <c r="F131" s="50" t="inlineStr">
        <is>
          <t>NB2(c)</t>
        </is>
      </c>
      <c r="G131" s="50" t="inlineStr">
        <is>
          <t>OPTION 1:  Target-level reporting</t>
        </is>
      </c>
      <c r="H131" s="52">
        <f>IFERROR(IF(INDEX('Faculties'!$L$10:$L$19,MATCH($F131,'Faculties'!$B$10:$B$19,0))="","Cell will autofill based on response",INDEX('Faculties'!$L$10:$L$19,MATCH($F131,'Faculties'!$B$10:$B$19,0))),"N/A")</f>
        <v/>
      </c>
      <c r="I131" s="52">
        <f>IFERROR(IF(INDEX('Faculties'!$L$26:$L$35,MATCH($F131,'Faculties'!$B$26:$B$35,0))="","Cell will autofill based on response",INDEX('Faculties'!$L$26:$L$35,MATCH($F131,'Faculties'!$B$26:$B$35,0))),"N/A")</f>
        <v/>
      </c>
      <c r="J131" s="52">
        <f>IFERROR(IF(INDEX('Faculties'!$L$42:$L$51,MATCH($F131,'Faculties'!$B$42:$B$51,0))="","Cell will autofill based on response",INDEX('Faculties'!$L$42:$L$51,MATCH($F131,'Faculties'!$B$42:$B$51,0))),"N/A")</f>
        <v/>
      </c>
      <c r="K131" s="52">
        <f>IFERROR(IF(INDEX('Faculties'!$L$58:$L$67,MATCH($F131,'Faculties'!$B$58:$B$67,0))="","Cell will autofill based on response",INDEX('Faculties'!$L$58:$L$67,MATCH($F131,'Faculties'!$B$58:$B$67,0))),"N/A")</f>
        <v/>
      </c>
      <c r="L131" s="52">
        <f>IFERROR(IF(INDEX('CI&amp;S'!$L$10:$L$15,MATCH($F131,'CI&amp;S'!$B$10:$B$15,0))="","Cell will autofill based on response",INDEX('CI&amp;S'!$L$10:$L$15,MATCH($F131,'CI&amp;S'!$B$10:$B$15,0))),"N/A")</f>
        <v/>
      </c>
      <c r="M131" s="52">
        <f>IFERROR(IF(INDEX('CI&amp;S'!$L$22:$L$36,MATCH($F131,'CI&amp;S'!$B$22:$B$36,0))="","Cell will autofill based on response",INDEX('CI&amp;S'!$L$22:$L$36,MATCH($F131,'CI&amp;S'!$B$22:$B$36,0))),"N/A")</f>
        <v/>
      </c>
      <c r="N131" s="52">
        <f>IFERROR(IF(INDEX('CFOG'!$L$10:$L$16,MATCH($F131,'CFOG'!$B$10:$B$16,0))="","Cell will autofill based on response",INDEX('CFOG'!$L$10:$L$16,MATCH($F131,'CFOG'!$B$10:$B$16,0))),"N/A")</f>
        <v/>
      </c>
      <c r="O131" s="52">
        <f>IFERROR(IF(INDEX('CFOG'!$L$23:$L$24,MATCH($F131,'CFOG'!$B$23:$B$24,0))="","Cell will autofill based on response",INDEX('CFOG'!$L$23:$L$24,MATCH($F131,'CFOG'!$B$23:$B$24,0))),"N/A")</f>
        <v/>
      </c>
      <c r="P131" s="52">
        <f>IFERROR(IF(INDEX('ESG'!$L$10:$L$17,MATCH($F131,'ESG'!$B$10:$B$17,0))="","Cell will autofill based on response",INDEX('ESG'!$L$10:$L$17,MATCH($F131,'ESG'!$B$10:$B$17,0))),"N/A")</f>
        <v/>
      </c>
      <c r="Q131" s="52">
        <f>IFERROR(IF(INDEX('CIOG'!$L$10:$L$14,MATCH($F131,'CIOG'!$B$10:$B$14,0))="","Cell will autofill based on response",INDEX('CIOG'!$L$10:$L$14,MATCH($F131,'CIOG'!$B$10:$B$14,0))),"N/A")</f>
        <v/>
      </c>
      <c r="R131" s="52">
        <f>IFERROR(IF(INDEX('MRE'!$L$10:$L$18,MATCH($F131,'MRE'!$B$10:$B$18,0))="","Cell will autofill based on response",INDEX('MRE'!$L$10:$L$18,MATCH($F131,'MRE'!$B$10:$B$18,0))),"N/A")</f>
        <v/>
      </c>
      <c r="S131" s="52">
        <f>IFERROR(IF(INDEX('AC&amp;M'!$L$10:$L$14,MATCH($F131,'AC&amp;M'!$B$10:$B$14,0))="","Cell will autofill based on response",INDEX('AC&amp;M'!$L$10:$L$14,MATCH($F131,'AC&amp;M'!$B$10:$B$14,0))),"N/A")</f>
        <v/>
      </c>
      <c r="T131" s="52">
        <f>IFERROR(IF(INDEX('GCE'!$L$10:$L$12,MATCH($F131,'GCE'!$B$10:$B$12,0))="","Cell will autofill based on response",INDEX('GCE'!$L$10:$L$12,MATCH($F131,'GCE'!$B$10:$B$12,0))),"N/A")</f>
        <v/>
      </c>
      <c r="U131" s="52">
        <f>IFERROR(IF(INDEX('Education'!$L$10:$L$13,MATCH($F131,'Education'!$B$10:$B$13,0))="","Cell will autofill based on response",INDEX('Education'!$L$10:$L$13,MATCH($F131,'Education'!$B$10:$B$13,0))),"N/A")</f>
        <v/>
      </c>
      <c r="V131" s="52">
        <f>IFERROR(IF(INDEX('SaSS'!$L$10:$L$12,MATCH($F131,'SaSS'!$B$10:$B$12,0))="","Cell will autofill based on response",INDEX('SaSS'!$L$10:$L$12,MATCH($F131,'SaSS'!$B$10:$B$12,0))),"N/A")</f>
        <v/>
      </c>
      <c r="W131" s="52">
        <f>IFERROR(IF(INDEX('Indigenous'!$L$10:$L$11,MATCH($F131,'Indigenous'!$B$10:$B$11,0))="","Cell will autofill based on response",INDEX('Indigenous'!$L$10:$L$11,MATCH($F131,'Indigenous'!$B$10:$B$11,0))),"N/A")</f>
        <v/>
      </c>
      <c r="X131" s="52">
        <f>IFERROR(IF(INDEX('L&amp;R'!$L$10:$L$11,MATCH($F131,'L&amp;R'!$B$10:$B$11,0))="","Cell will autofill based on response",INDEX('L&amp;R'!$L$10:$L$11,MATCH($F131,'L&amp;R'!$B$10:$B$11,0))),"N/A")</f>
        <v/>
      </c>
      <c r="Z131" s="10">
        <f>SUMPRODUCT(--($H131:$X131&lt;&gt;"N/A"))</f>
        <v/>
      </c>
      <c r="AA131" s="10">
        <f>SUMPRODUCT(--(((($H131:$X131&lt;&gt;"N/A")*($H131:$X131&lt;&gt;"Cell will autofill based on response"))+(($H132:$X132&lt;&gt;"N/A")*($H132:$X132&lt;&gt;"Cell will autofill based on response")))&gt;0))</f>
        <v/>
      </c>
      <c r="AB131" s="10">
        <f>Z131-AA131</f>
        <v/>
      </c>
      <c r="AC131" s="10">
        <f>COUNTIF($H135:$X135,"Yes")</f>
        <v/>
      </c>
    </row>
    <row r="132">
      <c r="A132">
        <f>F132&amp;"|"&amp;G132</f>
        <v/>
      </c>
      <c r="B132" s="13" t="inlineStr"/>
      <c r="C132" s="8" t="inlineStr"/>
      <c r="D132" s="8" t="inlineStr"/>
      <c r="E132" s="8" t="inlineStr"/>
      <c r="F132" s="8" t="inlineStr">
        <is>
          <t>NB2(c)</t>
        </is>
      </c>
      <c r="G132" s="8" t="inlineStr">
        <is>
          <t>OPTION 2:  Indicator level reporting</t>
        </is>
      </c>
      <c r="H132" s="52">
        <f>IFERROR(IF(INDEX('Faculties'!$M$10:$M$19,MATCH($F132,'Faculties'!$B$10:$B$19,0))="","Cell will autofill based on response",INDEX('Faculties'!$M$10:$M$19,MATCH($F132,'Faculties'!$B$10:$B$19,0))),"N/A")</f>
        <v/>
      </c>
      <c r="I132" s="52">
        <f>IFERROR(IF(INDEX('Faculties'!$M$26:$M$35,MATCH($F132,'Faculties'!$B$26:$B$35,0))="","Cell will autofill based on response",INDEX('Faculties'!$M$26:$M$35,MATCH($F132,'Faculties'!$B$26:$B$35,0))),"N/A")</f>
        <v/>
      </c>
      <c r="J132" s="52">
        <f>IFERROR(IF(INDEX('Faculties'!$M$42:$M$51,MATCH($F132,'Faculties'!$B$42:$B$51,0))="","Cell will autofill based on response",INDEX('Faculties'!$M$42:$M$51,MATCH($F132,'Faculties'!$B$42:$B$51,0))),"N/A")</f>
        <v/>
      </c>
      <c r="K132" s="52">
        <f>IFERROR(IF(INDEX('Faculties'!$M$58:$M$67,MATCH($F132,'Faculties'!$B$58:$B$67,0))="","Cell will autofill based on response",INDEX('Faculties'!$M$58:$M$67,MATCH($F132,'Faculties'!$B$58:$B$67,0))),"N/A")</f>
        <v/>
      </c>
      <c r="L132" s="52">
        <f>IFERROR(IF(INDEX('CI&amp;S'!$M$10:$M$15,MATCH($F132,'CI&amp;S'!$B$10:$B$15,0))="","Cell will autofill based on response",INDEX('CI&amp;S'!$M$10:$M$15,MATCH($F132,'CI&amp;S'!$B$10:$B$15,0))),"N/A")</f>
        <v/>
      </c>
      <c r="M132" s="52">
        <f>IFERROR(IF(INDEX('CI&amp;S'!$M$22:$M$36,MATCH($F132,'CI&amp;S'!$B$22:$B$36,0))="","Cell will autofill based on response",INDEX('CI&amp;S'!$M$22:$M$36,MATCH($F132,'CI&amp;S'!$B$22:$B$36,0))),"N/A")</f>
        <v/>
      </c>
      <c r="N132" s="52">
        <f>IFERROR(IF(INDEX('CFOG'!$M$10:$M$16,MATCH($F132,'CFOG'!$B$10:$B$16,0))="","Cell will autofill based on response",INDEX('CFOG'!$M$10:$M$16,MATCH($F132,'CFOG'!$B$10:$B$16,0))),"N/A")</f>
        <v/>
      </c>
      <c r="O132" s="52">
        <f>IFERROR(IF(INDEX('CFOG'!$M$23:$M$24,MATCH($F132,'CFOG'!$B$23:$B$24,0))="","Cell will autofill based on response",INDEX('CFOG'!$M$23:$M$24,MATCH($F132,'CFOG'!$B$23:$B$24,0))),"N/A")</f>
        <v/>
      </c>
      <c r="P132" s="52">
        <f>IFERROR(IF(INDEX('ESG'!$M$10:$M$17,MATCH($F132,'ESG'!$B$10:$B$17,0))="","Cell will autofill based on response",INDEX('ESG'!$M$10:$M$17,MATCH($F132,'ESG'!$B$10:$B$17,0))),"N/A")</f>
        <v/>
      </c>
      <c r="Q132" s="52">
        <f>IFERROR(IF(INDEX('CIOG'!$M$10:$M$14,MATCH($F132,'CIOG'!$B$10:$B$14,0))="","Cell will autofill based on response",INDEX('CIOG'!$M$10:$M$14,MATCH($F132,'CIOG'!$B$10:$B$14,0))),"N/A")</f>
        <v/>
      </c>
      <c r="R132" s="52">
        <f>IFERROR(IF(INDEX('MRE'!$M$10:$M$18,MATCH($F132,'MRE'!$B$10:$B$18,0))="","Cell will autofill based on response",INDEX('MRE'!$M$10:$M$18,MATCH($F132,'MRE'!$B$10:$B$18,0))),"N/A")</f>
        <v/>
      </c>
      <c r="S132" s="52">
        <f>IFERROR(IF(INDEX('AC&amp;M'!$M$10:$M$14,MATCH($F132,'AC&amp;M'!$B$10:$B$14,0))="","Cell will autofill based on response",INDEX('AC&amp;M'!$M$10:$M$14,MATCH($F132,'AC&amp;M'!$B$10:$B$14,0))),"N/A")</f>
        <v/>
      </c>
      <c r="T132" s="52">
        <f>IFERROR(IF(INDEX('GCE'!$M$10:$M$12,MATCH($F132,'GCE'!$B$10:$B$12,0))="","Cell will autofill based on response",INDEX('GCE'!$M$10:$M$12,MATCH($F132,'GCE'!$B$10:$B$12,0))),"N/A")</f>
        <v/>
      </c>
      <c r="U132" s="52">
        <f>IFERROR(IF(INDEX('Education'!$M$10:$M$13,MATCH($F132,'Education'!$B$10:$B$13,0))="","Cell will autofill based on response",INDEX('Education'!$M$10:$M$13,MATCH($F132,'Education'!$B$10:$B$13,0))),"N/A")</f>
        <v/>
      </c>
      <c r="V132" s="52">
        <f>IFERROR(IF(INDEX('SaSS'!$M$10:$M$12,MATCH($F132,'SaSS'!$B$10:$B$12,0))="","Cell will autofill based on response",INDEX('SaSS'!$M$10:$M$12,MATCH($F132,'SaSS'!$B$10:$B$12,0))),"N/A")</f>
        <v/>
      </c>
      <c r="W132" s="52">
        <f>IFERROR(IF(INDEX('Indigenous'!$M$10:$M$11,MATCH($F132,'Indigenous'!$B$10:$B$11,0))="","Cell will autofill based on response",INDEX('Indigenous'!$M$10:$M$11,MATCH($F132,'Indigenous'!$B$10:$B$11,0))),"N/A")</f>
        <v/>
      </c>
      <c r="X132" s="52">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NB2(c)</t>
        </is>
      </c>
      <c r="G133" s="8" t="inlineStr">
        <is>
          <t>Supporting information/comments</t>
        </is>
      </c>
      <c r="H133" s="52">
        <f>IFERROR(IF(INDEX('Faculties'!$N$10:$N$19,MATCH($F133,'Faculties'!$B$10:$B$19,0))="","Cell will autofill based on response",INDEX('Faculties'!$N$10:$N$19,MATCH($F133,'Faculties'!$B$10:$B$19,0))),"N/A")</f>
        <v/>
      </c>
      <c r="I133" s="52">
        <f>IFERROR(IF(INDEX('Faculties'!$N$26:$N$35,MATCH($F133,'Faculties'!$B$26:$B$35,0))="","Cell will autofill based on response",INDEX('Faculties'!$N$26:$N$35,MATCH($F133,'Faculties'!$B$26:$B$35,0))),"N/A")</f>
        <v/>
      </c>
      <c r="J133" s="52">
        <f>IFERROR(IF(INDEX('Faculties'!$N$42:$N$51,MATCH($F133,'Faculties'!$B$42:$B$51,0))="","Cell will autofill based on response",INDEX('Faculties'!$N$42:$N$51,MATCH($F133,'Faculties'!$B$42:$B$51,0))),"N/A")</f>
        <v/>
      </c>
      <c r="K133" s="52">
        <f>IFERROR(IF(INDEX('Faculties'!$N$58:$N$67,MATCH($F133,'Faculties'!$B$58:$B$67,0))="","Cell will autofill based on response",INDEX('Faculties'!$N$58:$N$67,MATCH($F133,'Faculties'!$B$58:$B$67,0))),"N/A")</f>
        <v/>
      </c>
      <c r="L133" s="52">
        <f>IFERROR(IF(INDEX('CI&amp;S'!$N$10:$N$15,MATCH($F133,'CI&amp;S'!$B$10:$B$15,0))="","Cell will autofill based on response",INDEX('CI&amp;S'!$N$10:$N$15,MATCH($F133,'CI&amp;S'!$B$10:$B$15,0))),"N/A")</f>
        <v/>
      </c>
      <c r="M133" s="52">
        <f>IFERROR(IF(INDEX('CI&amp;S'!$N$22:$N$36,MATCH($F133,'CI&amp;S'!$B$22:$B$36,0))="","Cell will autofill based on response",INDEX('CI&amp;S'!$N$22:$N$36,MATCH($F133,'CI&amp;S'!$B$22:$B$36,0))),"N/A")</f>
        <v/>
      </c>
      <c r="N133" s="52">
        <f>IFERROR(IF(INDEX('CFOG'!$N$10:$N$16,MATCH($F133,'CFOG'!$B$10:$B$16,0))="","Cell will autofill based on response",INDEX('CFOG'!$N$10:$N$16,MATCH($F133,'CFOG'!$B$10:$B$16,0))),"N/A")</f>
        <v/>
      </c>
      <c r="O133" s="52">
        <f>IFERROR(IF(INDEX('CFOG'!$N$23:$N$24,MATCH($F133,'CFOG'!$B$23:$B$24,0))="","Cell will autofill based on response",INDEX('CFOG'!$N$23:$N$24,MATCH($F133,'CFOG'!$B$23:$B$24,0))),"N/A")</f>
        <v/>
      </c>
      <c r="P133" s="52">
        <f>IFERROR(IF(INDEX('ESG'!$N$10:$N$17,MATCH($F133,'ESG'!$B$10:$B$17,0))="","Cell will autofill based on response",INDEX('ESG'!$N$10:$N$17,MATCH($F133,'ESG'!$B$10:$B$17,0))),"N/A")</f>
        <v/>
      </c>
      <c r="Q133" s="52">
        <f>IFERROR(IF(INDEX('CIOG'!$N$10:$N$14,MATCH($F133,'CIOG'!$B$10:$B$14,0))="","Cell will autofill based on response",INDEX('CIOG'!$N$10:$N$14,MATCH($F133,'CIOG'!$B$10:$B$14,0))),"N/A")</f>
        <v/>
      </c>
      <c r="R133" s="52">
        <f>IFERROR(IF(INDEX('MRE'!$N$10:$N$18,MATCH($F133,'MRE'!$B$10:$B$18,0))="","Cell will autofill based on response",INDEX('MRE'!$N$10:$N$18,MATCH($F133,'MRE'!$B$10:$B$18,0))),"N/A")</f>
        <v/>
      </c>
      <c r="S133" s="52">
        <f>IFERROR(IF(INDEX('AC&amp;M'!$N$10:$N$14,MATCH($F133,'AC&amp;M'!$B$10:$B$14,0))="","Cell will autofill based on response",INDEX('AC&amp;M'!$N$10:$N$14,MATCH($F133,'AC&amp;M'!$B$10:$B$14,0))),"N/A")</f>
        <v/>
      </c>
      <c r="T133" s="52">
        <f>IFERROR(IF(INDEX('GCE'!$N$10:$N$12,MATCH($F133,'GCE'!$B$10:$B$12,0))="","Cell will autofill based on response",INDEX('GCE'!$N$10:$N$12,MATCH($F133,'GCE'!$B$10:$B$12,0))),"N/A")</f>
        <v/>
      </c>
      <c r="U133" s="52">
        <f>IFERROR(IF(INDEX('Education'!$N$10:$N$13,MATCH($F133,'Education'!$B$10:$B$13,0))="","Cell will autofill based on response",INDEX('Education'!$N$10:$N$13,MATCH($F133,'Education'!$B$10:$B$13,0))),"N/A")</f>
        <v/>
      </c>
      <c r="V133" s="52">
        <f>IFERROR(IF(INDEX('SaSS'!$N$10:$N$12,MATCH($F133,'SaSS'!$B$10:$B$12,0))="","Cell will autofill based on response",INDEX('SaSS'!$N$10:$N$12,MATCH($F133,'SaSS'!$B$10:$B$12,0))),"N/A")</f>
        <v/>
      </c>
      <c r="W133" s="52">
        <f>IFERROR(IF(INDEX('Indigenous'!$N$10:$N$11,MATCH($F133,'Indigenous'!$B$10:$B$11,0))="","Cell will autofill based on response",INDEX('Indigenous'!$N$10:$N$11,MATCH($F133,'Indigenous'!$B$10:$B$11,0))),"N/A")</f>
        <v/>
      </c>
      <c r="X133" s="52">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NB2(c)</t>
        </is>
      </c>
      <c r="G134" s="8" t="inlineStr">
        <is>
          <t>Data source and limitations</t>
        </is>
      </c>
      <c r="H134" s="52">
        <f>IFERROR(IF(INDEX('Faculties'!$O$10:$O$19,MATCH($F134,'Faculties'!$B$10:$B$19,0))="","Cell will autofill based on response",INDEX('Faculties'!$O$10:$O$19,MATCH($F134,'Faculties'!$B$10:$B$19,0))),"N/A")</f>
        <v/>
      </c>
      <c r="I134" s="52">
        <f>IFERROR(IF(INDEX('Faculties'!$O$26:$O$35,MATCH($F134,'Faculties'!$B$26:$B$35,0))="","Cell will autofill based on response",INDEX('Faculties'!$O$26:$O$35,MATCH($F134,'Faculties'!$B$26:$B$35,0))),"N/A")</f>
        <v/>
      </c>
      <c r="J134" s="52">
        <f>IFERROR(IF(INDEX('Faculties'!$O$42:$O$51,MATCH($F134,'Faculties'!$B$42:$B$51,0))="","Cell will autofill based on response",INDEX('Faculties'!$O$42:$O$51,MATCH($F134,'Faculties'!$B$42:$B$51,0))),"N/A")</f>
        <v/>
      </c>
      <c r="K134" s="52">
        <f>IFERROR(IF(INDEX('Faculties'!$O$58:$O$67,MATCH($F134,'Faculties'!$B$58:$B$67,0))="","Cell will autofill based on response",INDEX('Faculties'!$O$58:$O$67,MATCH($F134,'Faculties'!$B$58:$B$67,0))),"N/A")</f>
        <v/>
      </c>
      <c r="L134" s="52">
        <f>IFERROR(IF(INDEX('CI&amp;S'!$O$10:$O$15,MATCH($F134,'CI&amp;S'!$B$10:$B$15,0))="","Cell will autofill based on response",INDEX('CI&amp;S'!$O$10:$O$15,MATCH($F134,'CI&amp;S'!$B$10:$B$15,0))),"N/A")</f>
        <v/>
      </c>
      <c r="M134" s="52">
        <f>IFERROR(IF(INDEX('CI&amp;S'!$O$22:$O$36,MATCH($F134,'CI&amp;S'!$B$22:$B$36,0))="","Cell will autofill based on response",INDEX('CI&amp;S'!$O$22:$O$36,MATCH($F134,'CI&amp;S'!$B$22:$B$36,0))),"N/A")</f>
        <v/>
      </c>
      <c r="N134" s="52">
        <f>IFERROR(IF(INDEX('CFOG'!$O$10:$O$16,MATCH($F134,'CFOG'!$B$10:$B$16,0))="","Cell will autofill based on response",INDEX('CFOG'!$O$10:$O$16,MATCH($F134,'CFOG'!$B$10:$B$16,0))),"N/A")</f>
        <v/>
      </c>
      <c r="O134" s="52">
        <f>IFERROR(IF(INDEX('CFOG'!$O$23:$O$24,MATCH($F134,'CFOG'!$B$23:$B$24,0))="","Cell will autofill based on response",INDEX('CFOG'!$O$23:$O$24,MATCH($F134,'CFOG'!$B$23:$B$24,0))),"N/A")</f>
        <v/>
      </c>
      <c r="P134" s="52">
        <f>IFERROR(IF(INDEX('ESG'!$O$10:$O$17,MATCH($F134,'ESG'!$B$10:$B$17,0))="","Cell will autofill based on response",INDEX('ESG'!$O$10:$O$17,MATCH($F134,'ESG'!$B$10:$B$17,0))),"N/A")</f>
        <v/>
      </c>
      <c r="Q134" s="52">
        <f>IFERROR(IF(INDEX('CIOG'!$O$10:$O$14,MATCH($F134,'CIOG'!$B$10:$B$14,0))="","Cell will autofill based on response",INDEX('CIOG'!$O$10:$O$14,MATCH($F134,'CIOG'!$B$10:$B$14,0))),"N/A")</f>
        <v/>
      </c>
      <c r="R134" s="52">
        <f>IFERROR(IF(INDEX('MRE'!$O$10:$O$18,MATCH($F134,'MRE'!$B$10:$B$18,0))="","Cell will autofill based on response",INDEX('MRE'!$O$10:$O$18,MATCH($F134,'MRE'!$B$10:$B$18,0))),"N/A")</f>
        <v/>
      </c>
      <c r="S134" s="52">
        <f>IFERROR(IF(INDEX('AC&amp;M'!$O$10:$O$14,MATCH($F134,'AC&amp;M'!$B$10:$B$14,0))="","Cell will autofill based on response",INDEX('AC&amp;M'!$O$10:$O$14,MATCH($F134,'AC&amp;M'!$B$10:$B$14,0))),"N/A")</f>
        <v/>
      </c>
      <c r="T134" s="52">
        <f>IFERROR(IF(INDEX('GCE'!$O$10:$O$12,MATCH($F134,'GCE'!$B$10:$B$12,0))="","Cell will autofill based on response",INDEX('GCE'!$O$10:$O$12,MATCH($F134,'GCE'!$B$10:$B$12,0))),"N/A")</f>
        <v/>
      </c>
      <c r="U134" s="52">
        <f>IFERROR(IF(INDEX('Education'!$O$10:$O$13,MATCH($F134,'Education'!$B$10:$B$13,0))="","Cell will autofill based on response",INDEX('Education'!$O$10:$O$13,MATCH($F134,'Education'!$B$10:$B$13,0))),"N/A")</f>
        <v/>
      </c>
      <c r="V134" s="52">
        <f>IFERROR(IF(INDEX('SaSS'!$O$10:$O$12,MATCH($F134,'SaSS'!$B$10:$B$12,0))="","Cell will autofill based on response",INDEX('SaSS'!$O$10:$O$12,MATCH($F134,'SaSS'!$B$10:$B$12,0))),"N/A")</f>
        <v/>
      </c>
      <c r="W134" s="52">
        <f>IFERROR(IF(INDEX('Indigenous'!$O$10:$O$11,MATCH($F134,'Indigenous'!$B$10:$B$11,0))="","Cell will autofill based on response",INDEX('Indigenous'!$O$10:$O$11,MATCH($F134,'Indigenous'!$B$10:$B$11,0))),"N/A")</f>
        <v/>
      </c>
      <c r="X134" s="52">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NB2(c)</t>
        </is>
      </c>
      <c r="G135" s="8" t="inlineStr">
        <is>
          <t>Data owner confirms</t>
        </is>
      </c>
      <c r="H135" s="52">
        <f>IFERROR(IF(INDEX('Faculties'!$P$10:$P$19,MATCH($F135,'Faculties'!$B$10:$B$19,0))="","Cell will autofill based on response",INDEX('Faculties'!$P$10:$P$19,MATCH($F135,'Faculties'!$B$10:$B$19,0))),"N/A")</f>
        <v/>
      </c>
      <c r="I135" s="52">
        <f>IFERROR(IF(INDEX('Faculties'!$P$26:$P$35,MATCH($F135,'Faculties'!$B$26:$B$35,0))="","Cell will autofill based on response",INDEX('Faculties'!$P$26:$P$35,MATCH($F135,'Faculties'!$B$26:$B$35,0))),"N/A")</f>
        <v/>
      </c>
      <c r="J135" s="52">
        <f>IFERROR(IF(INDEX('Faculties'!$P$42:$P$51,MATCH($F135,'Faculties'!$B$42:$B$51,0))="","Cell will autofill based on response",INDEX('Faculties'!$P$42:$P$51,MATCH($F135,'Faculties'!$B$42:$B$51,0))),"N/A")</f>
        <v/>
      </c>
      <c r="K135" s="52">
        <f>IFERROR(IF(INDEX('Faculties'!$P$58:$P$67,MATCH($F135,'Faculties'!$B$58:$B$67,0))="","Cell will autofill based on response",INDEX('Faculties'!$P$58:$P$67,MATCH($F135,'Faculties'!$B$58:$B$67,0))),"N/A")</f>
        <v/>
      </c>
      <c r="L135" s="52">
        <f>IFERROR(IF(INDEX('CI&amp;S'!$P$10:$P$15,MATCH($F135,'CI&amp;S'!$B$10:$B$15,0))="","Cell will autofill based on response",INDEX('CI&amp;S'!$P$10:$P$15,MATCH($F135,'CI&amp;S'!$B$10:$B$15,0))),"N/A")</f>
        <v/>
      </c>
      <c r="M135" s="52">
        <f>IFERROR(IF(INDEX('CI&amp;S'!$P$22:$P$36,MATCH($F135,'CI&amp;S'!$B$22:$B$36,0))="","Cell will autofill based on response",INDEX('CI&amp;S'!$P$22:$P$36,MATCH($F135,'CI&amp;S'!$B$22:$B$36,0))),"N/A")</f>
        <v/>
      </c>
      <c r="N135" s="52">
        <f>IFERROR(IF(INDEX('CFOG'!$P$10:$P$16,MATCH($F135,'CFOG'!$B$10:$B$16,0))="","Cell will autofill based on response",INDEX('CFOG'!$P$10:$P$16,MATCH($F135,'CFOG'!$B$10:$B$16,0))),"N/A")</f>
        <v/>
      </c>
      <c r="O135" s="52">
        <f>IFERROR(IF(INDEX('CFOG'!$P$23:$P$24,MATCH($F135,'CFOG'!$B$23:$B$24,0))="","Cell will autofill based on response",INDEX('CFOG'!$P$23:$P$24,MATCH($F135,'CFOG'!$B$23:$B$24,0))),"N/A")</f>
        <v/>
      </c>
      <c r="P135" s="52">
        <f>IFERROR(IF(INDEX('ESG'!$P$10:$P$17,MATCH($F135,'ESG'!$B$10:$B$17,0))="","Cell will autofill based on response",INDEX('ESG'!$P$10:$P$17,MATCH($F135,'ESG'!$B$10:$B$17,0))),"N/A")</f>
        <v/>
      </c>
      <c r="Q135" s="52">
        <f>IFERROR(IF(INDEX('CIOG'!$P$10:$P$14,MATCH($F135,'CIOG'!$B$10:$B$14,0))="","Cell will autofill based on response",INDEX('CIOG'!$P$10:$P$14,MATCH($F135,'CIOG'!$B$10:$B$14,0))),"N/A")</f>
        <v/>
      </c>
      <c r="R135" s="52">
        <f>IFERROR(IF(INDEX('MRE'!$P$10:$P$18,MATCH($F135,'MRE'!$B$10:$B$18,0))="","Cell will autofill based on response",INDEX('MRE'!$P$10:$P$18,MATCH($F135,'MRE'!$B$10:$B$18,0))),"N/A")</f>
        <v/>
      </c>
      <c r="S135" s="52">
        <f>IFERROR(IF(INDEX('AC&amp;M'!$P$10:$P$14,MATCH($F135,'AC&amp;M'!$B$10:$B$14,0))="","Cell will autofill based on response",INDEX('AC&amp;M'!$P$10:$P$14,MATCH($F135,'AC&amp;M'!$B$10:$B$14,0))),"N/A")</f>
        <v/>
      </c>
      <c r="T135" s="52">
        <f>IFERROR(IF(INDEX('GCE'!$P$10:$P$12,MATCH($F135,'GCE'!$B$10:$B$12,0))="","Cell will autofill based on response",INDEX('GCE'!$P$10:$P$12,MATCH($F135,'GCE'!$B$10:$B$12,0))),"N/A")</f>
        <v/>
      </c>
      <c r="U135" s="52">
        <f>IFERROR(IF(INDEX('Education'!$P$10:$P$13,MATCH($F135,'Education'!$B$10:$B$13,0))="","Cell will autofill based on response",INDEX('Education'!$P$10:$P$13,MATCH($F135,'Education'!$B$10:$B$13,0))),"N/A")</f>
        <v/>
      </c>
      <c r="V135" s="52">
        <f>IFERROR(IF(INDEX('SaSS'!$P$10:$P$12,MATCH($F135,'SaSS'!$B$10:$B$12,0))="","Cell will autofill based on response",INDEX('SaSS'!$P$10:$P$12,MATCH($F135,'SaSS'!$B$10:$B$12,0))),"N/A")</f>
        <v/>
      </c>
      <c r="W135" s="52">
        <f>IFERROR(IF(INDEX('Indigenous'!$P$10:$P$11,MATCH($F135,'Indigenous'!$B$10:$B$11,0))="","Cell will autofill based on response",INDEX('Indigenous'!$P$10:$P$11,MATCH($F135,'Indigenous'!$B$10:$B$11,0))),"N/A")</f>
        <v/>
      </c>
      <c r="X135" s="52">
        <f>IFERROR(IF(INDEX('L&amp;R'!$P$10:$P$11,MATCH($F135,'L&amp;R'!$B$10:$B$11,0))="","Cell will autofill based on response",INDEX('L&amp;R'!$P$10:$P$11,MATCH($F135,'L&amp;R'!$B$10:$B$11,0))),"N/A")</f>
        <v/>
      </c>
    </row>
    <row r="136">
      <c r="A136">
        <f>F136&amp;"|"&amp;G136</f>
        <v/>
      </c>
      <c r="B136" s="7" t="inlineStr">
        <is>
          <t>AI1(a)</t>
        </is>
      </c>
      <c r="C136" s="50" t="inlineStr">
        <is>
          <t>Responsible AI</t>
        </is>
      </c>
      <c r="D136" s="50" t="inlineStr">
        <is>
          <t>Established measurement of estimated operational impacts and opportunities (eg operational impacts could include energy, water, emissions and intensity measures)</t>
        </is>
      </c>
      <c r="E136" s="50" t="inlineStr"/>
      <c r="F136" s="50" t="inlineStr">
        <is>
          <t>AI1(a)</t>
        </is>
      </c>
      <c r="G136" s="50" t="inlineStr">
        <is>
          <t>OPTION 1:  Target-level reporting</t>
        </is>
      </c>
      <c r="H136" s="52">
        <f>IFERROR(IF(INDEX('Faculties'!$L$10:$L$19,MATCH($F136,'Faculties'!$B$10:$B$19,0))="","Cell will autofill based on response",INDEX('Faculties'!$L$10:$L$19,MATCH($F136,'Faculties'!$B$10:$B$19,0))),"N/A")</f>
        <v/>
      </c>
      <c r="I136" s="52">
        <f>IFERROR(IF(INDEX('Faculties'!$L$26:$L$35,MATCH($F136,'Faculties'!$B$26:$B$35,0))="","Cell will autofill based on response",INDEX('Faculties'!$L$26:$L$35,MATCH($F136,'Faculties'!$B$26:$B$35,0))),"N/A")</f>
        <v/>
      </c>
      <c r="J136" s="52">
        <f>IFERROR(IF(INDEX('Faculties'!$L$42:$L$51,MATCH($F136,'Faculties'!$B$42:$B$51,0))="","Cell will autofill based on response",INDEX('Faculties'!$L$42:$L$51,MATCH($F136,'Faculties'!$B$42:$B$51,0))),"N/A")</f>
        <v/>
      </c>
      <c r="K136" s="52">
        <f>IFERROR(IF(INDEX('Faculties'!$L$58:$L$67,MATCH($F136,'Faculties'!$B$58:$B$67,0))="","Cell will autofill based on response",INDEX('Faculties'!$L$58:$L$67,MATCH($F136,'Faculties'!$B$58:$B$67,0))),"N/A")</f>
        <v/>
      </c>
      <c r="L136" s="52">
        <f>IFERROR(IF(INDEX('CI&amp;S'!$L$10:$L$15,MATCH($F136,'CI&amp;S'!$B$10:$B$15,0))="","Cell will autofill based on response",INDEX('CI&amp;S'!$L$10:$L$15,MATCH($F136,'CI&amp;S'!$B$10:$B$15,0))),"N/A")</f>
        <v/>
      </c>
      <c r="M136" s="52">
        <f>IFERROR(IF(INDEX('CI&amp;S'!$L$22:$L$36,MATCH($F136,'CI&amp;S'!$B$22:$B$36,0))="","Cell will autofill based on response",INDEX('CI&amp;S'!$L$22:$L$36,MATCH($F136,'CI&amp;S'!$B$22:$B$36,0))),"N/A")</f>
        <v/>
      </c>
      <c r="N136" s="52">
        <f>IFERROR(IF(INDEX('CFOG'!$L$10:$L$16,MATCH($F136,'CFOG'!$B$10:$B$16,0))="","Cell will autofill based on response",INDEX('CFOG'!$L$10:$L$16,MATCH($F136,'CFOG'!$B$10:$B$16,0))),"N/A")</f>
        <v/>
      </c>
      <c r="O136" s="52">
        <f>IFERROR(IF(INDEX('CFOG'!$L$23:$L$24,MATCH($F136,'CFOG'!$B$23:$B$24,0))="","Cell will autofill based on response",INDEX('CFOG'!$L$23:$L$24,MATCH($F136,'CFOG'!$B$23:$B$24,0))),"N/A")</f>
        <v/>
      </c>
      <c r="P136" s="52">
        <f>IFERROR(IF(INDEX('ESG'!$L$10:$L$17,MATCH($F136,'ESG'!$B$10:$B$17,0))="","Cell will autofill based on response",INDEX('ESG'!$L$10:$L$17,MATCH($F136,'ESG'!$B$10:$B$17,0))),"N/A")</f>
        <v/>
      </c>
      <c r="Q136" s="52">
        <f>IFERROR(IF(INDEX('CIOG'!$L$10:$L$14,MATCH($F136,'CIOG'!$B$10:$B$14,0))="","Cell will autofill based on response",INDEX('CIOG'!$L$10:$L$14,MATCH($F136,'CIOG'!$B$10:$B$14,0))),"N/A")</f>
        <v/>
      </c>
      <c r="R136" s="52">
        <f>IFERROR(IF(INDEX('MRE'!$L$10:$L$18,MATCH($F136,'MRE'!$B$10:$B$18,0))="","Cell will autofill based on response",INDEX('MRE'!$L$10:$L$18,MATCH($F136,'MRE'!$B$10:$B$18,0))),"N/A")</f>
        <v/>
      </c>
      <c r="S136" s="52">
        <f>IFERROR(IF(INDEX('AC&amp;M'!$L$10:$L$14,MATCH($F136,'AC&amp;M'!$B$10:$B$14,0))="","Cell will autofill based on response",INDEX('AC&amp;M'!$L$10:$L$14,MATCH($F136,'AC&amp;M'!$B$10:$B$14,0))),"N/A")</f>
        <v/>
      </c>
      <c r="T136" s="52">
        <f>IFERROR(IF(INDEX('GCE'!$L$10:$L$12,MATCH($F136,'GCE'!$B$10:$B$12,0))="","Cell will autofill based on response",INDEX('GCE'!$L$10:$L$12,MATCH($F136,'GCE'!$B$10:$B$12,0))),"N/A")</f>
        <v/>
      </c>
      <c r="U136" s="52">
        <f>IFERROR(IF(INDEX('Education'!$L$10:$L$13,MATCH($F136,'Education'!$B$10:$B$13,0))="","Cell will autofill based on response",INDEX('Education'!$L$10:$L$13,MATCH($F136,'Education'!$B$10:$B$13,0))),"N/A")</f>
        <v/>
      </c>
      <c r="V136" s="52">
        <f>IFERROR(IF(INDEX('SaSS'!$L$10:$L$12,MATCH($F136,'SaSS'!$B$10:$B$12,0))="","Cell will autofill based on response",INDEX('SaSS'!$L$10:$L$12,MATCH($F136,'SaSS'!$B$10:$B$12,0))),"N/A")</f>
        <v/>
      </c>
      <c r="W136" s="52">
        <f>IFERROR(IF(INDEX('Indigenous'!$L$10:$L$11,MATCH($F136,'Indigenous'!$B$10:$B$11,0))="","Cell will autofill based on response",INDEX('Indigenous'!$L$10:$L$11,MATCH($F136,'Indigenous'!$B$10:$B$11,0))),"N/A")</f>
        <v/>
      </c>
      <c r="X136" s="52">
        <f>IFERROR(IF(INDEX('L&amp;R'!$L$10:$L$11,MATCH($F136,'L&amp;R'!$B$10:$B$11,0))="","Cell will autofill based on response",INDEX('L&amp;R'!$L$10:$L$11,MATCH($F136,'L&amp;R'!$B$10:$B$11,0))),"N/A")</f>
        <v/>
      </c>
      <c r="Z136" s="10">
        <f>SUMPRODUCT(--($H136:$X136&lt;&gt;"N/A"))</f>
        <v/>
      </c>
      <c r="AA136" s="10">
        <f>SUMPRODUCT(--(((($H136:$X136&lt;&gt;"N/A")*($H136:$X136&lt;&gt;"Cell will autofill based on response"))+(($H137:$X137&lt;&gt;"N/A")*($H137:$X137&lt;&gt;"Cell will autofill based on response")))&gt;0))</f>
        <v/>
      </c>
      <c r="AB136" s="10">
        <f>Z136-AA136</f>
        <v/>
      </c>
      <c r="AC136" s="10">
        <f>COUNTIF($H140:$X140,"Yes")</f>
        <v/>
      </c>
    </row>
    <row r="137">
      <c r="A137">
        <f>F137&amp;"|"&amp;G137</f>
        <v/>
      </c>
      <c r="B137" s="13" t="inlineStr"/>
      <c r="C137" s="8" t="inlineStr"/>
      <c r="D137" s="8" t="inlineStr"/>
      <c r="E137" s="8" t="inlineStr"/>
      <c r="F137" s="8" t="inlineStr">
        <is>
          <t>AI1(a)</t>
        </is>
      </c>
      <c r="G137" s="8" t="inlineStr">
        <is>
          <t>OPTION 2:  Indicator level reporting</t>
        </is>
      </c>
      <c r="H137" s="52">
        <f>IFERROR(IF(INDEX('Faculties'!$M$10:$M$19,MATCH($F137,'Faculties'!$B$10:$B$19,0))="","Cell will autofill based on response",INDEX('Faculties'!$M$10:$M$19,MATCH($F137,'Faculties'!$B$10:$B$19,0))),"N/A")</f>
        <v/>
      </c>
      <c r="I137" s="52">
        <f>IFERROR(IF(INDEX('Faculties'!$M$26:$M$35,MATCH($F137,'Faculties'!$B$26:$B$35,0))="","Cell will autofill based on response",INDEX('Faculties'!$M$26:$M$35,MATCH($F137,'Faculties'!$B$26:$B$35,0))),"N/A")</f>
        <v/>
      </c>
      <c r="J137" s="52">
        <f>IFERROR(IF(INDEX('Faculties'!$M$42:$M$51,MATCH($F137,'Faculties'!$B$42:$B$51,0))="","Cell will autofill based on response",INDEX('Faculties'!$M$42:$M$51,MATCH($F137,'Faculties'!$B$42:$B$51,0))),"N/A")</f>
        <v/>
      </c>
      <c r="K137" s="52">
        <f>IFERROR(IF(INDEX('Faculties'!$M$58:$M$67,MATCH($F137,'Faculties'!$B$58:$B$67,0))="","Cell will autofill based on response",INDEX('Faculties'!$M$58:$M$67,MATCH($F137,'Faculties'!$B$58:$B$67,0))),"N/A")</f>
        <v/>
      </c>
      <c r="L137" s="52">
        <f>IFERROR(IF(INDEX('CI&amp;S'!$M$10:$M$15,MATCH($F137,'CI&amp;S'!$B$10:$B$15,0))="","Cell will autofill based on response",INDEX('CI&amp;S'!$M$10:$M$15,MATCH($F137,'CI&amp;S'!$B$10:$B$15,0))),"N/A")</f>
        <v/>
      </c>
      <c r="M137" s="52">
        <f>IFERROR(IF(INDEX('CI&amp;S'!$M$22:$M$36,MATCH($F137,'CI&amp;S'!$B$22:$B$36,0))="","Cell will autofill based on response",INDEX('CI&amp;S'!$M$22:$M$36,MATCH($F137,'CI&amp;S'!$B$22:$B$36,0))),"N/A")</f>
        <v/>
      </c>
      <c r="N137" s="52">
        <f>IFERROR(IF(INDEX('CFOG'!$M$10:$M$16,MATCH($F137,'CFOG'!$B$10:$B$16,0))="","Cell will autofill based on response",INDEX('CFOG'!$M$10:$M$16,MATCH($F137,'CFOG'!$B$10:$B$16,0))),"N/A")</f>
        <v/>
      </c>
      <c r="O137" s="52">
        <f>IFERROR(IF(INDEX('CFOG'!$M$23:$M$24,MATCH($F137,'CFOG'!$B$23:$B$24,0))="","Cell will autofill based on response",INDEX('CFOG'!$M$23:$M$24,MATCH($F137,'CFOG'!$B$23:$B$24,0))),"N/A")</f>
        <v/>
      </c>
      <c r="P137" s="52">
        <f>IFERROR(IF(INDEX('ESG'!$M$10:$M$17,MATCH($F137,'ESG'!$B$10:$B$17,0))="","Cell will autofill based on response",INDEX('ESG'!$M$10:$M$17,MATCH($F137,'ESG'!$B$10:$B$17,0))),"N/A")</f>
        <v/>
      </c>
      <c r="Q137" s="52">
        <f>IFERROR(IF(INDEX('CIOG'!$M$10:$M$14,MATCH($F137,'CIOG'!$B$10:$B$14,0))="","Cell will autofill based on response",INDEX('CIOG'!$M$10:$M$14,MATCH($F137,'CIOG'!$B$10:$B$14,0))),"N/A")</f>
        <v/>
      </c>
      <c r="R137" s="52">
        <f>IFERROR(IF(INDEX('MRE'!$M$10:$M$18,MATCH($F137,'MRE'!$B$10:$B$18,0))="","Cell will autofill based on response",INDEX('MRE'!$M$10:$M$18,MATCH($F137,'MRE'!$B$10:$B$18,0))),"N/A")</f>
        <v/>
      </c>
      <c r="S137" s="52">
        <f>IFERROR(IF(INDEX('AC&amp;M'!$M$10:$M$14,MATCH($F137,'AC&amp;M'!$B$10:$B$14,0))="","Cell will autofill based on response",INDEX('AC&amp;M'!$M$10:$M$14,MATCH($F137,'AC&amp;M'!$B$10:$B$14,0))),"N/A")</f>
        <v/>
      </c>
      <c r="T137" s="52">
        <f>IFERROR(IF(INDEX('GCE'!$M$10:$M$12,MATCH($F137,'GCE'!$B$10:$B$12,0))="","Cell will autofill based on response",INDEX('GCE'!$M$10:$M$12,MATCH($F137,'GCE'!$B$10:$B$12,0))),"N/A")</f>
        <v/>
      </c>
      <c r="U137" s="52">
        <f>IFERROR(IF(INDEX('Education'!$M$10:$M$13,MATCH($F137,'Education'!$B$10:$B$13,0))="","Cell will autofill based on response",INDEX('Education'!$M$10:$M$13,MATCH($F137,'Education'!$B$10:$B$13,0))),"N/A")</f>
        <v/>
      </c>
      <c r="V137" s="52">
        <f>IFERROR(IF(INDEX('SaSS'!$M$10:$M$12,MATCH($F137,'SaSS'!$B$10:$B$12,0))="","Cell will autofill based on response",INDEX('SaSS'!$M$10:$M$12,MATCH($F137,'SaSS'!$B$10:$B$12,0))),"N/A")</f>
        <v/>
      </c>
      <c r="W137" s="52">
        <f>IFERROR(IF(INDEX('Indigenous'!$M$10:$M$11,MATCH($F137,'Indigenous'!$B$10:$B$11,0))="","Cell will autofill based on response",INDEX('Indigenous'!$M$10:$M$11,MATCH($F137,'Indigenous'!$B$10:$B$11,0))),"N/A")</f>
        <v/>
      </c>
      <c r="X137" s="52">
        <f>IFERROR(IF(INDEX('L&amp;R'!$M$10:$M$11,MATCH($F137,'L&amp;R'!$B$10:$B$11,0))="","Cell will autofill based on response",INDEX('L&amp;R'!$M$10:$M$11,MATCH($F137,'L&amp;R'!$B$10:$B$11,0))),"N/A")</f>
        <v/>
      </c>
    </row>
    <row r="138">
      <c r="A138">
        <f>F138&amp;"|"&amp;G138</f>
        <v/>
      </c>
      <c r="B138" s="13" t="inlineStr"/>
      <c r="C138" s="8" t="inlineStr"/>
      <c r="D138" s="8" t="inlineStr"/>
      <c r="E138" s="8" t="inlineStr"/>
      <c r="F138" s="8" t="inlineStr">
        <is>
          <t>AI1(a)</t>
        </is>
      </c>
      <c r="G138" s="8" t="inlineStr">
        <is>
          <t>Supporting information/comments</t>
        </is>
      </c>
      <c r="H138" s="52">
        <f>IFERROR(IF(INDEX('Faculties'!$N$10:$N$19,MATCH($F138,'Faculties'!$B$10:$B$19,0))="","Cell will autofill based on response",INDEX('Faculties'!$N$10:$N$19,MATCH($F138,'Faculties'!$B$10:$B$19,0))),"N/A")</f>
        <v/>
      </c>
      <c r="I138" s="52">
        <f>IFERROR(IF(INDEX('Faculties'!$N$26:$N$35,MATCH($F138,'Faculties'!$B$26:$B$35,0))="","Cell will autofill based on response",INDEX('Faculties'!$N$26:$N$35,MATCH($F138,'Faculties'!$B$26:$B$35,0))),"N/A")</f>
        <v/>
      </c>
      <c r="J138" s="52">
        <f>IFERROR(IF(INDEX('Faculties'!$N$42:$N$51,MATCH($F138,'Faculties'!$B$42:$B$51,0))="","Cell will autofill based on response",INDEX('Faculties'!$N$42:$N$51,MATCH($F138,'Faculties'!$B$42:$B$51,0))),"N/A")</f>
        <v/>
      </c>
      <c r="K138" s="52">
        <f>IFERROR(IF(INDEX('Faculties'!$N$58:$N$67,MATCH($F138,'Faculties'!$B$58:$B$67,0))="","Cell will autofill based on response",INDEX('Faculties'!$N$58:$N$67,MATCH($F138,'Faculties'!$B$58:$B$67,0))),"N/A")</f>
        <v/>
      </c>
      <c r="L138" s="52">
        <f>IFERROR(IF(INDEX('CI&amp;S'!$N$10:$N$15,MATCH($F138,'CI&amp;S'!$B$10:$B$15,0))="","Cell will autofill based on response",INDEX('CI&amp;S'!$N$10:$N$15,MATCH($F138,'CI&amp;S'!$B$10:$B$15,0))),"N/A")</f>
        <v/>
      </c>
      <c r="M138" s="52">
        <f>IFERROR(IF(INDEX('CI&amp;S'!$N$22:$N$36,MATCH($F138,'CI&amp;S'!$B$22:$B$36,0))="","Cell will autofill based on response",INDEX('CI&amp;S'!$N$22:$N$36,MATCH($F138,'CI&amp;S'!$B$22:$B$36,0))),"N/A")</f>
        <v/>
      </c>
      <c r="N138" s="52">
        <f>IFERROR(IF(INDEX('CFOG'!$N$10:$N$16,MATCH($F138,'CFOG'!$B$10:$B$16,0))="","Cell will autofill based on response",INDEX('CFOG'!$N$10:$N$16,MATCH($F138,'CFOG'!$B$10:$B$16,0))),"N/A")</f>
        <v/>
      </c>
      <c r="O138" s="52">
        <f>IFERROR(IF(INDEX('CFOG'!$N$23:$N$24,MATCH($F138,'CFOG'!$B$23:$B$24,0))="","Cell will autofill based on response",INDEX('CFOG'!$N$23:$N$24,MATCH($F138,'CFOG'!$B$23:$B$24,0))),"N/A")</f>
        <v/>
      </c>
      <c r="P138" s="52">
        <f>IFERROR(IF(INDEX('ESG'!$N$10:$N$17,MATCH($F138,'ESG'!$B$10:$B$17,0))="","Cell will autofill based on response",INDEX('ESG'!$N$10:$N$17,MATCH($F138,'ESG'!$B$10:$B$17,0))),"N/A")</f>
        <v/>
      </c>
      <c r="Q138" s="52">
        <f>IFERROR(IF(INDEX('CIOG'!$N$10:$N$14,MATCH($F138,'CIOG'!$B$10:$B$14,0))="","Cell will autofill based on response",INDEX('CIOG'!$N$10:$N$14,MATCH($F138,'CIOG'!$B$10:$B$14,0))),"N/A")</f>
        <v/>
      </c>
      <c r="R138" s="52">
        <f>IFERROR(IF(INDEX('MRE'!$N$10:$N$18,MATCH($F138,'MRE'!$B$10:$B$18,0))="","Cell will autofill based on response",INDEX('MRE'!$N$10:$N$18,MATCH($F138,'MRE'!$B$10:$B$18,0))),"N/A")</f>
        <v/>
      </c>
      <c r="S138" s="52">
        <f>IFERROR(IF(INDEX('AC&amp;M'!$N$10:$N$14,MATCH($F138,'AC&amp;M'!$B$10:$B$14,0))="","Cell will autofill based on response",INDEX('AC&amp;M'!$N$10:$N$14,MATCH($F138,'AC&amp;M'!$B$10:$B$14,0))),"N/A")</f>
        <v/>
      </c>
      <c r="T138" s="52">
        <f>IFERROR(IF(INDEX('GCE'!$N$10:$N$12,MATCH($F138,'GCE'!$B$10:$B$12,0))="","Cell will autofill based on response",INDEX('GCE'!$N$10:$N$12,MATCH($F138,'GCE'!$B$10:$B$12,0))),"N/A")</f>
        <v/>
      </c>
      <c r="U138" s="52">
        <f>IFERROR(IF(INDEX('Education'!$N$10:$N$13,MATCH($F138,'Education'!$B$10:$B$13,0))="","Cell will autofill based on response",INDEX('Education'!$N$10:$N$13,MATCH($F138,'Education'!$B$10:$B$13,0))),"N/A")</f>
        <v/>
      </c>
      <c r="V138" s="52">
        <f>IFERROR(IF(INDEX('SaSS'!$N$10:$N$12,MATCH($F138,'SaSS'!$B$10:$B$12,0))="","Cell will autofill based on response",INDEX('SaSS'!$N$10:$N$12,MATCH($F138,'SaSS'!$B$10:$B$12,0))),"N/A")</f>
        <v/>
      </c>
      <c r="W138" s="52">
        <f>IFERROR(IF(INDEX('Indigenous'!$N$10:$N$11,MATCH($F138,'Indigenous'!$B$10:$B$11,0))="","Cell will autofill based on response",INDEX('Indigenous'!$N$10:$N$11,MATCH($F138,'Indigenous'!$B$10:$B$11,0))),"N/A")</f>
        <v/>
      </c>
      <c r="X138" s="52">
        <f>IFERROR(IF(INDEX('L&amp;R'!$N$10:$N$11,MATCH($F138,'L&amp;R'!$B$10:$B$11,0))="","Cell will autofill based on response",INDEX('L&amp;R'!$N$10:$N$11,MATCH($F138,'L&amp;R'!$B$10:$B$11,0))),"N/A")</f>
        <v/>
      </c>
    </row>
    <row r="139">
      <c r="A139">
        <f>F139&amp;"|"&amp;G139</f>
        <v/>
      </c>
      <c r="B139" s="13" t="inlineStr"/>
      <c r="C139" s="8" t="inlineStr"/>
      <c r="D139" s="8" t="inlineStr"/>
      <c r="E139" s="8" t="inlineStr"/>
      <c r="F139" s="8" t="inlineStr">
        <is>
          <t>AI1(a)</t>
        </is>
      </c>
      <c r="G139" s="8" t="inlineStr">
        <is>
          <t>Data source and limitations</t>
        </is>
      </c>
      <c r="H139" s="52">
        <f>IFERROR(IF(INDEX('Faculties'!$O$10:$O$19,MATCH($F139,'Faculties'!$B$10:$B$19,0))="","Cell will autofill based on response",INDEX('Faculties'!$O$10:$O$19,MATCH($F139,'Faculties'!$B$10:$B$19,0))),"N/A")</f>
        <v/>
      </c>
      <c r="I139" s="52">
        <f>IFERROR(IF(INDEX('Faculties'!$O$26:$O$35,MATCH($F139,'Faculties'!$B$26:$B$35,0))="","Cell will autofill based on response",INDEX('Faculties'!$O$26:$O$35,MATCH($F139,'Faculties'!$B$26:$B$35,0))),"N/A")</f>
        <v/>
      </c>
      <c r="J139" s="52">
        <f>IFERROR(IF(INDEX('Faculties'!$O$42:$O$51,MATCH($F139,'Faculties'!$B$42:$B$51,0))="","Cell will autofill based on response",INDEX('Faculties'!$O$42:$O$51,MATCH($F139,'Faculties'!$B$42:$B$51,0))),"N/A")</f>
        <v/>
      </c>
      <c r="K139" s="52">
        <f>IFERROR(IF(INDEX('Faculties'!$O$58:$O$67,MATCH($F139,'Faculties'!$B$58:$B$67,0))="","Cell will autofill based on response",INDEX('Faculties'!$O$58:$O$67,MATCH($F139,'Faculties'!$B$58:$B$67,0))),"N/A")</f>
        <v/>
      </c>
      <c r="L139" s="52">
        <f>IFERROR(IF(INDEX('CI&amp;S'!$O$10:$O$15,MATCH($F139,'CI&amp;S'!$B$10:$B$15,0))="","Cell will autofill based on response",INDEX('CI&amp;S'!$O$10:$O$15,MATCH($F139,'CI&amp;S'!$B$10:$B$15,0))),"N/A")</f>
        <v/>
      </c>
      <c r="M139" s="52">
        <f>IFERROR(IF(INDEX('CI&amp;S'!$O$22:$O$36,MATCH($F139,'CI&amp;S'!$B$22:$B$36,0))="","Cell will autofill based on response",INDEX('CI&amp;S'!$O$22:$O$36,MATCH($F139,'CI&amp;S'!$B$22:$B$36,0))),"N/A")</f>
        <v/>
      </c>
      <c r="N139" s="52">
        <f>IFERROR(IF(INDEX('CFOG'!$O$10:$O$16,MATCH($F139,'CFOG'!$B$10:$B$16,0))="","Cell will autofill based on response",INDEX('CFOG'!$O$10:$O$16,MATCH($F139,'CFOG'!$B$10:$B$16,0))),"N/A")</f>
        <v/>
      </c>
      <c r="O139" s="52">
        <f>IFERROR(IF(INDEX('CFOG'!$O$23:$O$24,MATCH($F139,'CFOG'!$B$23:$B$24,0))="","Cell will autofill based on response",INDEX('CFOG'!$O$23:$O$24,MATCH($F139,'CFOG'!$B$23:$B$24,0))),"N/A")</f>
        <v/>
      </c>
      <c r="P139" s="52">
        <f>IFERROR(IF(INDEX('ESG'!$O$10:$O$17,MATCH($F139,'ESG'!$B$10:$B$17,0))="","Cell will autofill based on response",INDEX('ESG'!$O$10:$O$17,MATCH($F139,'ESG'!$B$10:$B$17,0))),"N/A")</f>
        <v/>
      </c>
      <c r="Q139" s="52">
        <f>IFERROR(IF(INDEX('CIOG'!$O$10:$O$14,MATCH($F139,'CIOG'!$B$10:$B$14,0))="","Cell will autofill based on response",INDEX('CIOG'!$O$10:$O$14,MATCH($F139,'CIOG'!$B$10:$B$14,0))),"N/A")</f>
        <v/>
      </c>
      <c r="R139" s="52">
        <f>IFERROR(IF(INDEX('MRE'!$O$10:$O$18,MATCH($F139,'MRE'!$B$10:$B$18,0))="","Cell will autofill based on response",INDEX('MRE'!$O$10:$O$18,MATCH($F139,'MRE'!$B$10:$B$18,0))),"N/A")</f>
        <v/>
      </c>
      <c r="S139" s="52">
        <f>IFERROR(IF(INDEX('AC&amp;M'!$O$10:$O$14,MATCH($F139,'AC&amp;M'!$B$10:$B$14,0))="","Cell will autofill based on response",INDEX('AC&amp;M'!$O$10:$O$14,MATCH($F139,'AC&amp;M'!$B$10:$B$14,0))),"N/A")</f>
        <v/>
      </c>
      <c r="T139" s="52">
        <f>IFERROR(IF(INDEX('GCE'!$O$10:$O$12,MATCH($F139,'GCE'!$B$10:$B$12,0))="","Cell will autofill based on response",INDEX('GCE'!$O$10:$O$12,MATCH($F139,'GCE'!$B$10:$B$12,0))),"N/A")</f>
        <v/>
      </c>
      <c r="U139" s="52">
        <f>IFERROR(IF(INDEX('Education'!$O$10:$O$13,MATCH($F139,'Education'!$B$10:$B$13,0))="","Cell will autofill based on response",INDEX('Education'!$O$10:$O$13,MATCH($F139,'Education'!$B$10:$B$13,0))),"N/A")</f>
        <v/>
      </c>
      <c r="V139" s="52">
        <f>IFERROR(IF(INDEX('SaSS'!$O$10:$O$12,MATCH($F139,'SaSS'!$B$10:$B$12,0))="","Cell will autofill based on response",INDEX('SaSS'!$O$10:$O$12,MATCH($F139,'SaSS'!$B$10:$B$12,0))),"N/A")</f>
        <v/>
      </c>
      <c r="W139" s="52">
        <f>IFERROR(IF(INDEX('Indigenous'!$O$10:$O$11,MATCH($F139,'Indigenous'!$B$10:$B$11,0))="","Cell will autofill based on response",INDEX('Indigenous'!$O$10:$O$11,MATCH($F139,'Indigenous'!$B$10:$B$11,0))),"N/A")</f>
        <v/>
      </c>
      <c r="X139" s="52">
        <f>IFERROR(IF(INDEX('L&amp;R'!$O$10:$O$11,MATCH($F139,'L&amp;R'!$B$10:$B$11,0))="","Cell will autofill based on response",INDEX('L&amp;R'!$O$10:$O$11,MATCH($F139,'L&amp;R'!$B$10:$B$11,0))),"N/A")</f>
        <v/>
      </c>
    </row>
    <row r="140">
      <c r="A140">
        <f>F140&amp;"|"&amp;G140</f>
        <v/>
      </c>
      <c r="B140" s="13" t="inlineStr"/>
      <c r="C140" s="8" t="inlineStr"/>
      <c r="D140" s="8" t="inlineStr"/>
      <c r="E140" s="8" t="inlineStr"/>
      <c r="F140" s="8" t="inlineStr">
        <is>
          <t>AI1(a)</t>
        </is>
      </c>
      <c r="G140" s="8" t="inlineStr">
        <is>
          <t>Data owner confirms</t>
        </is>
      </c>
      <c r="H140" s="52">
        <f>IFERROR(IF(INDEX('Faculties'!$P$10:$P$19,MATCH($F140,'Faculties'!$B$10:$B$19,0))="","Cell will autofill based on response",INDEX('Faculties'!$P$10:$P$19,MATCH($F140,'Faculties'!$B$10:$B$19,0))),"N/A")</f>
        <v/>
      </c>
      <c r="I140" s="52">
        <f>IFERROR(IF(INDEX('Faculties'!$P$26:$P$35,MATCH($F140,'Faculties'!$B$26:$B$35,0))="","Cell will autofill based on response",INDEX('Faculties'!$P$26:$P$35,MATCH($F140,'Faculties'!$B$26:$B$35,0))),"N/A")</f>
        <v/>
      </c>
      <c r="J140" s="52">
        <f>IFERROR(IF(INDEX('Faculties'!$P$42:$P$51,MATCH($F140,'Faculties'!$B$42:$B$51,0))="","Cell will autofill based on response",INDEX('Faculties'!$P$42:$P$51,MATCH($F140,'Faculties'!$B$42:$B$51,0))),"N/A")</f>
        <v/>
      </c>
      <c r="K140" s="52">
        <f>IFERROR(IF(INDEX('Faculties'!$P$58:$P$67,MATCH($F140,'Faculties'!$B$58:$B$67,0))="","Cell will autofill based on response",INDEX('Faculties'!$P$58:$P$67,MATCH($F140,'Faculties'!$B$58:$B$67,0))),"N/A")</f>
        <v/>
      </c>
      <c r="L140" s="52">
        <f>IFERROR(IF(INDEX('CI&amp;S'!$P$10:$P$15,MATCH($F140,'CI&amp;S'!$B$10:$B$15,0))="","Cell will autofill based on response",INDEX('CI&amp;S'!$P$10:$P$15,MATCH($F140,'CI&amp;S'!$B$10:$B$15,0))),"N/A")</f>
        <v/>
      </c>
      <c r="M140" s="52">
        <f>IFERROR(IF(INDEX('CI&amp;S'!$P$22:$P$36,MATCH($F140,'CI&amp;S'!$B$22:$B$36,0))="","Cell will autofill based on response",INDEX('CI&amp;S'!$P$22:$P$36,MATCH($F140,'CI&amp;S'!$B$22:$B$36,0))),"N/A")</f>
        <v/>
      </c>
      <c r="N140" s="52">
        <f>IFERROR(IF(INDEX('CFOG'!$P$10:$P$16,MATCH($F140,'CFOG'!$B$10:$B$16,0))="","Cell will autofill based on response",INDEX('CFOG'!$P$10:$P$16,MATCH($F140,'CFOG'!$B$10:$B$16,0))),"N/A")</f>
        <v/>
      </c>
      <c r="O140" s="52">
        <f>IFERROR(IF(INDEX('CFOG'!$P$23:$P$24,MATCH($F140,'CFOG'!$B$23:$B$24,0))="","Cell will autofill based on response",INDEX('CFOG'!$P$23:$P$24,MATCH($F140,'CFOG'!$B$23:$B$24,0))),"N/A")</f>
        <v/>
      </c>
      <c r="P140" s="52">
        <f>IFERROR(IF(INDEX('ESG'!$P$10:$P$17,MATCH($F140,'ESG'!$B$10:$B$17,0))="","Cell will autofill based on response",INDEX('ESG'!$P$10:$P$17,MATCH($F140,'ESG'!$B$10:$B$17,0))),"N/A")</f>
        <v/>
      </c>
      <c r="Q140" s="52">
        <f>IFERROR(IF(INDEX('CIOG'!$P$10:$P$14,MATCH($F140,'CIOG'!$B$10:$B$14,0))="","Cell will autofill based on response",INDEX('CIOG'!$P$10:$P$14,MATCH($F140,'CIOG'!$B$10:$B$14,0))),"N/A")</f>
        <v/>
      </c>
      <c r="R140" s="52">
        <f>IFERROR(IF(INDEX('MRE'!$P$10:$P$18,MATCH($F140,'MRE'!$B$10:$B$18,0))="","Cell will autofill based on response",INDEX('MRE'!$P$10:$P$18,MATCH($F140,'MRE'!$B$10:$B$18,0))),"N/A")</f>
        <v/>
      </c>
      <c r="S140" s="52">
        <f>IFERROR(IF(INDEX('AC&amp;M'!$P$10:$P$14,MATCH($F140,'AC&amp;M'!$B$10:$B$14,0))="","Cell will autofill based on response",INDEX('AC&amp;M'!$P$10:$P$14,MATCH($F140,'AC&amp;M'!$B$10:$B$14,0))),"N/A")</f>
        <v/>
      </c>
      <c r="T140" s="52">
        <f>IFERROR(IF(INDEX('GCE'!$P$10:$P$12,MATCH($F140,'GCE'!$B$10:$B$12,0))="","Cell will autofill based on response",INDEX('GCE'!$P$10:$P$12,MATCH($F140,'GCE'!$B$10:$B$12,0))),"N/A")</f>
        <v/>
      </c>
      <c r="U140" s="52">
        <f>IFERROR(IF(INDEX('Education'!$P$10:$P$13,MATCH($F140,'Education'!$B$10:$B$13,0))="","Cell will autofill based on response",INDEX('Education'!$P$10:$P$13,MATCH($F140,'Education'!$B$10:$B$13,0))),"N/A")</f>
        <v/>
      </c>
      <c r="V140" s="52">
        <f>IFERROR(IF(INDEX('SaSS'!$P$10:$P$12,MATCH($F140,'SaSS'!$B$10:$B$12,0))="","Cell will autofill based on response",INDEX('SaSS'!$P$10:$P$12,MATCH($F140,'SaSS'!$B$10:$B$12,0))),"N/A")</f>
        <v/>
      </c>
      <c r="W140" s="52">
        <f>IFERROR(IF(INDEX('Indigenous'!$P$10:$P$11,MATCH($F140,'Indigenous'!$B$10:$B$11,0))="","Cell will autofill based on response",INDEX('Indigenous'!$P$10:$P$11,MATCH($F140,'Indigenous'!$B$10:$B$11,0))),"N/A")</f>
        <v/>
      </c>
      <c r="X140" s="52">
        <f>IFERROR(IF(INDEX('L&amp;R'!$P$10:$P$11,MATCH($F140,'L&amp;R'!$B$10:$B$11,0))="","Cell will autofill based on response",INDEX('L&amp;R'!$P$10:$P$11,MATCH($F140,'L&amp;R'!$B$10:$B$11,0))),"N/A")</f>
        <v/>
      </c>
    </row>
    <row r="141">
      <c r="A141">
        <f>F141&amp;"|"&amp;G141</f>
        <v/>
      </c>
      <c r="B141" s="7" t="inlineStr">
        <is>
          <t>AI1(b)</t>
        </is>
      </c>
      <c r="C141" s="50" t="inlineStr">
        <is>
          <t>Responsible AI</t>
        </is>
      </c>
      <c r="D141" s="50" t="inlineStr">
        <is>
          <t>Case studies of sustainability and AI-related education, research and collaboration activities.</t>
        </is>
      </c>
      <c r="E141" s="50" t="inlineStr">
        <is>
          <t>Please provide case studies from your Faculty/Portfolio of sustainability and AI-related education, research or collaboration activities, describing the activity, participants or partners, sustainability issue addressed and key outcomes or lessons.</t>
        </is>
      </c>
      <c r="F141" s="50" t="inlineStr">
        <is>
          <t>AI1(b)</t>
        </is>
      </c>
      <c r="G141" s="50" t="inlineStr">
        <is>
          <t>OPTION 1:  Target-level reporting</t>
        </is>
      </c>
      <c r="H141" s="52">
        <f>IFERROR(IF(INDEX('Faculties'!$L$10:$L$19,MATCH($F141,'Faculties'!$B$10:$B$19,0))="","Cell will autofill based on response",INDEX('Faculties'!$L$10:$L$19,MATCH($F141,'Faculties'!$B$10:$B$19,0))),"N/A")</f>
        <v/>
      </c>
      <c r="I141" s="52">
        <f>IFERROR(IF(INDEX('Faculties'!$L$26:$L$35,MATCH($F141,'Faculties'!$B$26:$B$35,0))="","Cell will autofill based on response",INDEX('Faculties'!$L$26:$L$35,MATCH($F141,'Faculties'!$B$26:$B$35,0))),"N/A")</f>
        <v/>
      </c>
      <c r="J141" s="52">
        <f>IFERROR(IF(INDEX('Faculties'!$L$42:$L$51,MATCH($F141,'Faculties'!$B$42:$B$51,0))="","Cell will autofill based on response",INDEX('Faculties'!$L$42:$L$51,MATCH($F141,'Faculties'!$B$42:$B$51,0))),"N/A")</f>
        <v/>
      </c>
      <c r="K141" s="52">
        <f>IFERROR(IF(INDEX('Faculties'!$L$58:$L$67,MATCH($F141,'Faculties'!$B$58:$B$67,0))="","Cell will autofill based on response",INDEX('Faculties'!$L$58:$L$67,MATCH($F141,'Faculties'!$B$58:$B$67,0))),"N/A")</f>
        <v/>
      </c>
      <c r="L141" s="52">
        <f>IFERROR(IF(INDEX('CI&amp;S'!$L$10:$L$15,MATCH($F141,'CI&amp;S'!$B$10:$B$15,0))="","Cell will autofill based on response",INDEX('CI&amp;S'!$L$10:$L$15,MATCH($F141,'CI&amp;S'!$B$10:$B$15,0))),"N/A")</f>
        <v/>
      </c>
      <c r="M141" s="52">
        <f>IFERROR(IF(INDEX('CI&amp;S'!$L$22:$L$36,MATCH($F141,'CI&amp;S'!$B$22:$B$36,0))="","Cell will autofill based on response",INDEX('CI&amp;S'!$L$22:$L$36,MATCH($F141,'CI&amp;S'!$B$22:$B$36,0))),"N/A")</f>
        <v/>
      </c>
      <c r="N141" s="52">
        <f>IFERROR(IF(INDEX('CFOG'!$L$10:$L$16,MATCH($F141,'CFOG'!$B$10:$B$16,0))="","Cell will autofill based on response",INDEX('CFOG'!$L$10:$L$16,MATCH($F141,'CFOG'!$B$10:$B$16,0))),"N/A")</f>
        <v/>
      </c>
      <c r="O141" s="52">
        <f>IFERROR(IF(INDEX('CFOG'!$L$23:$L$24,MATCH($F141,'CFOG'!$B$23:$B$24,0))="","Cell will autofill based on response",INDEX('CFOG'!$L$23:$L$24,MATCH($F141,'CFOG'!$B$23:$B$24,0))),"N/A")</f>
        <v/>
      </c>
      <c r="P141" s="52">
        <f>IFERROR(IF(INDEX('ESG'!$L$10:$L$17,MATCH($F141,'ESG'!$B$10:$B$17,0))="","Cell will autofill based on response",INDEX('ESG'!$L$10:$L$17,MATCH($F141,'ESG'!$B$10:$B$17,0))),"N/A")</f>
        <v/>
      </c>
      <c r="Q141" s="52">
        <f>IFERROR(IF(INDEX('CIOG'!$L$10:$L$14,MATCH($F141,'CIOG'!$B$10:$B$14,0))="","Cell will autofill based on response",INDEX('CIOG'!$L$10:$L$14,MATCH($F141,'CIOG'!$B$10:$B$14,0))),"N/A")</f>
        <v/>
      </c>
      <c r="R141" s="52">
        <f>IFERROR(IF(INDEX('MRE'!$L$10:$L$18,MATCH($F141,'MRE'!$B$10:$B$18,0))="","Cell will autofill based on response",INDEX('MRE'!$L$10:$L$18,MATCH($F141,'MRE'!$B$10:$B$18,0))),"N/A")</f>
        <v/>
      </c>
      <c r="S141" s="52">
        <f>IFERROR(IF(INDEX('AC&amp;M'!$L$10:$L$14,MATCH($F141,'AC&amp;M'!$B$10:$B$14,0))="","Cell will autofill based on response",INDEX('AC&amp;M'!$L$10:$L$14,MATCH($F141,'AC&amp;M'!$B$10:$B$14,0))),"N/A")</f>
        <v/>
      </c>
      <c r="T141" s="52">
        <f>IFERROR(IF(INDEX('GCE'!$L$10:$L$12,MATCH($F141,'GCE'!$B$10:$B$12,0))="","Cell will autofill based on response",INDEX('GCE'!$L$10:$L$12,MATCH($F141,'GCE'!$B$10:$B$12,0))),"N/A")</f>
        <v/>
      </c>
      <c r="U141" s="52">
        <f>IFERROR(IF(INDEX('Education'!$L$10:$L$13,MATCH($F141,'Education'!$B$10:$B$13,0))="","Cell will autofill based on response",INDEX('Education'!$L$10:$L$13,MATCH($F141,'Education'!$B$10:$B$13,0))),"N/A")</f>
        <v/>
      </c>
      <c r="V141" s="52">
        <f>IFERROR(IF(INDEX('SaSS'!$L$10:$L$12,MATCH($F141,'SaSS'!$B$10:$B$12,0))="","Cell will autofill based on response",INDEX('SaSS'!$L$10:$L$12,MATCH($F141,'SaSS'!$B$10:$B$12,0))),"N/A")</f>
        <v/>
      </c>
      <c r="W141" s="52">
        <f>IFERROR(IF(INDEX('Indigenous'!$L$10:$L$11,MATCH($F141,'Indigenous'!$B$10:$B$11,0))="","Cell will autofill based on response",INDEX('Indigenous'!$L$10:$L$11,MATCH($F141,'Indigenous'!$B$10:$B$11,0))),"N/A")</f>
        <v/>
      </c>
      <c r="X141" s="52">
        <f>IFERROR(IF(INDEX('L&amp;R'!$L$10:$L$11,MATCH($F141,'L&amp;R'!$B$10:$B$11,0))="","Cell will autofill based on response",INDEX('L&amp;R'!$L$10:$L$11,MATCH($F141,'L&amp;R'!$B$10:$B$11,0))),"N/A")</f>
        <v/>
      </c>
      <c r="Z141" s="10">
        <f>SUMPRODUCT(--($H141:$X141&lt;&gt;"N/A"))</f>
        <v/>
      </c>
      <c r="AA141" s="10">
        <f>SUMPRODUCT(--(((($H141:$X141&lt;&gt;"N/A")*($H141:$X141&lt;&gt;"Cell will autofill based on response"))+(($H142:$X142&lt;&gt;"N/A")*($H142:$X142&lt;&gt;"Cell will autofill based on response")))&gt;0))</f>
        <v/>
      </c>
      <c r="AB141" s="10">
        <f>Z141-AA141</f>
        <v/>
      </c>
      <c r="AC141" s="10">
        <f>COUNTIF($H145:$X145,"Yes")</f>
        <v/>
      </c>
    </row>
    <row r="142">
      <c r="A142">
        <f>F142&amp;"|"&amp;G142</f>
        <v/>
      </c>
      <c r="B142" s="13" t="inlineStr"/>
      <c r="C142" s="8" t="inlineStr"/>
      <c r="D142" s="8" t="inlineStr"/>
      <c r="E142" s="8" t="inlineStr"/>
      <c r="F142" s="8" t="inlineStr">
        <is>
          <t>AI1(b)</t>
        </is>
      </c>
      <c r="G142" s="8" t="inlineStr">
        <is>
          <t>OPTION 2:  Indicator level reporting</t>
        </is>
      </c>
      <c r="H142" s="52">
        <f>IFERROR(IF(INDEX('Faculties'!$M$10:$M$19,MATCH($F142,'Faculties'!$B$10:$B$19,0))="","Cell will autofill based on response",INDEX('Faculties'!$M$10:$M$19,MATCH($F142,'Faculties'!$B$10:$B$19,0))),"N/A")</f>
        <v/>
      </c>
      <c r="I142" s="52">
        <f>IFERROR(IF(INDEX('Faculties'!$M$26:$M$35,MATCH($F142,'Faculties'!$B$26:$B$35,0))="","Cell will autofill based on response",INDEX('Faculties'!$M$26:$M$35,MATCH($F142,'Faculties'!$B$26:$B$35,0))),"N/A")</f>
        <v/>
      </c>
      <c r="J142" s="52">
        <f>IFERROR(IF(INDEX('Faculties'!$M$42:$M$51,MATCH($F142,'Faculties'!$B$42:$B$51,0))="","Cell will autofill based on response",INDEX('Faculties'!$M$42:$M$51,MATCH($F142,'Faculties'!$B$42:$B$51,0))),"N/A")</f>
        <v/>
      </c>
      <c r="K142" s="52">
        <f>IFERROR(IF(INDEX('Faculties'!$M$58:$M$67,MATCH($F142,'Faculties'!$B$58:$B$67,0))="","Cell will autofill based on response",INDEX('Faculties'!$M$58:$M$67,MATCH($F142,'Faculties'!$B$58:$B$67,0))),"N/A")</f>
        <v/>
      </c>
      <c r="L142" s="52">
        <f>IFERROR(IF(INDEX('CI&amp;S'!$M$10:$M$15,MATCH($F142,'CI&amp;S'!$B$10:$B$15,0))="","Cell will autofill based on response",INDEX('CI&amp;S'!$M$10:$M$15,MATCH($F142,'CI&amp;S'!$B$10:$B$15,0))),"N/A")</f>
        <v/>
      </c>
      <c r="M142" s="52">
        <f>IFERROR(IF(INDEX('CI&amp;S'!$M$22:$M$36,MATCH($F142,'CI&amp;S'!$B$22:$B$36,0))="","Cell will autofill based on response",INDEX('CI&amp;S'!$M$22:$M$36,MATCH($F142,'CI&amp;S'!$B$22:$B$36,0))),"N/A")</f>
        <v/>
      </c>
      <c r="N142" s="52">
        <f>IFERROR(IF(INDEX('CFOG'!$M$10:$M$16,MATCH($F142,'CFOG'!$B$10:$B$16,0))="","Cell will autofill based on response",INDEX('CFOG'!$M$10:$M$16,MATCH($F142,'CFOG'!$B$10:$B$16,0))),"N/A")</f>
        <v/>
      </c>
      <c r="O142" s="52">
        <f>IFERROR(IF(INDEX('CFOG'!$M$23:$M$24,MATCH($F142,'CFOG'!$B$23:$B$24,0))="","Cell will autofill based on response",INDEX('CFOG'!$M$23:$M$24,MATCH($F142,'CFOG'!$B$23:$B$24,0))),"N/A")</f>
        <v/>
      </c>
      <c r="P142" s="52">
        <f>IFERROR(IF(INDEX('ESG'!$M$10:$M$17,MATCH($F142,'ESG'!$B$10:$B$17,0))="","Cell will autofill based on response",INDEX('ESG'!$M$10:$M$17,MATCH($F142,'ESG'!$B$10:$B$17,0))),"N/A")</f>
        <v/>
      </c>
      <c r="Q142" s="52">
        <f>IFERROR(IF(INDEX('CIOG'!$M$10:$M$14,MATCH($F142,'CIOG'!$B$10:$B$14,0))="","Cell will autofill based on response",INDEX('CIOG'!$M$10:$M$14,MATCH($F142,'CIOG'!$B$10:$B$14,0))),"N/A")</f>
        <v/>
      </c>
      <c r="R142" s="52">
        <f>IFERROR(IF(INDEX('MRE'!$M$10:$M$18,MATCH($F142,'MRE'!$B$10:$B$18,0))="","Cell will autofill based on response",INDEX('MRE'!$M$10:$M$18,MATCH($F142,'MRE'!$B$10:$B$18,0))),"N/A")</f>
        <v/>
      </c>
      <c r="S142" s="52">
        <f>IFERROR(IF(INDEX('AC&amp;M'!$M$10:$M$14,MATCH($F142,'AC&amp;M'!$B$10:$B$14,0))="","Cell will autofill based on response",INDEX('AC&amp;M'!$M$10:$M$14,MATCH($F142,'AC&amp;M'!$B$10:$B$14,0))),"N/A")</f>
        <v/>
      </c>
      <c r="T142" s="52">
        <f>IFERROR(IF(INDEX('GCE'!$M$10:$M$12,MATCH($F142,'GCE'!$B$10:$B$12,0))="","Cell will autofill based on response",INDEX('GCE'!$M$10:$M$12,MATCH($F142,'GCE'!$B$10:$B$12,0))),"N/A")</f>
        <v/>
      </c>
      <c r="U142" s="52">
        <f>IFERROR(IF(INDEX('Education'!$M$10:$M$13,MATCH($F142,'Education'!$B$10:$B$13,0))="","Cell will autofill based on response",INDEX('Education'!$M$10:$M$13,MATCH($F142,'Education'!$B$10:$B$13,0))),"N/A")</f>
        <v/>
      </c>
      <c r="V142" s="52">
        <f>IFERROR(IF(INDEX('SaSS'!$M$10:$M$12,MATCH($F142,'SaSS'!$B$10:$B$12,0))="","Cell will autofill based on response",INDEX('SaSS'!$M$10:$M$12,MATCH($F142,'SaSS'!$B$10:$B$12,0))),"N/A")</f>
        <v/>
      </c>
      <c r="W142" s="52">
        <f>IFERROR(IF(INDEX('Indigenous'!$M$10:$M$11,MATCH($F142,'Indigenous'!$B$10:$B$11,0))="","Cell will autofill based on response",INDEX('Indigenous'!$M$10:$M$11,MATCH($F142,'Indigenous'!$B$10:$B$11,0))),"N/A")</f>
        <v/>
      </c>
      <c r="X142" s="52">
        <f>IFERROR(IF(INDEX('L&amp;R'!$M$10:$M$11,MATCH($F142,'L&amp;R'!$B$10:$B$11,0))="","Cell will autofill based on response",INDEX('L&amp;R'!$M$10:$M$11,MATCH($F142,'L&amp;R'!$B$10:$B$11,0))),"N/A")</f>
        <v/>
      </c>
    </row>
    <row r="143">
      <c r="A143">
        <f>F143&amp;"|"&amp;G143</f>
        <v/>
      </c>
      <c r="B143" s="13" t="inlineStr"/>
      <c r="C143" s="8" t="inlineStr"/>
      <c r="D143" s="8" t="inlineStr"/>
      <c r="E143" s="8" t="inlineStr"/>
      <c r="F143" s="8" t="inlineStr">
        <is>
          <t>AI1(b)</t>
        </is>
      </c>
      <c r="G143" s="8" t="inlineStr">
        <is>
          <t>Supporting information/comments</t>
        </is>
      </c>
      <c r="H143" s="52">
        <f>IFERROR(IF(INDEX('Faculties'!$N$10:$N$19,MATCH($F143,'Faculties'!$B$10:$B$19,0))="","Cell will autofill based on response",INDEX('Faculties'!$N$10:$N$19,MATCH($F143,'Faculties'!$B$10:$B$19,0))),"N/A")</f>
        <v/>
      </c>
      <c r="I143" s="52">
        <f>IFERROR(IF(INDEX('Faculties'!$N$26:$N$35,MATCH($F143,'Faculties'!$B$26:$B$35,0))="","Cell will autofill based on response",INDEX('Faculties'!$N$26:$N$35,MATCH($F143,'Faculties'!$B$26:$B$35,0))),"N/A")</f>
        <v/>
      </c>
      <c r="J143" s="52">
        <f>IFERROR(IF(INDEX('Faculties'!$N$42:$N$51,MATCH($F143,'Faculties'!$B$42:$B$51,0))="","Cell will autofill based on response",INDEX('Faculties'!$N$42:$N$51,MATCH($F143,'Faculties'!$B$42:$B$51,0))),"N/A")</f>
        <v/>
      </c>
      <c r="K143" s="52">
        <f>IFERROR(IF(INDEX('Faculties'!$N$58:$N$67,MATCH($F143,'Faculties'!$B$58:$B$67,0))="","Cell will autofill based on response",INDEX('Faculties'!$N$58:$N$67,MATCH($F143,'Faculties'!$B$58:$B$67,0))),"N/A")</f>
        <v/>
      </c>
      <c r="L143" s="52">
        <f>IFERROR(IF(INDEX('CI&amp;S'!$N$10:$N$15,MATCH($F143,'CI&amp;S'!$B$10:$B$15,0))="","Cell will autofill based on response",INDEX('CI&amp;S'!$N$10:$N$15,MATCH($F143,'CI&amp;S'!$B$10:$B$15,0))),"N/A")</f>
        <v/>
      </c>
      <c r="M143" s="52">
        <f>IFERROR(IF(INDEX('CI&amp;S'!$N$22:$N$36,MATCH($F143,'CI&amp;S'!$B$22:$B$36,0))="","Cell will autofill based on response",INDEX('CI&amp;S'!$N$22:$N$36,MATCH($F143,'CI&amp;S'!$B$22:$B$36,0))),"N/A")</f>
        <v/>
      </c>
      <c r="N143" s="52">
        <f>IFERROR(IF(INDEX('CFOG'!$N$10:$N$16,MATCH($F143,'CFOG'!$B$10:$B$16,0))="","Cell will autofill based on response",INDEX('CFOG'!$N$10:$N$16,MATCH($F143,'CFOG'!$B$10:$B$16,0))),"N/A")</f>
        <v/>
      </c>
      <c r="O143" s="52">
        <f>IFERROR(IF(INDEX('CFOG'!$N$23:$N$24,MATCH($F143,'CFOG'!$B$23:$B$24,0))="","Cell will autofill based on response",INDEX('CFOG'!$N$23:$N$24,MATCH($F143,'CFOG'!$B$23:$B$24,0))),"N/A")</f>
        <v/>
      </c>
      <c r="P143" s="52">
        <f>IFERROR(IF(INDEX('ESG'!$N$10:$N$17,MATCH($F143,'ESG'!$B$10:$B$17,0))="","Cell will autofill based on response",INDEX('ESG'!$N$10:$N$17,MATCH($F143,'ESG'!$B$10:$B$17,0))),"N/A")</f>
        <v/>
      </c>
      <c r="Q143" s="52">
        <f>IFERROR(IF(INDEX('CIOG'!$N$10:$N$14,MATCH($F143,'CIOG'!$B$10:$B$14,0))="","Cell will autofill based on response",INDEX('CIOG'!$N$10:$N$14,MATCH($F143,'CIOG'!$B$10:$B$14,0))),"N/A")</f>
        <v/>
      </c>
      <c r="R143" s="52">
        <f>IFERROR(IF(INDEX('MRE'!$N$10:$N$18,MATCH($F143,'MRE'!$B$10:$B$18,0))="","Cell will autofill based on response",INDEX('MRE'!$N$10:$N$18,MATCH($F143,'MRE'!$B$10:$B$18,0))),"N/A")</f>
        <v/>
      </c>
      <c r="S143" s="52">
        <f>IFERROR(IF(INDEX('AC&amp;M'!$N$10:$N$14,MATCH($F143,'AC&amp;M'!$B$10:$B$14,0))="","Cell will autofill based on response",INDEX('AC&amp;M'!$N$10:$N$14,MATCH($F143,'AC&amp;M'!$B$10:$B$14,0))),"N/A")</f>
        <v/>
      </c>
      <c r="T143" s="52">
        <f>IFERROR(IF(INDEX('GCE'!$N$10:$N$12,MATCH($F143,'GCE'!$B$10:$B$12,0))="","Cell will autofill based on response",INDEX('GCE'!$N$10:$N$12,MATCH($F143,'GCE'!$B$10:$B$12,0))),"N/A")</f>
        <v/>
      </c>
      <c r="U143" s="52">
        <f>IFERROR(IF(INDEX('Education'!$N$10:$N$13,MATCH($F143,'Education'!$B$10:$B$13,0))="","Cell will autofill based on response",INDEX('Education'!$N$10:$N$13,MATCH($F143,'Education'!$B$10:$B$13,0))),"N/A")</f>
        <v/>
      </c>
      <c r="V143" s="52">
        <f>IFERROR(IF(INDEX('SaSS'!$N$10:$N$12,MATCH($F143,'SaSS'!$B$10:$B$12,0))="","Cell will autofill based on response",INDEX('SaSS'!$N$10:$N$12,MATCH($F143,'SaSS'!$B$10:$B$12,0))),"N/A")</f>
        <v/>
      </c>
      <c r="W143" s="52">
        <f>IFERROR(IF(INDEX('Indigenous'!$N$10:$N$11,MATCH($F143,'Indigenous'!$B$10:$B$11,0))="","Cell will autofill based on response",INDEX('Indigenous'!$N$10:$N$11,MATCH($F143,'Indigenous'!$B$10:$B$11,0))),"N/A")</f>
        <v/>
      </c>
      <c r="X143" s="52">
        <f>IFERROR(IF(INDEX('L&amp;R'!$N$10:$N$11,MATCH($F143,'L&amp;R'!$B$10:$B$11,0))="","Cell will autofill based on response",INDEX('L&amp;R'!$N$10:$N$11,MATCH($F143,'L&amp;R'!$B$10:$B$11,0))),"N/A")</f>
        <v/>
      </c>
    </row>
    <row r="144">
      <c r="A144">
        <f>F144&amp;"|"&amp;G144</f>
        <v/>
      </c>
      <c r="B144" s="13" t="inlineStr"/>
      <c r="C144" s="8" t="inlineStr"/>
      <c r="D144" s="8" t="inlineStr"/>
      <c r="E144" s="8" t="inlineStr"/>
      <c r="F144" s="8" t="inlineStr">
        <is>
          <t>AI1(b)</t>
        </is>
      </c>
      <c r="G144" s="8" t="inlineStr">
        <is>
          <t>Data source and limitations</t>
        </is>
      </c>
      <c r="H144" s="52">
        <f>IFERROR(IF(INDEX('Faculties'!$O$10:$O$19,MATCH($F144,'Faculties'!$B$10:$B$19,0))="","Cell will autofill based on response",INDEX('Faculties'!$O$10:$O$19,MATCH($F144,'Faculties'!$B$10:$B$19,0))),"N/A")</f>
        <v/>
      </c>
      <c r="I144" s="52">
        <f>IFERROR(IF(INDEX('Faculties'!$O$26:$O$35,MATCH($F144,'Faculties'!$B$26:$B$35,0))="","Cell will autofill based on response",INDEX('Faculties'!$O$26:$O$35,MATCH($F144,'Faculties'!$B$26:$B$35,0))),"N/A")</f>
        <v/>
      </c>
      <c r="J144" s="52">
        <f>IFERROR(IF(INDEX('Faculties'!$O$42:$O$51,MATCH($F144,'Faculties'!$B$42:$B$51,0))="","Cell will autofill based on response",INDEX('Faculties'!$O$42:$O$51,MATCH($F144,'Faculties'!$B$42:$B$51,0))),"N/A")</f>
        <v/>
      </c>
      <c r="K144" s="52">
        <f>IFERROR(IF(INDEX('Faculties'!$O$58:$O$67,MATCH($F144,'Faculties'!$B$58:$B$67,0))="","Cell will autofill based on response",INDEX('Faculties'!$O$58:$O$67,MATCH($F144,'Faculties'!$B$58:$B$67,0))),"N/A")</f>
        <v/>
      </c>
      <c r="L144" s="52">
        <f>IFERROR(IF(INDEX('CI&amp;S'!$O$10:$O$15,MATCH($F144,'CI&amp;S'!$B$10:$B$15,0))="","Cell will autofill based on response",INDEX('CI&amp;S'!$O$10:$O$15,MATCH($F144,'CI&amp;S'!$B$10:$B$15,0))),"N/A")</f>
        <v/>
      </c>
      <c r="M144" s="52">
        <f>IFERROR(IF(INDEX('CI&amp;S'!$O$22:$O$36,MATCH($F144,'CI&amp;S'!$B$22:$B$36,0))="","Cell will autofill based on response",INDEX('CI&amp;S'!$O$22:$O$36,MATCH($F144,'CI&amp;S'!$B$22:$B$36,0))),"N/A")</f>
        <v/>
      </c>
      <c r="N144" s="52">
        <f>IFERROR(IF(INDEX('CFOG'!$O$10:$O$16,MATCH($F144,'CFOG'!$B$10:$B$16,0))="","Cell will autofill based on response",INDEX('CFOG'!$O$10:$O$16,MATCH($F144,'CFOG'!$B$10:$B$16,0))),"N/A")</f>
        <v/>
      </c>
      <c r="O144" s="52">
        <f>IFERROR(IF(INDEX('CFOG'!$O$23:$O$24,MATCH($F144,'CFOG'!$B$23:$B$24,0))="","Cell will autofill based on response",INDEX('CFOG'!$O$23:$O$24,MATCH($F144,'CFOG'!$B$23:$B$24,0))),"N/A")</f>
        <v/>
      </c>
      <c r="P144" s="52">
        <f>IFERROR(IF(INDEX('ESG'!$O$10:$O$17,MATCH($F144,'ESG'!$B$10:$B$17,0))="","Cell will autofill based on response",INDEX('ESG'!$O$10:$O$17,MATCH($F144,'ESG'!$B$10:$B$17,0))),"N/A")</f>
        <v/>
      </c>
      <c r="Q144" s="52">
        <f>IFERROR(IF(INDEX('CIOG'!$O$10:$O$14,MATCH($F144,'CIOG'!$B$10:$B$14,0))="","Cell will autofill based on response",INDEX('CIOG'!$O$10:$O$14,MATCH($F144,'CIOG'!$B$10:$B$14,0))),"N/A")</f>
        <v/>
      </c>
      <c r="R144" s="52">
        <f>IFERROR(IF(INDEX('MRE'!$O$10:$O$18,MATCH($F144,'MRE'!$B$10:$B$18,0))="","Cell will autofill based on response",INDEX('MRE'!$O$10:$O$18,MATCH($F144,'MRE'!$B$10:$B$18,0))),"N/A")</f>
        <v/>
      </c>
      <c r="S144" s="52">
        <f>IFERROR(IF(INDEX('AC&amp;M'!$O$10:$O$14,MATCH($F144,'AC&amp;M'!$B$10:$B$14,0))="","Cell will autofill based on response",INDEX('AC&amp;M'!$O$10:$O$14,MATCH($F144,'AC&amp;M'!$B$10:$B$14,0))),"N/A")</f>
        <v/>
      </c>
      <c r="T144" s="52">
        <f>IFERROR(IF(INDEX('GCE'!$O$10:$O$12,MATCH($F144,'GCE'!$B$10:$B$12,0))="","Cell will autofill based on response",INDEX('GCE'!$O$10:$O$12,MATCH($F144,'GCE'!$B$10:$B$12,0))),"N/A")</f>
        <v/>
      </c>
      <c r="U144" s="52">
        <f>IFERROR(IF(INDEX('Education'!$O$10:$O$13,MATCH($F144,'Education'!$B$10:$B$13,0))="","Cell will autofill based on response",INDEX('Education'!$O$10:$O$13,MATCH($F144,'Education'!$B$10:$B$13,0))),"N/A")</f>
        <v/>
      </c>
      <c r="V144" s="52">
        <f>IFERROR(IF(INDEX('SaSS'!$O$10:$O$12,MATCH($F144,'SaSS'!$B$10:$B$12,0))="","Cell will autofill based on response",INDEX('SaSS'!$O$10:$O$12,MATCH($F144,'SaSS'!$B$10:$B$12,0))),"N/A")</f>
        <v/>
      </c>
      <c r="W144" s="52">
        <f>IFERROR(IF(INDEX('Indigenous'!$O$10:$O$11,MATCH($F144,'Indigenous'!$B$10:$B$11,0))="","Cell will autofill based on response",INDEX('Indigenous'!$O$10:$O$11,MATCH($F144,'Indigenous'!$B$10:$B$11,0))),"N/A")</f>
        <v/>
      </c>
      <c r="X144" s="52">
        <f>IFERROR(IF(INDEX('L&amp;R'!$O$10:$O$11,MATCH($F144,'L&amp;R'!$B$10:$B$11,0))="","Cell will autofill based on response",INDEX('L&amp;R'!$O$10:$O$11,MATCH($F144,'L&amp;R'!$B$10:$B$11,0))),"N/A")</f>
        <v/>
      </c>
    </row>
    <row r="145">
      <c r="A145">
        <f>F145&amp;"|"&amp;G145</f>
        <v/>
      </c>
      <c r="B145" s="13" t="inlineStr"/>
      <c r="C145" s="8" t="inlineStr"/>
      <c r="D145" s="8" t="inlineStr"/>
      <c r="E145" s="8" t="inlineStr"/>
      <c r="F145" s="8" t="inlineStr">
        <is>
          <t>AI1(b)</t>
        </is>
      </c>
      <c r="G145" s="8" t="inlineStr">
        <is>
          <t>Data owner confirms</t>
        </is>
      </c>
      <c r="H145" s="52">
        <f>IFERROR(IF(INDEX('Faculties'!$P$10:$P$19,MATCH($F145,'Faculties'!$B$10:$B$19,0))="","Cell will autofill based on response",INDEX('Faculties'!$P$10:$P$19,MATCH($F145,'Faculties'!$B$10:$B$19,0))),"N/A")</f>
        <v/>
      </c>
      <c r="I145" s="52">
        <f>IFERROR(IF(INDEX('Faculties'!$P$26:$P$35,MATCH($F145,'Faculties'!$B$26:$B$35,0))="","Cell will autofill based on response",INDEX('Faculties'!$P$26:$P$35,MATCH($F145,'Faculties'!$B$26:$B$35,0))),"N/A")</f>
        <v/>
      </c>
      <c r="J145" s="52">
        <f>IFERROR(IF(INDEX('Faculties'!$P$42:$P$51,MATCH($F145,'Faculties'!$B$42:$B$51,0))="","Cell will autofill based on response",INDEX('Faculties'!$P$42:$P$51,MATCH($F145,'Faculties'!$B$42:$B$51,0))),"N/A")</f>
        <v/>
      </c>
      <c r="K145" s="52">
        <f>IFERROR(IF(INDEX('Faculties'!$P$58:$P$67,MATCH($F145,'Faculties'!$B$58:$B$67,0))="","Cell will autofill based on response",INDEX('Faculties'!$P$58:$P$67,MATCH($F145,'Faculties'!$B$58:$B$67,0))),"N/A")</f>
        <v/>
      </c>
      <c r="L145" s="52">
        <f>IFERROR(IF(INDEX('CI&amp;S'!$P$10:$P$15,MATCH($F145,'CI&amp;S'!$B$10:$B$15,0))="","Cell will autofill based on response",INDEX('CI&amp;S'!$P$10:$P$15,MATCH($F145,'CI&amp;S'!$B$10:$B$15,0))),"N/A")</f>
        <v/>
      </c>
      <c r="M145" s="52">
        <f>IFERROR(IF(INDEX('CI&amp;S'!$P$22:$P$36,MATCH($F145,'CI&amp;S'!$B$22:$B$36,0))="","Cell will autofill based on response",INDEX('CI&amp;S'!$P$22:$P$36,MATCH($F145,'CI&amp;S'!$B$22:$B$36,0))),"N/A")</f>
        <v/>
      </c>
      <c r="N145" s="52">
        <f>IFERROR(IF(INDEX('CFOG'!$P$10:$P$16,MATCH($F145,'CFOG'!$B$10:$B$16,0))="","Cell will autofill based on response",INDEX('CFOG'!$P$10:$P$16,MATCH($F145,'CFOG'!$B$10:$B$16,0))),"N/A")</f>
        <v/>
      </c>
      <c r="O145" s="52">
        <f>IFERROR(IF(INDEX('CFOG'!$P$23:$P$24,MATCH($F145,'CFOG'!$B$23:$B$24,0))="","Cell will autofill based on response",INDEX('CFOG'!$P$23:$P$24,MATCH($F145,'CFOG'!$B$23:$B$24,0))),"N/A")</f>
        <v/>
      </c>
      <c r="P145" s="52">
        <f>IFERROR(IF(INDEX('ESG'!$P$10:$P$17,MATCH($F145,'ESG'!$B$10:$B$17,0))="","Cell will autofill based on response",INDEX('ESG'!$P$10:$P$17,MATCH($F145,'ESG'!$B$10:$B$17,0))),"N/A")</f>
        <v/>
      </c>
      <c r="Q145" s="52">
        <f>IFERROR(IF(INDEX('CIOG'!$P$10:$P$14,MATCH($F145,'CIOG'!$B$10:$B$14,0))="","Cell will autofill based on response",INDEX('CIOG'!$P$10:$P$14,MATCH($F145,'CIOG'!$B$10:$B$14,0))),"N/A")</f>
        <v/>
      </c>
      <c r="R145" s="52">
        <f>IFERROR(IF(INDEX('MRE'!$P$10:$P$18,MATCH($F145,'MRE'!$B$10:$B$18,0))="","Cell will autofill based on response",INDEX('MRE'!$P$10:$P$18,MATCH($F145,'MRE'!$B$10:$B$18,0))),"N/A")</f>
        <v/>
      </c>
      <c r="S145" s="52">
        <f>IFERROR(IF(INDEX('AC&amp;M'!$P$10:$P$14,MATCH($F145,'AC&amp;M'!$B$10:$B$14,0))="","Cell will autofill based on response",INDEX('AC&amp;M'!$P$10:$P$14,MATCH($F145,'AC&amp;M'!$B$10:$B$14,0))),"N/A")</f>
        <v/>
      </c>
      <c r="T145" s="52">
        <f>IFERROR(IF(INDEX('GCE'!$P$10:$P$12,MATCH($F145,'GCE'!$B$10:$B$12,0))="","Cell will autofill based on response",INDEX('GCE'!$P$10:$P$12,MATCH($F145,'GCE'!$B$10:$B$12,0))),"N/A")</f>
        <v/>
      </c>
      <c r="U145" s="52">
        <f>IFERROR(IF(INDEX('Education'!$P$10:$P$13,MATCH($F145,'Education'!$B$10:$B$13,0))="","Cell will autofill based on response",INDEX('Education'!$P$10:$P$13,MATCH($F145,'Education'!$B$10:$B$13,0))),"N/A")</f>
        <v/>
      </c>
      <c r="V145" s="52">
        <f>IFERROR(IF(INDEX('SaSS'!$P$10:$P$12,MATCH($F145,'SaSS'!$B$10:$B$12,0))="","Cell will autofill based on response",INDEX('SaSS'!$P$10:$P$12,MATCH($F145,'SaSS'!$B$10:$B$12,0))),"N/A")</f>
        <v/>
      </c>
      <c r="W145" s="52">
        <f>IFERROR(IF(INDEX('Indigenous'!$P$10:$P$11,MATCH($F145,'Indigenous'!$B$10:$B$11,0))="","Cell will autofill based on response",INDEX('Indigenous'!$P$10:$P$11,MATCH($F145,'Indigenous'!$B$10:$B$11,0))),"N/A")</f>
        <v/>
      </c>
      <c r="X145" s="52">
        <f>IFERROR(IF(INDEX('L&amp;R'!$P$10:$P$11,MATCH($F145,'L&amp;R'!$B$10:$B$11,0))="","Cell will autofill based on response",INDEX('L&amp;R'!$P$10:$P$11,MATCH($F145,'L&amp;R'!$B$10:$B$11,0))),"N/A")</f>
        <v/>
      </c>
    </row>
    <row r="146">
      <c r="A146">
        <f>F146&amp;"|"&amp;G146</f>
        <v/>
      </c>
      <c r="B146" s="7" t="inlineStr">
        <is>
          <t>EI1(a)</t>
        </is>
      </c>
      <c r="C146" s="50" t="inlineStr">
        <is>
          <t>Estate and infrastructure</t>
        </is>
      </c>
      <c r="D146" s="50" t="inlineStr">
        <is>
          <t>Evidence of increased maturity of estate and infrastructure planning, development and operations to support the other priority areas in Sustainability 2030</t>
        </is>
      </c>
      <c r="E146" s="50"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50" t="inlineStr">
        <is>
          <t>EI1(a)</t>
        </is>
      </c>
      <c r="G146" s="50" t="inlineStr">
        <is>
          <t>OPTION 1:  Target-level reporting</t>
        </is>
      </c>
      <c r="H146" s="52">
        <f>IFERROR(IF(INDEX('Faculties'!$L$10:$L$19,MATCH($F146,'Faculties'!$B$10:$B$19,0))="","Cell will autofill based on response",INDEX('Faculties'!$L$10:$L$19,MATCH($F146,'Faculties'!$B$10:$B$19,0))),"N/A")</f>
        <v/>
      </c>
      <c r="I146" s="52">
        <f>IFERROR(IF(INDEX('Faculties'!$L$26:$L$35,MATCH($F146,'Faculties'!$B$26:$B$35,0))="","Cell will autofill based on response",INDEX('Faculties'!$L$26:$L$35,MATCH($F146,'Faculties'!$B$26:$B$35,0))),"N/A")</f>
        <v/>
      </c>
      <c r="J146" s="52">
        <f>IFERROR(IF(INDEX('Faculties'!$L$42:$L$51,MATCH($F146,'Faculties'!$B$42:$B$51,0))="","Cell will autofill based on response",INDEX('Faculties'!$L$42:$L$51,MATCH($F146,'Faculties'!$B$42:$B$51,0))),"N/A")</f>
        <v/>
      </c>
      <c r="K146" s="52">
        <f>IFERROR(IF(INDEX('Faculties'!$L$58:$L$67,MATCH($F146,'Faculties'!$B$58:$B$67,0))="","Cell will autofill based on response",INDEX('Faculties'!$L$58:$L$67,MATCH($F146,'Faculties'!$B$58:$B$67,0))),"N/A")</f>
        <v/>
      </c>
      <c r="L146" s="52">
        <f>IFERROR(IF(INDEX('CI&amp;S'!$L$10:$L$15,MATCH($F146,'CI&amp;S'!$B$10:$B$15,0))="","Cell will autofill based on response",INDEX('CI&amp;S'!$L$10:$L$15,MATCH($F146,'CI&amp;S'!$B$10:$B$15,0))),"N/A")</f>
        <v/>
      </c>
      <c r="M146" s="52">
        <f>IFERROR(IF(INDEX('CI&amp;S'!$L$22:$L$36,MATCH($F146,'CI&amp;S'!$B$22:$B$36,0))="","Cell will autofill based on response",INDEX('CI&amp;S'!$L$22:$L$36,MATCH($F146,'CI&amp;S'!$B$22:$B$36,0))),"N/A")</f>
        <v/>
      </c>
      <c r="N146" s="52">
        <f>IFERROR(IF(INDEX('CFOG'!$L$10:$L$16,MATCH($F146,'CFOG'!$B$10:$B$16,0))="","Cell will autofill based on response",INDEX('CFOG'!$L$10:$L$16,MATCH($F146,'CFOG'!$B$10:$B$16,0))),"N/A")</f>
        <v/>
      </c>
      <c r="O146" s="52">
        <f>IFERROR(IF(INDEX('CFOG'!$L$23:$L$24,MATCH($F146,'CFOG'!$B$23:$B$24,0))="","Cell will autofill based on response",INDEX('CFOG'!$L$23:$L$24,MATCH($F146,'CFOG'!$B$23:$B$24,0))),"N/A")</f>
        <v/>
      </c>
      <c r="P146" s="52">
        <f>IFERROR(IF(INDEX('ESG'!$L$10:$L$17,MATCH($F146,'ESG'!$B$10:$B$17,0))="","Cell will autofill based on response",INDEX('ESG'!$L$10:$L$17,MATCH($F146,'ESG'!$B$10:$B$17,0))),"N/A")</f>
        <v/>
      </c>
      <c r="Q146" s="52">
        <f>IFERROR(IF(INDEX('CIOG'!$L$10:$L$14,MATCH($F146,'CIOG'!$B$10:$B$14,0))="","Cell will autofill based on response",INDEX('CIOG'!$L$10:$L$14,MATCH($F146,'CIOG'!$B$10:$B$14,0))),"N/A")</f>
        <v/>
      </c>
      <c r="R146" s="52">
        <f>IFERROR(IF(INDEX('MRE'!$L$10:$L$18,MATCH($F146,'MRE'!$B$10:$B$18,0))="","Cell will autofill based on response",INDEX('MRE'!$L$10:$L$18,MATCH($F146,'MRE'!$B$10:$B$18,0))),"N/A")</f>
        <v/>
      </c>
      <c r="S146" s="52">
        <f>IFERROR(IF(INDEX('AC&amp;M'!$L$10:$L$14,MATCH($F146,'AC&amp;M'!$B$10:$B$14,0))="","Cell will autofill based on response",INDEX('AC&amp;M'!$L$10:$L$14,MATCH($F146,'AC&amp;M'!$B$10:$B$14,0))),"N/A")</f>
        <v/>
      </c>
      <c r="T146" s="52">
        <f>IFERROR(IF(INDEX('GCE'!$L$10:$L$12,MATCH($F146,'GCE'!$B$10:$B$12,0))="","Cell will autofill based on response",INDEX('GCE'!$L$10:$L$12,MATCH($F146,'GCE'!$B$10:$B$12,0))),"N/A")</f>
        <v/>
      </c>
      <c r="U146" s="52">
        <f>IFERROR(IF(INDEX('Education'!$L$10:$L$13,MATCH($F146,'Education'!$B$10:$B$13,0))="","Cell will autofill based on response",INDEX('Education'!$L$10:$L$13,MATCH($F146,'Education'!$B$10:$B$13,0))),"N/A")</f>
        <v/>
      </c>
      <c r="V146" s="52">
        <f>IFERROR(IF(INDEX('SaSS'!$L$10:$L$12,MATCH($F146,'SaSS'!$B$10:$B$12,0))="","Cell will autofill based on response",INDEX('SaSS'!$L$10:$L$12,MATCH($F146,'SaSS'!$B$10:$B$12,0))),"N/A")</f>
        <v/>
      </c>
      <c r="W146" s="52">
        <f>IFERROR(IF(INDEX('Indigenous'!$L$10:$L$11,MATCH($F146,'Indigenous'!$B$10:$B$11,0))="","Cell will autofill based on response",INDEX('Indigenous'!$L$10:$L$11,MATCH($F146,'Indigenous'!$B$10:$B$11,0))),"N/A")</f>
        <v/>
      </c>
      <c r="X146" s="52">
        <f>IFERROR(IF(INDEX('L&amp;R'!$L$10:$L$11,MATCH($F146,'L&amp;R'!$B$10:$B$11,0))="","Cell will autofill based on response",INDEX('L&amp;R'!$L$10:$L$11,MATCH($F146,'L&amp;R'!$B$10:$B$11,0))),"N/A")</f>
        <v/>
      </c>
      <c r="Z146" s="10">
        <f>SUMPRODUCT(--($H146:$X146&lt;&gt;"N/A"))</f>
        <v/>
      </c>
      <c r="AA146" s="10">
        <f>SUMPRODUCT(--(((($H146:$X146&lt;&gt;"N/A")*($H146:$X146&lt;&gt;"Cell will autofill based on response"))+(($H147:$X147&lt;&gt;"N/A")*($H147:$X147&lt;&gt;"Cell will autofill based on response")))&gt;0))</f>
        <v/>
      </c>
      <c r="AB146" s="10">
        <f>Z146-AA146</f>
        <v/>
      </c>
      <c r="AC146" s="10">
        <f>COUNTIF($H150:$X150,"Yes")</f>
        <v/>
      </c>
    </row>
    <row r="147">
      <c r="A147">
        <f>F147&amp;"|"&amp;G147</f>
        <v/>
      </c>
      <c r="B147" s="13" t="inlineStr"/>
      <c r="C147" s="8" t="inlineStr"/>
      <c r="D147" s="8" t="inlineStr"/>
      <c r="E147" s="8" t="inlineStr"/>
      <c r="F147" s="8" t="inlineStr">
        <is>
          <t>EI1(a)</t>
        </is>
      </c>
      <c r="G147" s="8" t="inlineStr">
        <is>
          <t>OPTION 2:  Indicator level reporting</t>
        </is>
      </c>
      <c r="H147" s="52">
        <f>IFERROR(IF(INDEX('Faculties'!$M$10:$M$19,MATCH($F147,'Faculties'!$B$10:$B$19,0))="","Cell will autofill based on response",INDEX('Faculties'!$M$10:$M$19,MATCH($F147,'Faculties'!$B$10:$B$19,0))),"N/A")</f>
        <v/>
      </c>
      <c r="I147" s="52">
        <f>IFERROR(IF(INDEX('Faculties'!$M$26:$M$35,MATCH($F147,'Faculties'!$B$26:$B$35,0))="","Cell will autofill based on response",INDEX('Faculties'!$M$26:$M$35,MATCH($F147,'Faculties'!$B$26:$B$35,0))),"N/A")</f>
        <v/>
      </c>
      <c r="J147" s="52">
        <f>IFERROR(IF(INDEX('Faculties'!$M$42:$M$51,MATCH($F147,'Faculties'!$B$42:$B$51,0))="","Cell will autofill based on response",INDEX('Faculties'!$M$42:$M$51,MATCH($F147,'Faculties'!$B$42:$B$51,0))),"N/A")</f>
        <v/>
      </c>
      <c r="K147" s="52">
        <f>IFERROR(IF(INDEX('Faculties'!$M$58:$M$67,MATCH($F147,'Faculties'!$B$58:$B$67,0))="","Cell will autofill based on response",INDEX('Faculties'!$M$58:$M$67,MATCH($F147,'Faculties'!$B$58:$B$67,0))),"N/A")</f>
        <v/>
      </c>
      <c r="L147" s="52">
        <f>IFERROR(IF(INDEX('CI&amp;S'!$M$10:$M$15,MATCH($F147,'CI&amp;S'!$B$10:$B$15,0))="","Cell will autofill based on response",INDEX('CI&amp;S'!$M$10:$M$15,MATCH($F147,'CI&amp;S'!$B$10:$B$15,0))),"N/A")</f>
        <v/>
      </c>
      <c r="M147" s="52">
        <f>IFERROR(IF(INDEX('CI&amp;S'!$M$22:$M$36,MATCH($F147,'CI&amp;S'!$B$22:$B$36,0))="","Cell will autofill based on response",INDEX('CI&amp;S'!$M$22:$M$36,MATCH($F147,'CI&amp;S'!$B$22:$B$36,0))),"N/A")</f>
        <v/>
      </c>
      <c r="N147" s="52">
        <f>IFERROR(IF(INDEX('CFOG'!$M$10:$M$16,MATCH($F147,'CFOG'!$B$10:$B$16,0))="","Cell will autofill based on response",INDEX('CFOG'!$M$10:$M$16,MATCH($F147,'CFOG'!$B$10:$B$16,0))),"N/A")</f>
        <v/>
      </c>
      <c r="O147" s="52">
        <f>IFERROR(IF(INDEX('CFOG'!$M$23:$M$24,MATCH($F147,'CFOG'!$B$23:$B$24,0))="","Cell will autofill based on response",INDEX('CFOG'!$M$23:$M$24,MATCH($F147,'CFOG'!$B$23:$B$24,0))),"N/A")</f>
        <v/>
      </c>
      <c r="P147" s="52">
        <f>IFERROR(IF(INDEX('ESG'!$M$10:$M$17,MATCH($F147,'ESG'!$B$10:$B$17,0))="","Cell will autofill based on response",INDEX('ESG'!$M$10:$M$17,MATCH($F147,'ESG'!$B$10:$B$17,0))),"N/A")</f>
        <v/>
      </c>
      <c r="Q147" s="52">
        <f>IFERROR(IF(INDEX('CIOG'!$M$10:$M$14,MATCH($F147,'CIOG'!$B$10:$B$14,0))="","Cell will autofill based on response",INDEX('CIOG'!$M$10:$M$14,MATCH($F147,'CIOG'!$B$10:$B$14,0))),"N/A")</f>
        <v/>
      </c>
      <c r="R147" s="52">
        <f>IFERROR(IF(INDEX('MRE'!$M$10:$M$18,MATCH($F147,'MRE'!$B$10:$B$18,0))="","Cell will autofill based on response",INDEX('MRE'!$M$10:$M$18,MATCH($F147,'MRE'!$B$10:$B$18,0))),"N/A")</f>
        <v/>
      </c>
      <c r="S147" s="52">
        <f>IFERROR(IF(INDEX('AC&amp;M'!$M$10:$M$14,MATCH($F147,'AC&amp;M'!$B$10:$B$14,0))="","Cell will autofill based on response",INDEX('AC&amp;M'!$M$10:$M$14,MATCH($F147,'AC&amp;M'!$B$10:$B$14,0))),"N/A")</f>
        <v/>
      </c>
      <c r="T147" s="52">
        <f>IFERROR(IF(INDEX('GCE'!$M$10:$M$12,MATCH($F147,'GCE'!$B$10:$B$12,0))="","Cell will autofill based on response",INDEX('GCE'!$M$10:$M$12,MATCH($F147,'GCE'!$B$10:$B$12,0))),"N/A")</f>
        <v/>
      </c>
      <c r="U147" s="52">
        <f>IFERROR(IF(INDEX('Education'!$M$10:$M$13,MATCH($F147,'Education'!$B$10:$B$13,0))="","Cell will autofill based on response",INDEX('Education'!$M$10:$M$13,MATCH($F147,'Education'!$B$10:$B$13,0))),"N/A")</f>
        <v/>
      </c>
      <c r="V147" s="52">
        <f>IFERROR(IF(INDEX('SaSS'!$M$10:$M$12,MATCH($F147,'SaSS'!$B$10:$B$12,0))="","Cell will autofill based on response",INDEX('SaSS'!$M$10:$M$12,MATCH($F147,'SaSS'!$B$10:$B$12,0))),"N/A")</f>
        <v/>
      </c>
      <c r="W147" s="52">
        <f>IFERROR(IF(INDEX('Indigenous'!$M$10:$M$11,MATCH($F147,'Indigenous'!$B$10:$B$11,0))="","Cell will autofill based on response",INDEX('Indigenous'!$M$10:$M$11,MATCH($F147,'Indigenous'!$B$10:$B$11,0))),"N/A")</f>
        <v/>
      </c>
      <c r="X147" s="52">
        <f>IFERROR(IF(INDEX('L&amp;R'!$M$10:$M$11,MATCH($F147,'L&amp;R'!$B$10:$B$11,0))="","Cell will autofill based on response",INDEX('L&amp;R'!$M$10:$M$11,MATCH($F147,'L&amp;R'!$B$10:$B$11,0))),"N/A")</f>
        <v/>
      </c>
    </row>
    <row r="148">
      <c r="A148">
        <f>F148&amp;"|"&amp;G148</f>
        <v/>
      </c>
      <c r="B148" s="13" t="inlineStr"/>
      <c r="C148" s="8" t="inlineStr"/>
      <c r="D148" s="8" t="inlineStr"/>
      <c r="E148" s="8" t="inlineStr"/>
      <c r="F148" s="8" t="inlineStr">
        <is>
          <t>EI1(a)</t>
        </is>
      </c>
      <c r="G148" s="8" t="inlineStr">
        <is>
          <t>Supporting information/comments</t>
        </is>
      </c>
      <c r="H148" s="52">
        <f>IFERROR(IF(INDEX('Faculties'!$N$10:$N$19,MATCH($F148,'Faculties'!$B$10:$B$19,0))="","Cell will autofill based on response",INDEX('Faculties'!$N$10:$N$19,MATCH($F148,'Faculties'!$B$10:$B$19,0))),"N/A")</f>
        <v/>
      </c>
      <c r="I148" s="52">
        <f>IFERROR(IF(INDEX('Faculties'!$N$26:$N$35,MATCH($F148,'Faculties'!$B$26:$B$35,0))="","Cell will autofill based on response",INDEX('Faculties'!$N$26:$N$35,MATCH($F148,'Faculties'!$B$26:$B$35,0))),"N/A")</f>
        <v/>
      </c>
      <c r="J148" s="52">
        <f>IFERROR(IF(INDEX('Faculties'!$N$42:$N$51,MATCH($F148,'Faculties'!$B$42:$B$51,0))="","Cell will autofill based on response",INDEX('Faculties'!$N$42:$N$51,MATCH($F148,'Faculties'!$B$42:$B$51,0))),"N/A")</f>
        <v/>
      </c>
      <c r="K148" s="52">
        <f>IFERROR(IF(INDEX('Faculties'!$N$58:$N$67,MATCH($F148,'Faculties'!$B$58:$B$67,0))="","Cell will autofill based on response",INDEX('Faculties'!$N$58:$N$67,MATCH($F148,'Faculties'!$B$58:$B$67,0))),"N/A")</f>
        <v/>
      </c>
      <c r="L148" s="52">
        <f>IFERROR(IF(INDEX('CI&amp;S'!$N$10:$N$15,MATCH($F148,'CI&amp;S'!$B$10:$B$15,0))="","Cell will autofill based on response",INDEX('CI&amp;S'!$N$10:$N$15,MATCH($F148,'CI&amp;S'!$B$10:$B$15,0))),"N/A")</f>
        <v/>
      </c>
      <c r="M148" s="52">
        <f>IFERROR(IF(INDEX('CI&amp;S'!$N$22:$N$36,MATCH($F148,'CI&amp;S'!$B$22:$B$36,0))="","Cell will autofill based on response",INDEX('CI&amp;S'!$N$22:$N$36,MATCH($F148,'CI&amp;S'!$B$22:$B$36,0))),"N/A")</f>
        <v/>
      </c>
      <c r="N148" s="52">
        <f>IFERROR(IF(INDEX('CFOG'!$N$10:$N$16,MATCH($F148,'CFOG'!$B$10:$B$16,0))="","Cell will autofill based on response",INDEX('CFOG'!$N$10:$N$16,MATCH($F148,'CFOG'!$B$10:$B$16,0))),"N/A")</f>
        <v/>
      </c>
      <c r="O148" s="52">
        <f>IFERROR(IF(INDEX('CFOG'!$N$23:$N$24,MATCH($F148,'CFOG'!$B$23:$B$24,0))="","Cell will autofill based on response",INDEX('CFOG'!$N$23:$N$24,MATCH($F148,'CFOG'!$B$23:$B$24,0))),"N/A")</f>
        <v/>
      </c>
      <c r="P148" s="52">
        <f>IFERROR(IF(INDEX('ESG'!$N$10:$N$17,MATCH($F148,'ESG'!$B$10:$B$17,0))="","Cell will autofill based on response",INDEX('ESG'!$N$10:$N$17,MATCH($F148,'ESG'!$B$10:$B$17,0))),"N/A")</f>
        <v/>
      </c>
      <c r="Q148" s="52">
        <f>IFERROR(IF(INDEX('CIOG'!$N$10:$N$14,MATCH($F148,'CIOG'!$B$10:$B$14,0))="","Cell will autofill based on response",INDEX('CIOG'!$N$10:$N$14,MATCH($F148,'CIOG'!$B$10:$B$14,0))),"N/A")</f>
        <v/>
      </c>
      <c r="R148" s="52">
        <f>IFERROR(IF(INDEX('MRE'!$N$10:$N$18,MATCH($F148,'MRE'!$B$10:$B$18,0))="","Cell will autofill based on response",INDEX('MRE'!$N$10:$N$18,MATCH($F148,'MRE'!$B$10:$B$18,0))),"N/A")</f>
        <v/>
      </c>
      <c r="S148" s="52">
        <f>IFERROR(IF(INDEX('AC&amp;M'!$N$10:$N$14,MATCH($F148,'AC&amp;M'!$B$10:$B$14,0))="","Cell will autofill based on response",INDEX('AC&amp;M'!$N$10:$N$14,MATCH($F148,'AC&amp;M'!$B$10:$B$14,0))),"N/A")</f>
        <v/>
      </c>
      <c r="T148" s="52">
        <f>IFERROR(IF(INDEX('GCE'!$N$10:$N$12,MATCH($F148,'GCE'!$B$10:$B$12,0))="","Cell will autofill based on response",INDEX('GCE'!$N$10:$N$12,MATCH($F148,'GCE'!$B$10:$B$12,0))),"N/A")</f>
        <v/>
      </c>
      <c r="U148" s="52">
        <f>IFERROR(IF(INDEX('Education'!$N$10:$N$13,MATCH($F148,'Education'!$B$10:$B$13,0))="","Cell will autofill based on response",INDEX('Education'!$N$10:$N$13,MATCH($F148,'Education'!$B$10:$B$13,0))),"N/A")</f>
        <v/>
      </c>
      <c r="V148" s="52">
        <f>IFERROR(IF(INDEX('SaSS'!$N$10:$N$12,MATCH($F148,'SaSS'!$B$10:$B$12,0))="","Cell will autofill based on response",INDEX('SaSS'!$N$10:$N$12,MATCH($F148,'SaSS'!$B$10:$B$12,0))),"N/A")</f>
        <v/>
      </c>
      <c r="W148" s="52">
        <f>IFERROR(IF(INDEX('Indigenous'!$N$10:$N$11,MATCH($F148,'Indigenous'!$B$10:$B$11,0))="","Cell will autofill based on response",INDEX('Indigenous'!$N$10:$N$11,MATCH($F148,'Indigenous'!$B$10:$B$11,0))),"N/A")</f>
        <v/>
      </c>
      <c r="X148" s="52">
        <f>IFERROR(IF(INDEX('L&amp;R'!$N$10:$N$11,MATCH($F148,'L&amp;R'!$B$10:$B$11,0))="","Cell will autofill based on response",INDEX('L&amp;R'!$N$10:$N$11,MATCH($F148,'L&amp;R'!$B$10:$B$11,0))),"N/A")</f>
        <v/>
      </c>
    </row>
    <row r="149">
      <c r="A149">
        <f>F149&amp;"|"&amp;G149</f>
        <v/>
      </c>
      <c r="B149" s="13" t="inlineStr"/>
      <c r="C149" s="8" t="inlineStr"/>
      <c r="D149" s="8" t="inlineStr"/>
      <c r="E149" s="8" t="inlineStr"/>
      <c r="F149" s="8" t="inlineStr">
        <is>
          <t>EI1(a)</t>
        </is>
      </c>
      <c r="G149" s="8" t="inlineStr">
        <is>
          <t>Data source and limitations</t>
        </is>
      </c>
      <c r="H149" s="52">
        <f>IFERROR(IF(INDEX('Faculties'!$O$10:$O$19,MATCH($F149,'Faculties'!$B$10:$B$19,0))="","Cell will autofill based on response",INDEX('Faculties'!$O$10:$O$19,MATCH($F149,'Faculties'!$B$10:$B$19,0))),"N/A")</f>
        <v/>
      </c>
      <c r="I149" s="52">
        <f>IFERROR(IF(INDEX('Faculties'!$O$26:$O$35,MATCH($F149,'Faculties'!$B$26:$B$35,0))="","Cell will autofill based on response",INDEX('Faculties'!$O$26:$O$35,MATCH($F149,'Faculties'!$B$26:$B$35,0))),"N/A")</f>
        <v/>
      </c>
      <c r="J149" s="52">
        <f>IFERROR(IF(INDEX('Faculties'!$O$42:$O$51,MATCH($F149,'Faculties'!$B$42:$B$51,0))="","Cell will autofill based on response",INDEX('Faculties'!$O$42:$O$51,MATCH($F149,'Faculties'!$B$42:$B$51,0))),"N/A")</f>
        <v/>
      </c>
      <c r="K149" s="52">
        <f>IFERROR(IF(INDEX('Faculties'!$O$58:$O$67,MATCH($F149,'Faculties'!$B$58:$B$67,0))="","Cell will autofill based on response",INDEX('Faculties'!$O$58:$O$67,MATCH($F149,'Faculties'!$B$58:$B$67,0))),"N/A")</f>
        <v/>
      </c>
      <c r="L149" s="52">
        <f>IFERROR(IF(INDEX('CI&amp;S'!$O$10:$O$15,MATCH($F149,'CI&amp;S'!$B$10:$B$15,0))="","Cell will autofill based on response",INDEX('CI&amp;S'!$O$10:$O$15,MATCH($F149,'CI&amp;S'!$B$10:$B$15,0))),"N/A")</f>
        <v/>
      </c>
      <c r="M149" s="52">
        <f>IFERROR(IF(INDEX('CI&amp;S'!$O$22:$O$36,MATCH($F149,'CI&amp;S'!$B$22:$B$36,0))="","Cell will autofill based on response",INDEX('CI&amp;S'!$O$22:$O$36,MATCH($F149,'CI&amp;S'!$B$22:$B$36,0))),"N/A")</f>
        <v/>
      </c>
      <c r="N149" s="52">
        <f>IFERROR(IF(INDEX('CFOG'!$O$10:$O$16,MATCH($F149,'CFOG'!$B$10:$B$16,0))="","Cell will autofill based on response",INDEX('CFOG'!$O$10:$O$16,MATCH($F149,'CFOG'!$B$10:$B$16,0))),"N/A")</f>
        <v/>
      </c>
      <c r="O149" s="52">
        <f>IFERROR(IF(INDEX('CFOG'!$O$23:$O$24,MATCH($F149,'CFOG'!$B$23:$B$24,0))="","Cell will autofill based on response",INDEX('CFOG'!$O$23:$O$24,MATCH($F149,'CFOG'!$B$23:$B$24,0))),"N/A")</f>
        <v/>
      </c>
      <c r="P149" s="52">
        <f>IFERROR(IF(INDEX('ESG'!$O$10:$O$17,MATCH($F149,'ESG'!$B$10:$B$17,0))="","Cell will autofill based on response",INDEX('ESG'!$O$10:$O$17,MATCH($F149,'ESG'!$B$10:$B$17,0))),"N/A")</f>
        <v/>
      </c>
      <c r="Q149" s="52">
        <f>IFERROR(IF(INDEX('CIOG'!$O$10:$O$14,MATCH($F149,'CIOG'!$B$10:$B$14,0))="","Cell will autofill based on response",INDEX('CIOG'!$O$10:$O$14,MATCH($F149,'CIOG'!$B$10:$B$14,0))),"N/A")</f>
        <v/>
      </c>
      <c r="R149" s="52">
        <f>IFERROR(IF(INDEX('MRE'!$O$10:$O$18,MATCH($F149,'MRE'!$B$10:$B$18,0))="","Cell will autofill based on response",INDEX('MRE'!$O$10:$O$18,MATCH($F149,'MRE'!$B$10:$B$18,0))),"N/A")</f>
        <v/>
      </c>
      <c r="S149" s="52">
        <f>IFERROR(IF(INDEX('AC&amp;M'!$O$10:$O$14,MATCH($F149,'AC&amp;M'!$B$10:$B$14,0))="","Cell will autofill based on response",INDEX('AC&amp;M'!$O$10:$O$14,MATCH($F149,'AC&amp;M'!$B$10:$B$14,0))),"N/A")</f>
        <v/>
      </c>
      <c r="T149" s="52">
        <f>IFERROR(IF(INDEX('GCE'!$O$10:$O$12,MATCH($F149,'GCE'!$B$10:$B$12,0))="","Cell will autofill based on response",INDEX('GCE'!$O$10:$O$12,MATCH($F149,'GCE'!$B$10:$B$12,0))),"N/A")</f>
        <v/>
      </c>
      <c r="U149" s="52">
        <f>IFERROR(IF(INDEX('Education'!$O$10:$O$13,MATCH($F149,'Education'!$B$10:$B$13,0))="","Cell will autofill based on response",INDEX('Education'!$O$10:$O$13,MATCH($F149,'Education'!$B$10:$B$13,0))),"N/A")</f>
        <v/>
      </c>
      <c r="V149" s="52">
        <f>IFERROR(IF(INDEX('SaSS'!$O$10:$O$12,MATCH($F149,'SaSS'!$B$10:$B$12,0))="","Cell will autofill based on response",INDEX('SaSS'!$O$10:$O$12,MATCH($F149,'SaSS'!$B$10:$B$12,0))),"N/A")</f>
        <v/>
      </c>
      <c r="W149" s="52">
        <f>IFERROR(IF(INDEX('Indigenous'!$O$10:$O$11,MATCH($F149,'Indigenous'!$B$10:$B$11,0))="","Cell will autofill based on response",INDEX('Indigenous'!$O$10:$O$11,MATCH($F149,'Indigenous'!$B$10:$B$11,0))),"N/A")</f>
        <v/>
      </c>
      <c r="X149" s="52">
        <f>IFERROR(IF(INDEX('L&amp;R'!$O$10:$O$11,MATCH($F149,'L&amp;R'!$B$10:$B$11,0))="","Cell will autofill based on response",INDEX('L&amp;R'!$O$10:$O$11,MATCH($F149,'L&amp;R'!$B$10:$B$11,0))),"N/A")</f>
        <v/>
      </c>
    </row>
    <row r="150">
      <c r="A150">
        <f>F150&amp;"|"&amp;G150</f>
        <v/>
      </c>
      <c r="B150" s="13" t="inlineStr"/>
      <c r="C150" s="8" t="inlineStr"/>
      <c r="D150" s="8" t="inlineStr"/>
      <c r="E150" s="8" t="inlineStr"/>
      <c r="F150" s="8" t="inlineStr">
        <is>
          <t>EI1(a)</t>
        </is>
      </c>
      <c r="G150" s="8" t="inlineStr">
        <is>
          <t>Data owner confirms</t>
        </is>
      </c>
      <c r="H150" s="52">
        <f>IFERROR(IF(INDEX('Faculties'!$P$10:$P$19,MATCH($F150,'Faculties'!$B$10:$B$19,0))="","Cell will autofill based on response",INDEX('Faculties'!$P$10:$P$19,MATCH($F150,'Faculties'!$B$10:$B$19,0))),"N/A")</f>
        <v/>
      </c>
      <c r="I150" s="52">
        <f>IFERROR(IF(INDEX('Faculties'!$P$26:$P$35,MATCH($F150,'Faculties'!$B$26:$B$35,0))="","Cell will autofill based on response",INDEX('Faculties'!$P$26:$P$35,MATCH($F150,'Faculties'!$B$26:$B$35,0))),"N/A")</f>
        <v/>
      </c>
      <c r="J150" s="52">
        <f>IFERROR(IF(INDEX('Faculties'!$P$42:$P$51,MATCH($F150,'Faculties'!$B$42:$B$51,0))="","Cell will autofill based on response",INDEX('Faculties'!$P$42:$P$51,MATCH($F150,'Faculties'!$B$42:$B$51,0))),"N/A")</f>
        <v/>
      </c>
      <c r="K150" s="52">
        <f>IFERROR(IF(INDEX('Faculties'!$P$58:$P$67,MATCH($F150,'Faculties'!$B$58:$B$67,0))="","Cell will autofill based on response",INDEX('Faculties'!$P$58:$P$67,MATCH($F150,'Faculties'!$B$58:$B$67,0))),"N/A")</f>
        <v/>
      </c>
      <c r="L150" s="52">
        <f>IFERROR(IF(INDEX('CI&amp;S'!$P$10:$P$15,MATCH($F150,'CI&amp;S'!$B$10:$B$15,0))="","Cell will autofill based on response",INDEX('CI&amp;S'!$P$10:$P$15,MATCH($F150,'CI&amp;S'!$B$10:$B$15,0))),"N/A")</f>
        <v/>
      </c>
      <c r="M150" s="52">
        <f>IFERROR(IF(INDEX('CI&amp;S'!$P$22:$P$36,MATCH($F150,'CI&amp;S'!$B$22:$B$36,0))="","Cell will autofill based on response",INDEX('CI&amp;S'!$P$22:$P$36,MATCH($F150,'CI&amp;S'!$B$22:$B$36,0))),"N/A")</f>
        <v/>
      </c>
      <c r="N150" s="52">
        <f>IFERROR(IF(INDEX('CFOG'!$P$10:$P$16,MATCH($F150,'CFOG'!$B$10:$B$16,0))="","Cell will autofill based on response",INDEX('CFOG'!$P$10:$P$16,MATCH($F150,'CFOG'!$B$10:$B$16,0))),"N/A")</f>
        <v/>
      </c>
      <c r="O150" s="52">
        <f>IFERROR(IF(INDEX('CFOG'!$P$23:$P$24,MATCH($F150,'CFOG'!$B$23:$B$24,0))="","Cell will autofill based on response",INDEX('CFOG'!$P$23:$P$24,MATCH($F150,'CFOG'!$B$23:$B$24,0))),"N/A")</f>
        <v/>
      </c>
      <c r="P150" s="52">
        <f>IFERROR(IF(INDEX('ESG'!$P$10:$P$17,MATCH($F150,'ESG'!$B$10:$B$17,0))="","Cell will autofill based on response",INDEX('ESG'!$P$10:$P$17,MATCH($F150,'ESG'!$B$10:$B$17,0))),"N/A")</f>
        <v/>
      </c>
      <c r="Q150" s="52">
        <f>IFERROR(IF(INDEX('CIOG'!$P$10:$P$14,MATCH($F150,'CIOG'!$B$10:$B$14,0))="","Cell will autofill based on response",INDEX('CIOG'!$P$10:$P$14,MATCH($F150,'CIOG'!$B$10:$B$14,0))),"N/A")</f>
        <v/>
      </c>
      <c r="R150" s="52">
        <f>IFERROR(IF(INDEX('MRE'!$P$10:$P$18,MATCH($F150,'MRE'!$B$10:$B$18,0))="","Cell will autofill based on response",INDEX('MRE'!$P$10:$P$18,MATCH($F150,'MRE'!$B$10:$B$18,0))),"N/A")</f>
        <v/>
      </c>
      <c r="S150" s="52">
        <f>IFERROR(IF(INDEX('AC&amp;M'!$P$10:$P$14,MATCH($F150,'AC&amp;M'!$B$10:$B$14,0))="","Cell will autofill based on response",INDEX('AC&amp;M'!$P$10:$P$14,MATCH($F150,'AC&amp;M'!$B$10:$B$14,0))),"N/A")</f>
        <v/>
      </c>
      <c r="T150" s="52">
        <f>IFERROR(IF(INDEX('GCE'!$P$10:$P$12,MATCH($F150,'GCE'!$B$10:$B$12,0))="","Cell will autofill based on response",INDEX('GCE'!$P$10:$P$12,MATCH($F150,'GCE'!$B$10:$B$12,0))),"N/A")</f>
        <v/>
      </c>
      <c r="U150" s="52">
        <f>IFERROR(IF(INDEX('Education'!$P$10:$P$13,MATCH($F150,'Education'!$B$10:$B$13,0))="","Cell will autofill based on response",INDEX('Education'!$P$10:$P$13,MATCH($F150,'Education'!$B$10:$B$13,0))),"N/A")</f>
        <v/>
      </c>
      <c r="V150" s="52">
        <f>IFERROR(IF(INDEX('SaSS'!$P$10:$P$12,MATCH($F150,'SaSS'!$B$10:$B$12,0))="","Cell will autofill based on response",INDEX('SaSS'!$P$10:$P$12,MATCH($F150,'SaSS'!$B$10:$B$12,0))),"N/A")</f>
        <v/>
      </c>
      <c r="W150" s="52">
        <f>IFERROR(IF(INDEX('Indigenous'!$P$10:$P$11,MATCH($F150,'Indigenous'!$B$10:$B$11,0))="","Cell will autofill based on response",INDEX('Indigenous'!$P$10:$P$11,MATCH($F150,'Indigenous'!$B$10:$B$11,0))),"N/A")</f>
        <v/>
      </c>
      <c r="X150" s="52">
        <f>IFERROR(IF(INDEX('L&amp;R'!$P$10:$P$11,MATCH($F150,'L&amp;R'!$B$10:$B$11,0))="","Cell will autofill based on response",INDEX('L&amp;R'!$P$10:$P$11,MATCH($F150,'L&amp;R'!$B$10:$B$11,0))),"N/A")</f>
        <v/>
      </c>
    </row>
    <row r="151">
      <c r="A151">
        <f>F151&amp;"|"&amp;G151</f>
        <v/>
      </c>
      <c r="B151" s="7" t="inlineStr">
        <is>
          <t>EI1(b)</t>
        </is>
      </c>
      <c r="C151" s="50" t="inlineStr">
        <is>
          <t>Estate and infrastructure</t>
        </is>
      </c>
      <c r="D151" s="50" t="inlineStr">
        <is>
          <t>Estimated sustainability impacts of the University’s estate and infrastructure capital plan to inform progress towards emissions reduction targets and other priority areas (to the extent enabled by available information)</t>
        </is>
      </c>
      <c r="E151" s="50"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50" t="inlineStr">
        <is>
          <t>EI1(b)</t>
        </is>
      </c>
      <c r="G151" s="50" t="inlineStr">
        <is>
          <t>OPTION 1:  Target-level reporting</t>
        </is>
      </c>
      <c r="H151" s="52">
        <f>IFERROR(IF(INDEX('Faculties'!$L$10:$L$19,MATCH($F151,'Faculties'!$B$10:$B$19,0))="","Cell will autofill based on response",INDEX('Faculties'!$L$10:$L$19,MATCH($F151,'Faculties'!$B$10:$B$19,0))),"N/A")</f>
        <v/>
      </c>
      <c r="I151" s="52">
        <f>IFERROR(IF(INDEX('Faculties'!$L$26:$L$35,MATCH($F151,'Faculties'!$B$26:$B$35,0))="","Cell will autofill based on response",INDEX('Faculties'!$L$26:$L$35,MATCH($F151,'Faculties'!$B$26:$B$35,0))),"N/A")</f>
        <v/>
      </c>
      <c r="J151" s="52">
        <f>IFERROR(IF(INDEX('Faculties'!$L$42:$L$51,MATCH($F151,'Faculties'!$B$42:$B$51,0))="","Cell will autofill based on response",INDEX('Faculties'!$L$42:$L$51,MATCH($F151,'Faculties'!$B$42:$B$51,0))),"N/A")</f>
        <v/>
      </c>
      <c r="K151" s="52">
        <f>IFERROR(IF(INDEX('Faculties'!$L$58:$L$67,MATCH($F151,'Faculties'!$B$58:$B$67,0))="","Cell will autofill based on response",INDEX('Faculties'!$L$58:$L$67,MATCH($F151,'Faculties'!$B$58:$B$67,0))),"N/A")</f>
        <v/>
      </c>
      <c r="L151" s="52">
        <f>IFERROR(IF(INDEX('CI&amp;S'!$L$10:$L$15,MATCH($F151,'CI&amp;S'!$B$10:$B$15,0))="","Cell will autofill based on response",INDEX('CI&amp;S'!$L$10:$L$15,MATCH($F151,'CI&amp;S'!$B$10:$B$15,0))),"N/A")</f>
        <v/>
      </c>
      <c r="M151" s="52">
        <f>IFERROR(IF(INDEX('CI&amp;S'!$L$22:$L$36,MATCH($F151,'CI&amp;S'!$B$22:$B$36,0))="","Cell will autofill based on response",INDEX('CI&amp;S'!$L$22:$L$36,MATCH($F151,'CI&amp;S'!$B$22:$B$36,0))),"N/A")</f>
        <v/>
      </c>
      <c r="N151" s="52">
        <f>IFERROR(IF(INDEX('CFOG'!$L$10:$L$16,MATCH($F151,'CFOG'!$B$10:$B$16,0))="","Cell will autofill based on response",INDEX('CFOG'!$L$10:$L$16,MATCH($F151,'CFOG'!$B$10:$B$16,0))),"N/A")</f>
        <v/>
      </c>
      <c r="O151" s="52">
        <f>IFERROR(IF(INDEX('CFOG'!$L$23:$L$24,MATCH($F151,'CFOG'!$B$23:$B$24,0))="","Cell will autofill based on response",INDEX('CFOG'!$L$23:$L$24,MATCH($F151,'CFOG'!$B$23:$B$24,0))),"N/A")</f>
        <v/>
      </c>
      <c r="P151" s="52">
        <f>IFERROR(IF(INDEX('ESG'!$L$10:$L$17,MATCH($F151,'ESG'!$B$10:$B$17,0))="","Cell will autofill based on response",INDEX('ESG'!$L$10:$L$17,MATCH($F151,'ESG'!$B$10:$B$17,0))),"N/A")</f>
        <v/>
      </c>
      <c r="Q151" s="52">
        <f>IFERROR(IF(INDEX('CIOG'!$L$10:$L$14,MATCH($F151,'CIOG'!$B$10:$B$14,0))="","Cell will autofill based on response",INDEX('CIOG'!$L$10:$L$14,MATCH($F151,'CIOG'!$B$10:$B$14,0))),"N/A")</f>
        <v/>
      </c>
      <c r="R151" s="52">
        <f>IFERROR(IF(INDEX('MRE'!$L$10:$L$18,MATCH($F151,'MRE'!$B$10:$B$18,0))="","Cell will autofill based on response",INDEX('MRE'!$L$10:$L$18,MATCH($F151,'MRE'!$B$10:$B$18,0))),"N/A")</f>
        <v/>
      </c>
      <c r="S151" s="52">
        <f>IFERROR(IF(INDEX('AC&amp;M'!$L$10:$L$14,MATCH($F151,'AC&amp;M'!$B$10:$B$14,0))="","Cell will autofill based on response",INDEX('AC&amp;M'!$L$10:$L$14,MATCH($F151,'AC&amp;M'!$B$10:$B$14,0))),"N/A")</f>
        <v/>
      </c>
      <c r="T151" s="52">
        <f>IFERROR(IF(INDEX('GCE'!$L$10:$L$12,MATCH($F151,'GCE'!$B$10:$B$12,0))="","Cell will autofill based on response",INDEX('GCE'!$L$10:$L$12,MATCH($F151,'GCE'!$B$10:$B$12,0))),"N/A")</f>
        <v/>
      </c>
      <c r="U151" s="52">
        <f>IFERROR(IF(INDEX('Education'!$L$10:$L$13,MATCH($F151,'Education'!$B$10:$B$13,0))="","Cell will autofill based on response",INDEX('Education'!$L$10:$L$13,MATCH($F151,'Education'!$B$10:$B$13,0))),"N/A")</f>
        <v/>
      </c>
      <c r="V151" s="52">
        <f>IFERROR(IF(INDEX('SaSS'!$L$10:$L$12,MATCH($F151,'SaSS'!$B$10:$B$12,0))="","Cell will autofill based on response",INDEX('SaSS'!$L$10:$L$12,MATCH($F151,'SaSS'!$B$10:$B$12,0))),"N/A")</f>
        <v/>
      </c>
      <c r="W151" s="52">
        <f>IFERROR(IF(INDEX('Indigenous'!$L$10:$L$11,MATCH($F151,'Indigenous'!$B$10:$B$11,0))="","Cell will autofill based on response",INDEX('Indigenous'!$L$10:$L$11,MATCH($F151,'Indigenous'!$B$10:$B$11,0))),"N/A")</f>
        <v/>
      </c>
      <c r="X151" s="52">
        <f>IFERROR(IF(INDEX('L&amp;R'!$L$10:$L$11,MATCH($F151,'L&amp;R'!$B$10:$B$11,0))="","Cell will autofill based on response",INDEX('L&amp;R'!$L$10:$L$11,MATCH($F151,'L&amp;R'!$B$10:$B$11,0))),"N/A")</f>
        <v/>
      </c>
      <c r="Z151" s="10">
        <f>SUMPRODUCT(--($H151:$X151&lt;&gt;"N/A"))</f>
        <v/>
      </c>
      <c r="AA151" s="10">
        <f>SUMPRODUCT(--(((($H151:$X151&lt;&gt;"N/A")*($H151:$X151&lt;&gt;"Cell will autofill based on response"))+(($H152:$X152&lt;&gt;"N/A")*($H152:$X152&lt;&gt;"Cell will autofill based on response")))&gt;0))</f>
        <v/>
      </c>
      <c r="AB151" s="10">
        <f>Z151-AA151</f>
        <v/>
      </c>
      <c r="AC151" s="10">
        <f>COUNTIF($H155:$X155,"Yes")</f>
        <v/>
      </c>
    </row>
    <row r="152">
      <c r="A152">
        <f>F152&amp;"|"&amp;G152</f>
        <v/>
      </c>
      <c r="B152" s="13" t="inlineStr"/>
      <c r="C152" s="8" t="inlineStr"/>
      <c r="D152" s="8" t="inlineStr"/>
      <c r="E152" s="8" t="inlineStr"/>
      <c r="F152" s="8" t="inlineStr">
        <is>
          <t>EI1(b)</t>
        </is>
      </c>
      <c r="G152" s="8" t="inlineStr">
        <is>
          <t>OPTION 2:  Indicator level reporting</t>
        </is>
      </c>
      <c r="H152" s="52">
        <f>IFERROR(IF(INDEX('Faculties'!$M$10:$M$19,MATCH($F152,'Faculties'!$B$10:$B$19,0))="","Cell will autofill based on response",INDEX('Faculties'!$M$10:$M$19,MATCH($F152,'Faculties'!$B$10:$B$19,0))),"N/A")</f>
        <v/>
      </c>
      <c r="I152" s="52">
        <f>IFERROR(IF(INDEX('Faculties'!$M$26:$M$35,MATCH($F152,'Faculties'!$B$26:$B$35,0))="","Cell will autofill based on response",INDEX('Faculties'!$M$26:$M$35,MATCH($F152,'Faculties'!$B$26:$B$35,0))),"N/A")</f>
        <v/>
      </c>
      <c r="J152" s="52">
        <f>IFERROR(IF(INDEX('Faculties'!$M$42:$M$51,MATCH($F152,'Faculties'!$B$42:$B$51,0))="","Cell will autofill based on response",INDEX('Faculties'!$M$42:$M$51,MATCH($F152,'Faculties'!$B$42:$B$51,0))),"N/A")</f>
        <v/>
      </c>
      <c r="K152" s="52">
        <f>IFERROR(IF(INDEX('Faculties'!$M$58:$M$67,MATCH($F152,'Faculties'!$B$58:$B$67,0))="","Cell will autofill based on response",INDEX('Faculties'!$M$58:$M$67,MATCH($F152,'Faculties'!$B$58:$B$67,0))),"N/A")</f>
        <v/>
      </c>
      <c r="L152" s="52">
        <f>IFERROR(IF(INDEX('CI&amp;S'!$M$10:$M$15,MATCH($F152,'CI&amp;S'!$B$10:$B$15,0))="","Cell will autofill based on response",INDEX('CI&amp;S'!$M$10:$M$15,MATCH($F152,'CI&amp;S'!$B$10:$B$15,0))),"N/A")</f>
        <v/>
      </c>
      <c r="M152" s="52">
        <f>IFERROR(IF(INDEX('CI&amp;S'!$M$22:$M$36,MATCH($F152,'CI&amp;S'!$B$22:$B$36,0))="","Cell will autofill based on response",INDEX('CI&amp;S'!$M$22:$M$36,MATCH($F152,'CI&amp;S'!$B$22:$B$36,0))),"N/A")</f>
        <v/>
      </c>
      <c r="N152" s="52">
        <f>IFERROR(IF(INDEX('CFOG'!$M$10:$M$16,MATCH($F152,'CFOG'!$B$10:$B$16,0))="","Cell will autofill based on response",INDEX('CFOG'!$M$10:$M$16,MATCH($F152,'CFOG'!$B$10:$B$16,0))),"N/A")</f>
        <v/>
      </c>
      <c r="O152" s="52">
        <f>IFERROR(IF(INDEX('CFOG'!$M$23:$M$24,MATCH($F152,'CFOG'!$B$23:$B$24,0))="","Cell will autofill based on response",INDEX('CFOG'!$M$23:$M$24,MATCH($F152,'CFOG'!$B$23:$B$24,0))),"N/A")</f>
        <v/>
      </c>
      <c r="P152" s="52">
        <f>IFERROR(IF(INDEX('ESG'!$M$10:$M$17,MATCH($F152,'ESG'!$B$10:$B$17,0))="","Cell will autofill based on response",INDEX('ESG'!$M$10:$M$17,MATCH($F152,'ESG'!$B$10:$B$17,0))),"N/A")</f>
        <v/>
      </c>
      <c r="Q152" s="52">
        <f>IFERROR(IF(INDEX('CIOG'!$M$10:$M$14,MATCH($F152,'CIOG'!$B$10:$B$14,0))="","Cell will autofill based on response",INDEX('CIOG'!$M$10:$M$14,MATCH($F152,'CIOG'!$B$10:$B$14,0))),"N/A")</f>
        <v/>
      </c>
      <c r="R152" s="52">
        <f>IFERROR(IF(INDEX('MRE'!$M$10:$M$18,MATCH($F152,'MRE'!$B$10:$B$18,0))="","Cell will autofill based on response",INDEX('MRE'!$M$10:$M$18,MATCH($F152,'MRE'!$B$10:$B$18,0))),"N/A")</f>
        <v/>
      </c>
      <c r="S152" s="52">
        <f>IFERROR(IF(INDEX('AC&amp;M'!$M$10:$M$14,MATCH($F152,'AC&amp;M'!$B$10:$B$14,0))="","Cell will autofill based on response",INDEX('AC&amp;M'!$M$10:$M$14,MATCH($F152,'AC&amp;M'!$B$10:$B$14,0))),"N/A")</f>
        <v/>
      </c>
      <c r="T152" s="52">
        <f>IFERROR(IF(INDEX('GCE'!$M$10:$M$12,MATCH($F152,'GCE'!$B$10:$B$12,0))="","Cell will autofill based on response",INDEX('GCE'!$M$10:$M$12,MATCH($F152,'GCE'!$B$10:$B$12,0))),"N/A")</f>
        <v/>
      </c>
      <c r="U152" s="52">
        <f>IFERROR(IF(INDEX('Education'!$M$10:$M$13,MATCH($F152,'Education'!$B$10:$B$13,0))="","Cell will autofill based on response",INDEX('Education'!$M$10:$M$13,MATCH($F152,'Education'!$B$10:$B$13,0))),"N/A")</f>
        <v/>
      </c>
      <c r="V152" s="52">
        <f>IFERROR(IF(INDEX('SaSS'!$M$10:$M$12,MATCH($F152,'SaSS'!$B$10:$B$12,0))="","Cell will autofill based on response",INDEX('SaSS'!$M$10:$M$12,MATCH($F152,'SaSS'!$B$10:$B$12,0))),"N/A")</f>
        <v/>
      </c>
      <c r="W152" s="52">
        <f>IFERROR(IF(INDEX('Indigenous'!$M$10:$M$11,MATCH($F152,'Indigenous'!$B$10:$B$11,0))="","Cell will autofill based on response",INDEX('Indigenous'!$M$10:$M$11,MATCH($F152,'Indigenous'!$B$10:$B$11,0))),"N/A")</f>
        <v/>
      </c>
      <c r="X152" s="52">
        <f>IFERROR(IF(INDEX('L&amp;R'!$M$10:$M$11,MATCH($F152,'L&amp;R'!$B$10:$B$11,0))="","Cell will autofill based on response",INDEX('L&amp;R'!$M$10:$M$11,MATCH($F152,'L&amp;R'!$B$10:$B$11,0))),"N/A")</f>
        <v/>
      </c>
    </row>
    <row r="153">
      <c r="A153">
        <f>F153&amp;"|"&amp;G153</f>
        <v/>
      </c>
      <c r="B153" s="13" t="inlineStr"/>
      <c r="C153" s="8" t="inlineStr"/>
      <c r="D153" s="8" t="inlineStr"/>
      <c r="E153" s="8" t="inlineStr"/>
      <c r="F153" s="8" t="inlineStr">
        <is>
          <t>EI1(b)</t>
        </is>
      </c>
      <c r="G153" s="8" t="inlineStr">
        <is>
          <t>Supporting information/comments</t>
        </is>
      </c>
      <c r="H153" s="52">
        <f>IFERROR(IF(INDEX('Faculties'!$N$10:$N$19,MATCH($F153,'Faculties'!$B$10:$B$19,0))="","Cell will autofill based on response",INDEX('Faculties'!$N$10:$N$19,MATCH($F153,'Faculties'!$B$10:$B$19,0))),"N/A")</f>
        <v/>
      </c>
      <c r="I153" s="52">
        <f>IFERROR(IF(INDEX('Faculties'!$N$26:$N$35,MATCH($F153,'Faculties'!$B$26:$B$35,0))="","Cell will autofill based on response",INDEX('Faculties'!$N$26:$N$35,MATCH($F153,'Faculties'!$B$26:$B$35,0))),"N/A")</f>
        <v/>
      </c>
      <c r="J153" s="52">
        <f>IFERROR(IF(INDEX('Faculties'!$N$42:$N$51,MATCH($F153,'Faculties'!$B$42:$B$51,0))="","Cell will autofill based on response",INDEX('Faculties'!$N$42:$N$51,MATCH($F153,'Faculties'!$B$42:$B$51,0))),"N/A")</f>
        <v/>
      </c>
      <c r="K153" s="52">
        <f>IFERROR(IF(INDEX('Faculties'!$N$58:$N$67,MATCH($F153,'Faculties'!$B$58:$B$67,0))="","Cell will autofill based on response",INDEX('Faculties'!$N$58:$N$67,MATCH($F153,'Faculties'!$B$58:$B$67,0))),"N/A")</f>
        <v/>
      </c>
      <c r="L153" s="52">
        <f>IFERROR(IF(INDEX('CI&amp;S'!$N$10:$N$15,MATCH($F153,'CI&amp;S'!$B$10:$B$15,0))="","Cell will autofill based on response",INDEX('CI&amp;S'!$N$10:$N$15,MATCH($F153,'CI&amp;S'!$B$10:$B$15,0))),"N/A")</f>
        <v/>
      </c>
      <c r="M153" s="52">
        <f>IFERROR(IF(INDEX('CI&amp;S'!$N$22:$N$36,MATCH($F153,'CI&amp;S'!$B$22:$B$36,0))="","Cell will autofill based on response",INDEX('CI&amp;S'!$N$22:$N$36,MATCH($F153,'CI&amp;S'!$B$22:$B$36,0))),"N/A")</f>
        <v/>
      </c>
      <c r="N153" s="52">
        <f>IFERROR(IF(INDEX('CFOG'!$N$10:$N$16,MATCH($F153,'CFOG'!$B$10:$B$16,0))="","Cell will autofill based on response",INDEX('CFOG'!$N$10:$N$16,MATCH($F153,'CFOG'!$B$10:$B$16,0))),"N/A")</f>
        <v/>
      </c>
      <c r="O153" s="52">
        <f>IFERROR(IF(INDEX('CFOG'!$N$23:$N$24,MATCH($F153,'CFOG'!$B$23:$B$24,0))="","Cell will autofill based on response",INDEX('CFOG'!$N$23:$N$24,MATCH($F153,'CFOG'!$B$23:$B$24,0))),"N/A")</f>
        <v/>
      </c>
      <c r="P153" s="52">
        <f>IFERROR(IF(INDEX('ESG'!$N$10:$N$17,MATCH($F153,'ESG'!$B$10:$B$17,0))="","Cell will autofill based on response",INDEX('ESG'!$N$10:$N$17,MATCH($F153,'ESG'!$B$10:$B$17,0))),"N/A")</f>
        <v/>
      </c>
      <c r="Q153" s="52">
        <f>IFERROR(IF(INDEX('CIOG'!$N$10:$N$14,MATCH($F153,'CIOG'!$B$10:$B$14,0))="","Cell will autofill based on response",INDEX('CIOG'!$N$10:$N$14,MATCH($F153,'CIOG'!$B$10:$B$14,0))),"N/A")</f>
        <v/>
      </c>
      <c r="R153" s="52">
        <f>IFERROR(IF(INDEX('MRE'!$N$10:$N$18,MATCH($F153,'MRE'!$B$10:$B$18,0))="","Cell will autofill based on response",INDEX('MRE'!$N$10:$N$18,MATCH($F153,'MRE'!$B$10:$B$18,0))),"N/A")</f>
        <v/>
      </c>
      <c r="S153" s="52">
        <f>IFERROR(IF(INDEX('AC&amp;M'!$N$10:$N$14,MATCH($F153,'AC&amp;M'!$B$10:$B$14,0))="","Cell will autofill based on response",INDEX('AC&amp;M'!$N$10:$N$14,MATCH($F153,'AC&amp;M'!$B$10:$B$14,0))),"N/A")</f>
        <v/>
      </c>
      <c r="T153" s="52">
        <f>IFERROR(IF(INDEX('GCE'!$N$10:$N$12,MATCH($F153,'GCE'!$B$10:$B$12,0))="","Cell will autofill based on response",INDEX('GCE'!$N$10:$N$12,MATCH($F153,'GCE'!$B$10:$B$12,0))),"N/A")</f>
        <v/>
      </c>
      <c r="U153" s="52">
        <f>IFERROR(IF(INDEX('Education'!$N$10:$N$13,MATCH($F153,'Education'!$B$10:$B$13,0))="","Cell will autofill based on response",INDEX('Education'!$N$10:$N$13,MATCH($F153,'Education'!$B$10:$B$13,0))),"N/A")</f>
        <v/>
      </c>
      <c r="V153" s="52">
        <f>IFERROR(IF(INDEX('SaSS'!$N$10:$N$12,MATCH($F153,'SaSS'!$B$10:$B$12,0))="","Cell will autofill based on response",INDEX('SaSS'!$N$10:$N$12,MATCH($F153,'SaSS'!$B$10:$B$12,0))),"N/A")</f>
        <v/>
      </c>
      <c r="W153" s="52">
        <f>IFERROR(IF(INDEX('Indigenous'!$N$10:$N$11,MATCH($F153,'Indigenous'!$B$10:$B$11,0))="","Cell will autofill based on response",INDEX('Indigenous'!$N$10:$N$11,MATCH($F153,'Indigenous'!$B$10:$B$11,0))),"N/A")</f>
        <v/>
      </c>
      <c r="X153" s="52">
        <f>IFERROR(IF(INDEX('L&amp;R'!$N$10:$N$11,MATCH($F153,'L&amp;R'!$B$10:$B$11,0))="","Cell will autofill based on response",INDEX('L&amp;R'!$N$10:$N$11,MATCH($F153,'L&amp;R'!$B$10:$B$11,0))),"N/A")</f>
        <v/>
      </c>
    </row>
    <row r="154">
      <c r="A154">
        <f>F154&amp;"|"&amp;G154</f>
        <v/>
      </c>
      <c r="B154" s="13" t="inlineStr"/>
      <c r="C154" s="8" t="inlineStr"/>
      <c r="D154" s="8" t="inlineStr"/>
      <c r="E154" s="8" t="inlineStr"/>
      <c r="F154" s="8" t="inlineStr">
        <is>
          <t>EI1(b)</t>
        </is>
      </c>
      <c r="G154" s="8" t="inlineStr">
        <is>
          <t>Data source and limitations</t>
        </is>
      </c>
      <c r="H154" s="52">
        <f>IFERROR(IF(INDEX('Faculties'!$O$10:$O$19,MATCH($F154,'Faculties'!$B$10:$B$19,0))="","Cell will autofill based on response",INDEX('Faculties'!$O$10:$O$19,MATCH($F154,'Faculties'!$B$10:$B$19,0))),"N/A")</f>
        <v/>
      </c>
      <c r="I154" s="52">
        <f>IFERROR(IF(INDEX('Faculties'!$O$26:$O$35,MATCH($F154,'Faculties'!$B$26:$B$35,0))="","Cell will autofill based on response",INDEX('Faculties'!$O$26:$O$35,MATCH($F154,'Faculties'!$B$26:$B$35,0))),"N/A")</f>
        <v/>
      </c>
      <c r="J154" s="52">
        <f>IFERROR(IF(INDEX('Faculties'!$O$42:$O$51,MATCH($F154,'Faculties'!$B$42:$B$51,0))="","Cell will autofill based on response",INDEX('Faculties'!$O$42:$O$51,MATCH($F154,'Faculties'!$B$42:$B$51,0))),"N/A")</f>
        <v/>
      </c>
      <c r="K154" s="52">
        <f>IFERROR(IF(INDEX('Faculties'!$O$58:$O$67,MATCH($F154,'Faculties'!$B$58:$B$67,0))="","Cell will autofill based on response",INDEX('Faculties'!$O$58:$O$67,MATCH($F154,'Faculties'!$B$58:$B$67,0))),"N/A")</f>
        <v/>
      </c>
      <c r="L154" s="52">
        <f>IFERROR(IF(INDEX('CI&amp;S'!$O$10:$O$15,MATCH($F154,'CI&amp;S'!$B$10:$B$15,0))="","Cell will autofill based on response",INDEX('CI&amp;S'!$O$10:$O$15,MATCH($F154,'CI&amp;S'!$B$10:$B$15,0))),"N/A")</f>
        <v/>
      </c>
      <c r="M154" s="52">
        <f>IFERROR(IF(INDEX('CI&amp;S'!$O$22:$O$36,MATCH($F154,'CI&amp;S'!$B$22:$B$36,0))="","Cell will autofill based on response",INDEX('CI&amp;S'!$O$22:$O$36,MATCH($F154,'CI&amp;S'!$B$22:$B$36,0))),"N/A")</f>
        <v/>
      </c>
      <c r="N154" s="52">
        <f>IFERROR(IF(INDEX('CFOG'!$O$10:$O$16,MATCH($F154,'CFOG'!$B$10:$B$16,0))="","Cell will autofill based on response",INDEX('CFOG'!$O$10:$O$16,MATCH($F154,'CFOG'!$B$10:$B$16,0))),"N/A")</f>
        <v/>
      </c>
      <c r="O154" s="52">
        <f>IFERROR(IF(INDEX('CFOG'!$O$23:$O$24,MATCH($F154,'CFOG'!$B$23:$B$24,0))="","Cell will autofill based on response",INDEX('CFOG'!$O$23:$O$24,MATCH($F154,'CFOG'!$B$23:$B$24,0))),"N/A")</f>
        <v/>
      </c>
      <c r="P154" s="52">
        <f>IFERROR(IF(INDEX('ESG'!$O$10:$O$17,MATCH($F154,'ESG'!$B$10:$B$17,0))="","Cell will autofill based on response",INDEX('ESG'!$O$10:$O$17,MATCH($F154,'ESG'!$B$10:$B$17,0))),"N/A")</f>
        <v/>
      </c>
      <c r="Q154" s="52">
        <f>IFERROR(IF(INDEX('CIOG'!$O$10:$O$14,MATCH($F154,'CIOG'!$B$10:$B$14,0))="","Cell will autofill based on response",INDEX('CIOG'!$O$10:$O$14,MATCH($F154,'CIOG'!$B$10:$B$14,0))),"N/A")</f>
        <v/>
      </c>
      <c r="R154" s="52">
        <f>IFERROR(IF(INDEX('MRE'!$O$10:$O$18,MATCH($F154,'MRE'!$B$10:$B$18,0))="","Cell will autofill based on response",INDEX('MRE'!$O$10:$O$18,MATCH($F154,'MRE'!$B$10:$B$18,0))),"N/A")</f>
        <v/>
      </c>
      <c r="S154" s="52">
        <f>IFERROR(IF(INDEX('AC&amp;M'!$O$10:$O$14,MATCH($F154,'AC&amp;M'!$B$10:$B$14,0))="","Cell will autofill based on response",INDEX('AC&amp;M'!$O$10:$O$14,MATCH($F154,'AC&amp;M'!$B$10:$B$14,0))),"N/A")</f>
        <v/>
      </c>
      <c r="T154" s="52">
        <f>IFERROR(IF(INDEX('GCE'!$O$10:$O$12,MATCH($F154,'GCE'!$B$10:$B$12,0))="","Cell will autofill based on response",INDEX('GCE'!$O$10:$O$12,MATCH($F154,'GCE'!$B$10:$B$12,0))),"N/A")</f>
        <v/>
      </c>
      <c r="U154" s="52">
        <f>IFERROR(IF(INDEX('Education'!$O$10:$O$13,MATCH($F154,'Education'!$B$10:$B$13,0))="","Cell will autofill based on response",INDEX('Education'!$O$10:$O$13,MATCH($F154,'Education'!$B$10:$B$13,0))),"N/A")</f>
        <v/>
      </c>
      <c r="V154" s="52">
        <f>IFERROR(IF(INDEX('SaSS'!$O$10:$O$12,MATCH($F154,'SaSS'!$B$10:$B$12,0))="","Cell will autofill based on response",INDEX('SaSS'!$O$10:$O$12,MATCH($F154,'SaSS'!$B$10:$B$12,0))),"N/A")</f>
        <v/>
      </c>
      <c r="W154" s="52">
        <f>IFERROR(IF(INDEX('Indigenous'!$O$10:$O$11,MATCH($F154,'Indigenous'!$B$10:$B$11,0))="","Cell will autofill based on response",INDEX('Indigenous'!$O$10:$O$11,MATCH($F154,'Indigenous'!$B$10:$B$11,0))),"N/A")</f>
        <v/>
      </c>
      <c r="X154" s="52">
        <f>IFERROR(IF(INDEX('L&amp;R'!$O$10:$O$11,MATCH($F154,'L&amp;R'!$B$10:$B$11,0))="","Cell will autofill based on response",INDEX('L&amp;R'!$O$10:$O$11,MATCH($F154,'L&amp;R'!$B$10:$B$11,0))),"N/A")</f>
        <v/>
      </c>
    </row>
    <row r="155">
      <c r="A155">
        <f>F155&amp;"|"&amp;G155</f>
        <v/>
      </c>
      <c r="B155" s="13" t="inlineStr"/>
      <c r="C155" s="8" t="inlineStr"/>
      <c r="D155" s="8" t="inlineStr"/>
      <c r="E155" s="8" t="inlineStr"/>
      <c r="F155" s="8" t="inlineStr">
        <is>
          <t>EI1(b)</t>
        </is>
      </c>
      <c r="G155" s="8" t="inlineStr">
        <is>
          <t>Data owner confirms</t>
        </is>
      </c>
      <c r="H155" s="52">
        <f>IFERROR(IF(INDEX('Faculties'!$P$10:$P$19,MATCH($F155,'Faculties'!$B$10:$B$19,0))="","Cell will autofill based on response",INDEX('Faculties'!$P$10:$P$19,MATCH($F155,'Faculties'!$B$10:$B$19,0))),"N/A")</f>
        <v/>
      </c>
      <c r="I155" s="52">
        <f>IFERROR(IF(INDEX('Faculties'!$P$26:$P$35,MATCH($F155,'Faculties'!$B$26:$B$35,0))="","Cell will autofill based on response",INDEX('Faculties'!$P$26:$P$35,MATCH($F155,'Faculties'!$B$26:$B$35,0))),"N/A")</f>
        <v/>
      </c>
      <c r="J155" s="52">
        <f>IFERROR(IF(INDEX('Faculties'!$P$42:$P$51,MATCH($F155,'Faculties'!$B$42:$B$51,0))="","Cell will autofill based on response",INDEX('Faculties'!$P$42:$P$51,MATCH($F155,'Faculties'!$B$42:$B$51,0))),"N/A")</f>
        <v/>
      </c>
      <c r="K155" s="52">
        <f>IFERROR(IF(INDEX('Faculties'!$P$58:$P$67,MATCH($F155,'Faculties'!$B$58:$B$67,0))="","Cell will autofill based on response",INDEX('Faculties'!$P$58:$P$67,MATCH($F155,'Faculties'!$B$58:$B$67,0))),"N/A")</f>
        <v/>
      </c>
      <c r="L155" s="52">
        <f>IFERROR(IF(INDEX('CI&amp;S'!$P$10:$P$15,MATCH($F155,'CI&amp;S'!$B$10:$B$15,0))="","Cell will autofill based on response",INDEX('CI&amp;S'!$P$10:$P$15,MATCH($F155,'CI&amp;S'!$B$10:$B$15,0))),"N/A")</f>
        <v/>
      </c>
      <c r="M155" s="52">
        <f>IFERROR(IF(INDEX('CI&amp;S'!$P$22:$P$36,MATCH($F155,'CI&amp;S'!$B$22:$B$36,0))="","Cell will autofill based on response",INDEX('CI&amp;S'!$P$22:$P$36,MATCH($F155,'CI&amp;S'!$B$22:$B$36,0))),"N/A")</f>
        <v/>
      </c>
      <c r="N155" s="52">
        <f>IFERROR(IF(INDEX('CFOG'!$P$10:$P$16,MATCH($F155,'CFOG'!$B$10:$B$16,0))="","Cell will autofill based on response",INDEX('CFOG'!$P$10:$P$16,MATCH($F155,'CFOG'!$B$10:$B$16,0))),"N/A")</f>
        <v/>
      </c>
      <c r="O155" s="52">
        <f>IFERROR(IF(INDEX('CFOG'!$P$23:$P$24,MATCH($F155,'CFOG'!$B$23:$B$24,0))="","Cell will autofill based on response",INDEX('CFOG'!$P$23:$P$24,MATCH($F155,'CFOG'!$B$23:$B$24,0))),"N/A")</f>
        <v/>
      </c>
      <c r="P155" s="52">
        <f>IFERROR(IF(INDEX('ESG'!$P$10:$P$17,MATCH($F155,'ESG'!$B$10:$B$17,0))="","Cell will autofill based on response",INDEX('ESG'!$P$10:$P$17,MATCH($F155,'ESG'!$B$10:$B$17,0))),"N/A")</f>
        <v/>
      </c>
      <c r="Q155" s="52">
        <f>IFERROR(IF(INDEX('CIOG'!$P$10:$P$14,MATCH($F155,'CIOG'!$B$10:$B$14,0))="","Cell will autofill based on response",INDEX('CIOG'!$P$10:$P$14,MATCH($F155,'CIOG'!$B$10:$B$14,0))),"N/A")</f>
        <v/>
      </c>
      <c r="R155" s="52">
        <f>IFERROR(IF(INDEX('MRE'!$P$10:$P$18,MATCH($F155,'MRE'!$B$10:$B$18,0))="","Cell will autofill based on response",INDEX('MRE'!$P$10:$P$18,MATCH($F155,'MRE'!$B$10:$B$18,0))),"N/A")</f>
        <v/>
      </c>
      <c r="S155" s="52">
        <f>IFERROR(IF(INDEX('AC&amp;M'!$P$10:$P$14,MATCH($F155,'AC&amp;M'!$B$10:$B$14,0))="","Cell will autofill based on response",INDEX('AC&amp;M'!$P$10:$P$14,MATCH($F155,'AC&amp;M'!$B$10:$B$14,0))),"N/A")</f>
        <v/>
      </c>
      <c r="T155" s="52">
        <f>IFERROR(IF(INDEX('GCE'!$P$10:$P$12,MATCH($F155,'GCE'!$B$10:$B$12,0))="","Cell will autofill based on response",INDEX('GCE'!$P$10:$P$12,MATCH($F155,'GCE'!$B$10:$B$12,0))),"N/A")</f>
        <v/>
      </c>
      <c r="U155" s="52">
        <f>IFERROR(IF(INDEX('Education'!$P$10:$P$13,MATCH($F155,'Education'!$B$10:$B$13,0))="","Cell will autofill based on response",INDEX('Education'!$P$10:$P$13,MATCH($F155,'Education'!$B$10:$B$13,0))),"N/A")</f>
        <v/>
      </c>
      <c r="V155" s="52">
        <f>IFERROR(IF(INDEX('SaSS'!$P$10:$P$12,MATCH($F155,'SaSS'!$B$10:$B$12,0))="","Cell will autofill based on response",INDEX('SaSS'!$P$10:$P$12,MATCH($F155,'SaSS'!$B$10:$B$12,0))),"N/A")</f>
        <v/>
      </c>
      <c r="W155" s="52">
        <f>IFERROR(IF(INDEX('Indigenous'!$P$10:$P$11,MATCH($F155,'Indigenous'!$B$10:$B$11,0))="","Cell will autofill based on response",INDEX('Indigenous'!$P$10:$P$11,MATCH($F155,'Indigenous'!$B$10:$B$11,0))),"N/A")</f>
        <v/>
      </c>
      <c r="X155" s="52">
        <f>IFERROR(IF(INDEX('L&amp;R'!$P$10:$P$11,MATCH($F155,'L&amp;R'!$B$10:$B$11,0))="","Cell will autofill based on response",INDEX('L&amp;R'!$P$10:$P$11,MATCH($F155,'L&amp;R'!$B$10:$B$11,0))),"N/A")</f>
        <v/>
      </c>
    </row>
    <row r="156">
      <c r="A156">
        <f>F156&amp;"|"&amp;G156</f>
        <v/>
      </c>
      <c r="B156" s="7" t="inlineStr">
        <is>
          <t>EI1(c)</t>
        </is>
      </c>
      <c r="C156" s="50" t="inlineStr">
        <is>
          <t>Estate and infrastructure</t>
        </is>
      </c>
      <c r="D156" s="50" t="inlineStr">
        <is>
          <t>Reporting on relevant activities and impacts for the University’s major estate and infrastructure projects and programs aligned with the other priority areas in Sustainability 2030</t>
        </is>
      </c>
      <c r="E156" s="50"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50" t="inlineStr">
        <is>
          <t>EI1(c)</t>
        </is>
      </c>
      <c r="G156" s="50" t="inlineStr">
        <is>
          <t>OPTION 1:  Target-level reporting</t>
        </is>
      </c>
      <c r="H156" s="52">
        <f>IFERROR(IF(INDEX('Faculties'!$L$10:$L$19,MATCH($F156,'Faculties'!$B$10:$B$19,0))="","Cell will autofill based on response",INDEX('Faculties'!$L$10:$L$19,MATCH($F156,'Faculties'!$B$10:$B$19,0))),"N/A")</f>
        <v/>
      </c>
      <c r="I156" s="52">
        <f>IFERROR(IF(INDEX('Faculties'!$L$26:$L$35,MATCH($F156,'Faculties'!$B$26:$B$35,0))="","Cell will autofill based on response",INDEX('Faculties'!$L$26:$L$35,MATCH($F156,'Faculties'!$B$26:$B$35,0))),"N/A")</f>
        <v/>
      </c>
      <c r="J156" s="52">
        <f>IFERROR(IF(INDEX('Faculties'!$L$42:$L$51,MATCH($F156,'Faculties'!$B$42:$B$51,0))="","Cell will autofill based on response",INDEX('Faculties'!$L$42:$L$51,MATCH($F156,'Faculties'!$B$42:$B$51,0))),"N/A")</f>
        <v/>
      </c>
      <c r="K156" s="52">
        <f>IFERROR(IF(INDEX('Faculties'!$L$58:$L$67,MATCH($F156,'Faculties'!$B$58:$B$67,0))="","Cell will autofill based on response",INDEX('Faculties'!$L$58:$L$67,MATCH($F156,'Faculties'!$B$58:$B$67,0))),"N/A")</f>
        <v/>
      </c>
      <c r="L156" s="52">
        <f>IFERROR(IF(INDEX('CI&amp;S'!$L$10:$L$15,MATCH($F156,'CI&amp;S'!$B$10:$B$15,0))="","Cell will autofill based on response",INDEX('CI&amp;S'!$L$10:$L$15,MATCH($F156,'CI&amp;S'!$B$10:$B$15,0))),"N/A")</f>
        <v/>
      </c>
      <c r="M156" s="52">
        <f>IFERROR(IF(INDEX('CI&amp;S'!$L$22:$L$36,MATCH($F156,'CI&amp;S'!$B$22:$B$36,0))="","Cell will autofill based on response",INDEX('CI&amp;S'!$L$22:$L$36,MATCH($F156,'CI&amp;S'!$B$22:$B$36,0))),"N/A")</f>
        <v/>
      </c>
      <c r="N156" s="52">
        <f>IFERROR(IF(INDEX('CFOG'!$L$10:$L$16,MATCH($F156,'CFOG'!$B$10:$B$16,0))="","Cell will autofill based on response",INDEX('CFOG'!$L$10:$L$16,MATCH($F156,'CFOG'!$B$10:$B$16,0))),"N/A")</f>
        <v/>
      </c>
      <c r="O156" s="52">
        <f>IFERROR(IF(INDEX('CFOG'!$L$23:$L$24,MATCH($F156,'CFOG'!$B$23:$B$24,0))="","Cell will autofill based on response",INDEX('CFOG'!$L$23:$L$24,MATCH($F156,'CFOG'!$B$23:$B$24,0))),"N/A")</f>
        <v/>
      </c>
      <c r="P156" s="52">
        <f>IFERROR(IF(INDEX('ESG'!$L$10:$L$17,MATCH($F156,'ESG'!$B$10:$B$17,0))="","Cell will autofill based on response",INDEX('ESG'!$L$10:$L$17,MATCH($F156,'ESG'!$B$10:$B$17,0))),"N/A")</f>
        <v/>
      </c>
      <c r="Q156" s="52">
        <f>IFERROR(IF(INDEX('CIOG'!$L$10:$L$14,MATCH($F156,'CIOG'!$B$10:$B$14,0))="","Cell will autofill based on response",INDEX('CIOG'!$L$10:$L$14,MATCH($F156,'CIOG'!$B$10:$B$14,0))),"N/A")</f>
        <v/>
      </c>
      <c r="R156" s="52">
        <f>IFERROR(IF(INDEX('MRE'!$L$10:$L$18,MATCH($F156,'MRE'!$B$10:$B$18,0))="","Cell will autofill based on response",INDEX('MRE'!$L$10:$L$18,MATCH($F156,'MRE'!$B$10:$B$18,0))),"N/A")</f>
        <v/>
      </c>
      <c r="S156" s="52">
        <f>IFERROR(IF(INDEX('AC&amp;M'!$L$10:$L$14,MATCH($F156,'AC&amp;M'!$B$10:$B$14,0))="","Cell will autofill based on response",INDEX('AC&amp;M'!$L$10:$L$14,MATCH($F156,'AC&amp;M'!$B$10:$B$14,0))),"N/A")</f>
        <v/>
      </c>
      <c r="T156" s="52">
        <f>IFERROR(IF(INDEX('GCE'!$L$10:$L$12,MATCH($F156,'GCE'!$B$10:$B$12,0))="","Cell will autofill based on response",INDEX('GCE'!$L$10:$L$12,MATCH($F156,'GCE'!$B$10:$B$12,0))),"N/A")</f>
        <v/>
      </c>
      <c r="U156" s="52">
        <f>IFERROR(IF(INDEX('Education'!$L$10:$L$13,MATCH($F156,'Education'!$B$10:$B$13,0))="","Cell will autofill based on response",INDEX('Education'!$L$10:$L$13,MATCH($F156,'Education'!$B$10:$B$13,0))),"N/A")</f>
        <v/>
      </c>
      <c r="V156" s="52">
        <f>IFERROR(IF(INDEX('SaSS'!$L$10:$L$12,MATCH($F156,'SaSS'!$B$10:$B$12,0))="","Cell will autofill based on response",INDEX('SaSS'!$L$10:$L$12,MATCH($F156,'SaSS'!$B$10:$B$12,0))),"N/A")</f>
        <v/>
      </c>
      <c r="W156" s="52">
        <f>IFERROR(IF(INDEX('Indigenous'!$L$10:$L$11,MATCH($F156,'Indigenous'!$B$10:$B$11,0))="","Cell will autofill based on response",INDEX('Indigenous'!$L$10:$L$11,MATCH($F156,'Indigenous'!$B$10:$B$11,0))),"N/A")</f>
        <v/>
      </c>
      <c r="X156" s="52">
        <f>IFERROR(IF(INDEX('L&amp;R'!$L$10:$L$11,MATCH($F156,'L&amp;R'!$B$10:$B$11,0))="","Cell will autofill based on response",INDEX('L&amp;R'!$L$10:$L$11,MATCH($F156,'L&amp;R'!$B$10:$B$11,0))),"N/A")</f>
        <v/>
      </c>
      <c r="Z156" s="10">
        <f>SUMPRODUCT(--($H156:$X156&lt;&gt;"N/A"))</f>
        <v/>
      </c>
      <c r="AA156" s="10">
        <f>SUMPRODUCT(--(((($H156:$X156&lt;&gt;"N/A")*($H156:$X156&lt;&gt;"Cell will autofill based on response"))+(($H157:$X157&lt;&gt;"N/A")*($H157:$X157&lt;&gt;"Cell will autofill based on response")))&gt;0))</f>
        <v/>
      </c>
      <c r="AB156" s="10">
        <f>Z156-AA156</f>
        <v/>
      </c>
      <c r="AC156" s="10">
        <f>COUNTIF($H160:$X160,"Yes")</f>
        <v/>
      </c>
    </row>
    <row r="157">
      <c r="A157">
        <f>F157&amp;"|"&amp;G157</f>
        <v/>
      </c>
      <c r="B157" s="13" t="inlineStr"/>
      <c r="C157" s="8" t="inlineStr"/>
      <c r="D157" s="8" t="inlineStr"/>
      <c r="E157" s="8" t="inlineStr"/>
      <c r="F157" s="8" t="inlineStr">
        <is>
          <t>EI1(c)</t>
        </is>
      </c>
      <c r="G157" s="8" t="inlineStr">
        <is>
          <t>OPTION 2:  Indicator level reporting</t>
        </is>
      </c>
      <c r="H157" s="52">
        <f>IFERROR(IF(INDEX('Faculties'!$M$10:$M$19,MATCH($F157,'Faculties'!$B$10:$B$19,0))="","Cell will autofill based on response",INDEX('Faculties'!$M$10:$M$19,MATCH($F157,'Faculties'!$B$10:$B$19,0))),"N/A")</f>
        <v/>
      </c>
      <c r="I157" s="52">
        <f>IFERROR(IF(INDEX('Faculties'!$M$26:$M$35,MATCH($F157,'Faculties'!$B$26:$B$35,0))="","Cell will autofill based on response",INDEX('Faculties'!$M$26:$M$35,MATCH($F157,'Faculties'!$B$26:$B$35,0))),"N/A")</f>
        <v/>
      </c>
      <c r="J157" s="52">
        <f>IFERROR(IF(INDEX('Faculties'!$M$42:$M$51,MATCH($F157,'Faculties'!$B$42:$B$51,0))="","Cell will autofill based on response",INDEX('Faculties'!$M$42:$M$51,MATCH($F157,'Faculties'!$B$42:$B$51,0))),"N/A")</f>
        <v/>
      </c>
      <c r="K157" s="52">
        <f>IFERROR(IF(INDEX('Faculties'!$M$58:$M$67,MATCH($F157,'Faculties'!$B$58:$B$67,0))="","Cell will autofill based on response",INDEX('Faculties'!$M$58:$M$67,MATCH($F157,'Faculties'!$B$58:$B$67,0))),"N/A")</f>
        <v/>
      </c>
      <c r="L157" s="52">
        <f>IFERROR(IF(INDEX('CI&amp;S'!$M$10:$M$15,MATCH($F157,'CI&amp;S'!$B$10:$B$15,0))="","Cell will autofill based on response",INDEX('CI&amp;S'!$M$10:$M$15,MATCH($F157,'CI&amp;S'!$B$10:$B$15,0))),"N/A")</f>
        <v/>
      </c>
      <c r="M157" s="52">
        <f>IFERROR(IF(INDEX('CI&amp;S'!$M$22:$M$36,MATCH($F157,'CI&amp;S'!$B$22:$B$36,0))="","Cell will autofill based on response",INDEX('CI&amp;S'!$M$22:$M$36,MATCH($F157,'CI&amp;S'!$B$22:$B$36,0))),"N/A")</f>
        <v/>
      </c>
      <c r="N157" s="52">
        <f>IFERROR(IF(INDEX('CFOG'!$M$10:$M$16,MATCH($F157,'CFOG'!$B$10:$B$16,0))="","Cell will autofill based on response",INDEX('CFOG'!$M$10:$M$16,MATCH($F157,'CFOG'!$B$10:$B$16,0))),"N/A")</f>
        <v/>
      </c>
      <c r="O157" s="52">
        <f>IFERROR(IF(INDEX('CFOG'!$M$23:$M$24,MATCH($F157,'CFOG'!$B$23:$B$24,0))="","Cell will autofill based on response",INDEX('CFOG'!$M$23:$M$24,MATCH($F157,'CFOG'!$B$23:$B$24,0))),"N/A")</f>
        <v/>
      </c>
      <c r="P157" s="52">
        <f>IFERROR(IF(INDEX('ESG'!$M$10:$M$17,MATCH($F157,'ESG'!$B$10:$B$17,0))="","Cell will autofill based on response",INDEX('ESG'!$M$10:$M$17,MATCH($F157,'ESG'!$B$10:$B$17,0))),"N/A")</f>
        <v/>
      </c>
      <c r="Q157" s="52">
        <f>IFERROR(IF(INDEX('CIOG'!$M$10:$M$14,MATCH($F157,'CIOG'!$B$10:$B$14,0))="","Cell will autofill based on response",INDEX('CIOG'!$M$10:$M$14,MATCH($F157,'CIOG'!$B$10:$B$14,0))),"N/A")</f>
        <v/>
      </c>
      <c r="R157" s="52">
        <f>IFERROR(IF(INDEX('MRE'!$M$10:$M$18,MATCH($F157,'MRE'!$B$10:$B$18,0))="","Cell will autofill based on response",INDEX('MRE'!$M$10:$M$18,MATCH($F157,'MRE'!$B$10:$B$18,0))),"N/A")</f>
        <v/>
      </c>
      <c r="S157" s="52">
        <f>IFERROR(IF(INDEX('AC&amp;M'!$M$10:$M$14,MATCH($F157,'AC&amp;M'!$B$10:$B$14,0))="","Cell will autofill based on response",INDEX('AC&amp;M'!$M$10:$M$14,MATCH($F157,'AC&amp;M'!$B$10:$B$14,0))),"N/A")</f>
        <v/>
      </c>
      <c r="T157" s="52">
        <f>IFERROR(IF(INDEX('GCE'!$M$10:$M$12,MATCH($F157,'GCE'!$B$10:$B$12,0))="","Cell will autofill based on response",INDEX('GCE'!$M$10:$M$12,MATCH($F157,'GCE'!$B$10:$B$12,0))),"N/A")</f>
        <v/>
      </c>
      <c r="U157" s="52">
        <f>IFERROR(IF(INDEX('Education'!$M$10:$M$13,MATCH($F157,'Education'!$B$10:$B$13,0))="","Cell will autofill based on response",INDEX('Education'!$M$10:$M$13,MATCH($F157,'Education'!$B$10:$B$13,0))),"N/A")</f>
        <v/>
      </c>
      <c r="V157" s="52">
        <f>IFERROR(IF(INDEX('SaSS'!$M$10:$M$12,MATCH($F157,'SaSS'!$B$10:$B$12,0))="","Cell will autofill based on response",INDEX('SaSS'!$M$10:$M$12,MATCH($F157,'SaSS'!$B$10:$B$12,0))),"N/A")</f>
        <v/>
      </c>
      <c r="W157" s="52">
        <f>IFERROR(IF(INDEX('Indigenous'!$M$10:$M$11,MATCH($F157,'Indigenous'!$B$10:$B$11,0))="","Cell will autofill based on response",INDEX('Indigenous'!$M$10:$M$11,MATCH($F157,'Indigenous'!$B$10:$B$11,0))),"N/A")</f>
        <v/>
      </c>
      <c r="X157" s="52">
        <f>IFERROR(IF(INDEX('L&amp;R'!$M$10:$M$11,MATCH($F157,'L&amp;R'!$B$10:$B$11,0))="","Cell will autofill based on response",INDEX('L&amp;R'!$M$10:$M$11,MATCH($F157,'L&amp;R'!$B$10:$B$11,0))),"N/A")</f>
        <v/>
      </c>
    </row>
    <row r="158">
      <c r="A158">
        <f>F158&amp;"|"&amp;G158</f>
        <v/>
      </c>
      <c r="B158" s="13" t="inlineStr"/>
      <c r="C158" s="8" t="inlineStr"/>
      <c r="D158" s="8" t="inlineStr"/>
      <c r="E158" s="8" t="inlineStr"/>
      <c r="F158" s="8" t="inlineStr">
        <is>
          <t>EI1(c)</t>
        </is>
      </c>
      <c r="G158" s="8" t="inlineStr">
        <is>
          <t>Supporting information/comments</t>
        </is>
      </c>
      <c r="H158" s="52">
        <f>IFERROR(IF(INDEX('Faculties'!$N$10:$N$19,MATCH($F158,'Faculties'!$B$10:$B$19,0))="","Cell will autofill based on response",INDEX('Faculties'!$N$10:$N$19,MATCH($F158,'Faculties'!$B$10:$B$19,0))),"N/A")</f>
        <v/>
      </c>
      <c r="I158" s="52">
        <f>IFERROR(IF(INDEX('Faculties'!$N$26:$N$35,MATCH($F158,'Faculties'!$B$26:$B$35,0))="","Cell will autofill based on response",INDEX('Faculties'!$N$26:$N$35,MATCH($F158,'Faculties'!$B$26:$B$35,0))),"N/A")</f>
        <v/>
      </c>
      <c r="J158" s="52">
        <f>IFERROR(IF(INDEX('Faculties'!$N$42:$N$51,MATCH($F158,'Faculties'!$B$42:$B$51,0))="","Cell will autofill based on response",INDEX('Faculties'!$N$42:$N$51,MATCH($F158,'Faculties'!$B$42:$B$51,0))),"N/A")</f>
        <v/>
      </c>
      <c r="K158" s="52">
        <f>IFERROR(IF(INDEX('Faculties'!$N$58:$N$67,MATCH($F158,'Faculties'!$B$58:$B$67,0))="","Cell will autofill based on response",INDEX('Faculties'!$N$58:$N$67,MATCH($F158,'Faculties'!$B$58:$B$67,0))),"N/A")</f>
        <v/>
      </c>
      <c r="L158" s="52">
        <f>IFERROR(IF(INDEX('CI&amp;S'!$N$10:$N$15,MATCH($F158,'CI&amp;S'!$B$10:$B$15,0))="","Cell will autofill based on response",INDEX('CI&amp;S'!$N$10:$N$15,MATCH($F158,'CI&amp;S'!$B$10:$B$15,0))),"N/A")</f>
        <v/>
      </c>
      <c r="M158" s="52">
        <f>IFERROR(IF(INDEX('CI&amp;S'!$N$22:$N$36,MATCH($F158,'CI&amp;S'!$B$22:$B$36,0))="","Cell will autofill based on response",INDEX('CI&amp;S'!$N$22:$N$36,MATCH($F158,'CI&amp;S'!$B$22:$B$36,0))),"N/A")</f>
        <v/>
      </c>
      <c r="N158" s="52">
        <f>IFERROR(IF(INDEX('CFOG'!$N$10:$N$16,MATCH($F158,'CFOG'!$B$10:$B$16,0))="","Cell will autofill based on response",INDEX('CFOG'!$N$10:$N$16,MATCH($F158,'CFOG'!$B$10:$B$16,0))),"N/A")</f>
        <v/>
      </c>
      <c r="O158" s="52">
        <f>IFERROR(IF(INDEX('CFOG'!$N$23:$N$24,MATCH($F158,'CFOG'!$B$23:$B$24,0))="","Cell will autofill based on response",INDEX('CFOG'!$N$23:$N$24,MATCH($F158,'CFOG'!$B$23:$B$24,0))),"N/A")</f>
        <v/>
      </c>
      <c r="P158" s="52">
        <f>IFERROR(IF(INDEX('ESG'!$N$10:$N$17,MATCH($F158,'ESG'!$B$10:$B$17,0))="","Cell will autofill based on response",INDEX('ESG'!$N$10:$N$17,MATCH($F158,'ESG'!$B$10:$B$17,0))),"N/A")</f>
        <v/>
      </c>
      <c r="Q158" s="52">
        <f>IFERROR(IF(INDEX('CIOG'!$N$10:$N$14,MATCH($F158,'CIOG'!$B$10:$B$14,0))="","Cell will autofill based on response",INDEX('CIOG'!$N$10:$N$14,MATCH($F158,'CIOG'!$B$10:$B$14,0))),"N/A")</f>
        <v/>
      </c>
      <c r="R158" s="52">
        <f>IFERROR(IF(INDEX('MRE'!$N$10:$N$18,MATCH($F158,'MRE'!$B$10:$B$18,0))="","Cell will autofill based on response",INDEX('MRE'!$N$10:$N$18,MATCH($F158,'MRE'!$B$10:$B$18,0))),"N/A")</f>
        <v/>
      </c>
      <c r="S158" s="52">
        <f>IFERROR(IF(INDEX('AC&amp;M'!$N$10:$N$14,MATCH($F158,'AC&amp;M'!$B$10:$B$14,0))="","Cell will autofill based on response",INDEX('AC&amp;M'!$N$10:$N$14,MATCH($F158,'AC&amp;M'!$B$10:$B$14,0))),"N/A")</f>
        <v/>
      </c>
      <c r="T158" s="52">
        <f>IFERROR(IF(INDEX('GCE'!$N$10:$N$12,MATCH($F158,'GCE'!$B$10:$B$12,0))="","Cell will autofill based on response",INDEX('GCE'!$N$10:$N$12,MATCH($F158,'GCE'!$B$10:$B$12,0))),"N/A")</f>
        <v/>
      </c>
      <c r="U158" s="52">
        <f>IFERROR(IF(INDEX('Education'!$N$10:$N$13,MATCH($F158,'Education'!$B$10:$B$13,0))="","Cell will autofill based on response",INDEX('Education'!$N$10:$N$13,MATCH($F158,'Education'!$B$10:$B$13,0))),"N/A")</f>
        <v/>
      </c>
      <c r="V158" s="52">
        <f>IFERROR(IF(INDEX('SaSS'!$N$10:$N$12,MATCH($F158,'SaSS'!$B$10:$B$12,0))="","Cell will autofill based on response",INDEX('SaSS'!$N$10:$N$12,MATCH($F158,'SaSS'!$B$10:$B$12,0))),"N/A")</f>
        <v/>
      </c>
      <c r="W158" s="52">
        <f>IFERROR(IF(INDEX('Indigenous'!$N$10:$N$11,MATCH($F158,'Indigenous'!$B$10:$B$11,0))="","Cell will autofill based on response",INDEX('Indigenous'!$N$10:$N$11,MATCH($F158,'Indigenous'!$B$10:$B$11,0))),"N/A")</f>
        <v/>
      </c>
      <c r="X158" s="52">
        <f>IFERROR(IF(INDEX('L&amp;R'!$N$10:$N$11,MATCH($F158,'L&amp;R'!$B$10:$B$11,0))="","Cell will autofill based on response",INDEX('L&amp;R'!$N$10:$N$11,MATCH($F158,'L&amp;R'!$B$10:$B$11,0))),"N/A")</f>
        <v/>
      </c>
    </row>
    <row r="159">
      <c r="A159">
        <f>F159&amp;"|"&amp;G159</f>
        <v/>
      </c>
      <c r="B159" s="13" t="inlineStr"/>
      <c r="C159" s="8" t="inlineStr"/>
      <c r="D159" s="8" t="inlineStr"/>
      <c r="E159" s="8" t="inlineStr"/>
      <c r="F159" s="8" t="inlineStr">
        <is>
          <t>EI1(c)</t>
        </is>
      </c>
      <c r="G159" s="8" t="inlineStr">
        <is>
          <t>Data source and limitations</t>
        </is>
      </c>
      <c r="H159" s="52">
        <f>IFERROR(IF(INDEX('Faculties'!$O$10:$O$19,MATCH($F159,'Faculties'!$B$10:$B$19,0))="","Cell will autofill based on response",INDEX('Faculties'!$O$10:$O$19,MATCH($F159,'Faculties'!$B$10:$B$19,0))),"N/A")</f>
        <v/>
      </c>
      <c r="I159" s="52">
        <f>IFERROR(IF(INDEX('Faculties'!$O$26:$O$35,MATCH($F159,'Faculties'!$B$26:$B$35,0))="","Cell will autofill based on response",INDEX('Faculties'!$O$26:$O$35,MATCH($F159,'Faculties'!$B$26:$B$35,0))),"N/A")</f>
        <v/>
      </c>
      <c r="J159" s="52">
        <f>IFERROR(IF(INDEX('Faculties'!$O$42:$O$51,MATCH($F159,'Faculties'!$B$42:$B$51,0))="","Cell will autofill based on response",INDEX('Faculties'!$O$42:$O$51,MATCH($F159,'Faculties'!$B$42:$B$51,0))),"N/A")</f>
        <v/>
      </c>
      <c r="K159" s="52">
        <f>IFERROR(IF(INDEX('Faculties'!$O$58:$O$67,MATCH($F159,'Faculties'!$B$58:$B$67,0))="","Cell will autofill based on response",INDEX('Faculties'!$O$58:$O$67,MATCH($F159,'Faculties'!$B$58:$B$67,0))),"N/A")</f>
        <v/>
      </c>
      <c r="L159" s="52">
        <f>IFERROR(IF(INDEX('CI&amp;S'!$O$10:$O$15,MATCH($F159,'CI&amp;S'!$B$10:$B$15,0))="","Cell will autofill based on response",INDEX('CI&amp;S'!$O$10:$O$15,MATCH($F159,'CI&amp;S'!$B$10:$B$15,0))),"N/A")</f>
        <v/>
      </c>
      <c r="M159" s="52">
        <f>IFERROR(IF(INDEX('CI&amp;S'!$O$22:$O$36,MATCH($F159,'CI&amp;S'!$B$22:$B$36,0))="","Cell will autofill based on response",INDEX('CI&amp;S'!$O$22:$O$36,MATCH($F159,'CI&amp;S'!$B$22:$B$36,0))),"N/A")</f>
        <v/>
      </c>
      <c r="N159" s="52">
        <f>IFERROR(IF(INDEX('CFOG'!$O$10:$O$16,MATCH($F159,'CFOG'!$B$10:$B$16,0))="","Cell will autofill based on response",INDEX('CFOG'!$O$10:$O$16,MATCH($F159,'CFOG'!$B$10:$B$16,0))),"N/A")</f>
        <v/>
      </c>
      <c r="O159" s="52">
        <f>IFERROR(IF(INDEX('CFOG'!$O$23:$O$24,MATCH($F159,'CFOG'!$B$23:$B$24,0))="","Cell will autofill based on response",INDEX('CFOG'!$O$23:$O$24,MATCH($F159,'CFOG'!$B$23:$B$24,0))),"N/A")</f>
        <v/>
      </c>
      <c r="P159" s="52">
        <f>IFERROR(IF(INDEX('ESG'!$O$10:$O$17,MATCH($F159,'ESG'!$B$10:$B$17,0))="","Cell will autofill based on response",INDEX('ESG'!$O$10:$O$17,MATCH($F159,'ESG'!$B$10:$B$17,0))),"N/A")</f>
        <v/>
      </c>
      <c r="Q159" s="52">
        <f>IFERROR(IF(INDEX('CIOG'!$O$10:$O$14,MATCH($F159,'CIOG'!$B$10:$B$14,0))="","Cell will autofill based on response",INDEX('CIOG'!$O$10:$O$14,MATCH($F159,'CIOG'!$B$10:$B$14,0))),"N/A")</f>
        <v/>
      </c>
      <c r="R159" s="52">
        <f>IFERROR(IF(INDEX('MRE'!$O$10:$O$18,MATCH($F159,'MRE'!$B$10:$B$18,0))="","Cell will autofill based on response",INDEX('MRE'!$O$10:$O$18,MATCH($F159,'MRE'!$B$10:$B$18,0))),"N/A")</f>
        <v/>
      </c>
      <c r="S159" s="52">
        <f>IFERROR(IF(INDEX('AC&amp;M'!$O$10:$O$14,MATCH($F159,'AC&amp;M'!$B$10:$B$14,0))="","Cell will autofill based on response",INDEX('AC&amp;M'!$O$10:$O$14,MATCH($F159,'AC&amp;M'!$B$10:$B$14,0))),"N/A")</f>
        <v/>
      </c>
      <c r="T159" s="52">
        <f>IFERROR(IF(INDEX('GCE'!$O$10:$O$12,MATCH($F159,'GCE'!$B$10:$B$12,0))="","Cell will autofill based on response",INDEX('GCE'!$O$10:$O$12,MATCH($F159,'GCE'!$B$10:$B$12,0))),"N/A")</f>
        <v/>
      </c>
      <c r="U159" s="52">
        <f>IFERROR(IF(INDEX('Education'!$O$10:$O$13,MATCH($F159,'Education'!$B$10:$B$13,0))="","Cell will autofill based on response",INDEX('Education'!$O$10:$O$13,MATCH($F159,'Education'!$B$10:$B$13,0))),"N/A")</f>
        <v/>
      </c>
      <c r="V159" s="52">
        <f>IFERROR(IF(INDEX('SaSS'!$O$10:$O$12,MATCH($F159,'SaSS'!$B$10:$B$12,0))="","Cell will autofill based on response",INDEX('SaSS'!$O$10:$O$12,MATCH($F159,'SaSS'!$B$10:$B$12,0))),"N/A")</f>
        <v/>
      </c>
      <c r="W159" s="52">
        <f>IFERROR(IF(INDEX('Indigenous'!$O$10:$O$11,MATCH($F159,'Indigenous'!$B$10:$B$11,0))="","Cell will autofill based on response",INDEX('Indigenous'!$O$10:$O$11,MATCH($F159,'Indigenous'!$B$10:$B$11,0))),"N/A")</f>
        <v/>
      </c>
      <c r="X159" s="52">
        <f>IFERROR(IF(INDEX('L&amp;R'!$O$10:$O$11,MATCH($F159,'L&amp;R'!$B$10:$B$11,0))="","Cell will autofill based on response",INDEX('L&amp;R'!$O$10:$O$11,MATCH($F159,'L&amp;R'!$B$10:$B$11,0))),"N/A")</f>
        <v/>
      </c>
    </row>
    <row r="160">
      <c r="A160">
        <f>F160&amp;"|"&amp;G160</f>
        <v/>
      </c>
      <c r="B160" s="13" t="inlineStr"/>
      <c r="C160" s="8" t="inlineStr"/>
      <c r="D160" s="8" t="inlineStr"/>
      <c r="E160" s="8" t="inlineStr"/>
      <c r="F160" s="8" t="inlineStr">
        <is>
          <t>EI1(c)</t>
        </is>
      </c>
      <c r="G160" s="8" t="inlineStr">
        <is>
          <t>Data owner confirms</t>
        </is>
      </c>
      <c r="H160" s="52">
        <f>IFERROR(IF(INDEX('Faculties'!$P$10:$P$19,MATCH($F160,'Faculties'!$B$10:$B$19,0))="","Cell will autofill based on response",INDEX('Faculties'!$P$10:$P$19,MATCH($F160,'Faculties'!$B$10:$B$19,0))),"N/A")</f>
        <v/>
      </c>
      <c r="I160" s="52">
        <f>IFERROR(IF(INDEX('Faculties'!$P$26:$P$35,MATCH($F160,'Faculties'!$B$26:$B$35,0))="","Cell will autofill based on response",INDEX('Faculties'!$P$26:$P$35,MATCH($F160,'Faculties'!$B$26:$B$35,0))),"N/A")</f>
        <v/>
      </c>
      <c r="J160" s="52">
        <f>IFERROR(IF(INDEX('Faculties'!$P$42:$P$51,MATCH($F160,'Faculties'!$B$42:$B$51,0))="","Cell will autofill based on response",INDEX('Faculties'!$P$42:$P$51,MATCH($F160,'Faculties'!$B$42:$B$51,0))),"N/A")</f>
        <v/>
      </c>
      <c r="K160" s="52">
        <f>IFERROR(IF(INDEX('Faculties'!$P$58:$P$67,MATCH($F160,'Faculties'!$B$58:$B$67,0))="","Cell will autofill based on response",INDEX('Faculties'!$P$58:$P$67,MATCH($F160,'Faculties'!$B$58:$B$67,0))),"N/A")</f>
        <v/>
      </c>
      <c r="L160" s="52">
        <f>IFERROR(IF(INDEX('CI&amp;S'!$P$10:$P$15,MATCH($F160,'CI&amp;S'!$B$10:$B$15,0))="","Cell will autofill based on response",INDEX('CI&amp;S'!$P$10:$P$15,MATCH($F160,'CI&amp;S'!$B$10:$B$15,0))),"N/A")</f>
        <v/>
      </c>
      <c r="M160" s="52">
        <f>IFERROR(IF(INDEX('CI&amp;S'!$P$22:$P$36,MATCH($F160,'CI&amp;S'!$B$22:$B$36,0))="","Cell will autofill based on response",INDEX('CI&amp;S'!$P$22:$P$36,MATCH($F160,'CI&amp;S'!$B$22:$B$36,0))),"N/A")</f>
        <v/>
      </c>
      <c r="N160" s="52">
        <f>IFERROR(IF(INDEX('CFOG'!$P$10:$P$16,MATCH($F160,'CFOG'!$B$10:$B$16,0))="","Cell will autofill based on response",INDEX('CFOG'!$P$10:$P$16,MATCH($F160,'CFOG'!$B$10:$B$16,0))),"N/A")</f>
        <v/>
      </c>
      <c r="O160" s="52">
        <f>IFERROR(IF(INDEX('CFOG'!$P$23:$P$24,MATCH($F160,'CFOG'!$B$23:$B$24,0))="","Cell will autofill based on response",INDEX('CFOG'!$P$23:$P$24,MATCH($F160,'CFOG'!$B$23:$B$24,0))),"N/A")</f>
        <v/>
      </c>
      <c r="P160" s="52">
        <f>IFERROR(IF(INDEX('ESG'!$P$10:$P$17,MATCH($F160,'ESG'!$B$10:$B$17,0))="","Cell will autofill based on response",INDEX('ESG'!$P$10:$P$17,MATCH($F160,'ESG'!$B$10:$B$17,0))),"N/A")</f>
        <v/>
      </c>
      <c r="Q160" s="52">
        <f>IFERROR(IF(INDEX('CIOG'!$P$10:$P$14,MATCH($F160,'CIOG'!$B$10:$B$14,0))="","Cell will autofill based on response",INDEX('CIOG'!$P$10:$P$14,MATCH($F160,'CIOG'!$B$10:$B$14,0))),"N/A")</f>
        <v/>
      </c>
      <c r="R160" s="52">
        <f>IFERROR(IF(INDEX('MRE'!$P$10:$P$18,MATCH($F160,'MRE'!$B$10:$B$18,0))="","Cell will autofill based on response",INDEX('MRE'!$P$10:$P$18,MATCH($F160,'MRE'!$B$10:$B$18,0))),"N/A")</f>
        <v/>
      </c>
      <c r="S160" s="52">
        <f>IFERROR(IF(INDEX('AC&amp;M'!$P$10:$P$14,MATCH($F160,'AC&amp;M'!$B$10:$B$14,0))="","Cell will autofill based on response",INDEX('AC&amp;M'!$P$10:$P$14,MATCH($F160,'AC&amp;M'!$B$10:$B$14,0))),"N/A")</f>
        <v/>
      </c>
      <c r="T160" s="52">
        <f>IFERROR(IF(INDEX('GCE'!$P$10:$P$12,MATCH($F160,'GCE'!$B$10:$B$12,0))="","Cell will autofill based on response",INDEX('GCE'!$P$10:$P$12,MATCH($F160,'GCE'!$B$10:$B$12,0))),"N/A")</f>
        <v/>
      </c>
      <c r="U160" s="52">
        <f>IFERROR(IF(INDEX('Education'!$P$10:$P$13,MATCH($F160,'Education'!$B$10:$B$13,0))="","Cell will autofill based on response",INDEX('Education'!$P$10:$P$13,MATCH($F160,'Education'!$B$10:$B$13,0))),"N/A")</f>
        <v/>
      </c>
      <c r="V160" s="52">
        <f>IFERROR(IF(INDEX('SaSS'!$P$10:$P$12,MATCH($F160,'SaSS'!$B$10:$B$12,0))="","Cell will autofill based on response",INDEX('SaSS'!$P$10:$P$12,MATCH($F160,'SaSS'!$B$10:$B$12,0))),"N/A")</f>
        <v/>
      </c>
      <c r="W160" s="52">
        <f>IFERROR(IF(INDEX('Indigenous'!$P$10:$P$11,MATCH($F160,'Indigenous'!$B$10:$B$11,0))="","Cell will autofill based on response",INDEX('Indigenous'!$P$10:$P$11,MATCH($F160,'Indigenous'!$B$10:$B$11,0))),"N/A")</f>
        <v/>
      </c>
      <c r="X160" s="52">
        <f>IFERROR(IF(INDEX('L&amp;R'!$P$10:$P$11,MATCH($F160,'L&amp;R'!$B$10:$B$11,0))="","Cell will autofill based on response",INDEX('L&amp;R'!$P$10:$P$11,MATCH($F160,'L&amp;R'!$B$10:$B$11,0))),"N/A")</f>
        <v/>
      </c>
    </row>
    <row r="161">
      <c r="A161">
        <f>F161&amp;"|"&amp;G161</f>
        <v/>
      </c>
      <c r="B161" s="7" t="inlineStr">
        <is>
          <t>EI1(d)</t>
        </is>
      </c>
      <c r="C161" s="50" t="inlineStr">
        <is>
          <t>Estate and infrastructure</t>
        </is>
      </c>
      <c r="D161" s="50" t="inlineStr">
        <is>
          <t>Evidence of understanding and integration of Indigenous approaches to sustainability in estate planning and development programs and projects.</t>
        </is>
      </c>
      <c r="E161" s="50"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50" t="inlineStr">
        <is>
          <t>EI1(d)</t>
        </is>
      </c>
      <c r="G161" s="50" t="inlineStr">
        <is>
          <t>OPTION 1:  Target-level reporting</t>
        </is>
      </c>
      <c r="H161" s="52">
        <f>IFERROR(IF(INDEX('Faculties'!$L$10:$L$19,MATCH($F161,'Faculties'!$B$10:$B$19,0))="","Cell will autofill based on response",INDEX('Faculties'!$L$10:$L$19,MATCH($F161,'Faculties'!$B$10:$B$19,0))),"N/A")</f>
        <v/>
      </c>
      <c r="I161" s="52">
        <f>IFERROR(IF(INDEX('Faculties'!$L$26:$L$35,MATCH($F161,'Faculties'!$B$26:$B$35,0))="","Cell will autofill based on response",INDEX('Faculties'!$L$26:$L$35,MATCH($F161,'Faculties'!$B$26:$B$35,0))),"N/A")</f>
        <v/>
      </c>
      <c r="J161" s="52">
        <f>IFERROR(IF(INDEX('Faculties'!$L$42:$L$51,MATCH($F161,'Faculties'!$B$42:$B$51,0))="","Cell will autofill based on response",INDEX('Faculties'!$L$42:$L$51,MATCH($F161,'Faculties'!$B$42:$B$51,0))),"N/A")</f>
        <v/>
      </c>
      <c r="K161" s="52">
        <f>IFERROR(IF(INDEX('Faculties'!$L$58:$L$67,MATCH($F161,'Faculties'!$B$58:$B$67,0))="","Cell will autofill based on response",INDEX('Faculties'!$L$58:$L$67,MATCH($F161,'Faculties'!$B$58:$B$67,0))),"N/A")</f>
        <v/>
      </c>
      <c r="L161" s="52">
        <f>IFERROR(IF(INDEX('CI&amp;S'!$L$10:$L$15,MATCH($F161,'CI&amp;S'!$B$10:$B$15,0))="","Cell will autofill based on response",INDEX('CI&amp;S'!$L$10:$L$15,MATCH($F161,'CI&amp;S'!$B$10:$B$15,0))),"N/A")</f>
        <v/>
      </c>
      <c r="M161" s="52">
        <f>IFERROR(IF(INDEX('CI&amp;S'!$L$22:$L$36,MATCH($F161,'CI&amp;S'!$B$22:$B$36,0))="","Cell will autofill based on response",INDEX('CI&amp;S'!$L$22:$L$36,MATCH($F161,'CI&amp;S'!$B$22:$B$36,0))),"N/A")</f>
        <v/>
      </c>
      <c r="N161" s="52">
        <f>IFERROR(IF(INDEX('CFOG'!$L$10:$L$16,MATCH($F161,'CFOG'!$B$10:$B$16,0))="","Cell will autofill based on response",INDEX('CFOG'!$L$10:$L$16,MATCH($F161,'CFOG'!$B$10:$B$16,0))),"N/A")</f>
        <v/>
      </c>
      <c r="O161" s="52">
        <f>IFERROR(IF(INDEX('CFOG'!$L$23:$L$24,MATCH($F161,'CFOG'!$B$23:$B$24,0))="","Cell will autofill based on response",INDEX('CFOG'!$L$23:$L$24,MATCH($F161,'CFOG'!$B$23:$B$24,0))),"N/A")</f>
        <v/>
      </c>
      <c r="P161" s="52">
        <f>IFERROR(IF(INDEX('ESG'!$L$10:$L$17,MATCH($F161,'ESG'!$B$10:$B$17,0))="","Cell will autofill based on response",INDEX('ESG'!$L$10:$L$17,MATCH($F161,'ESG'!$B$10:$B$17,0))),"N/A")</f>
        <v/>
      </c>
      <c r="Q161" s="52">
        <f>IFERROR(IF(INDEX('CIOG'!$L$10:$L$14,MATCH($F161,'CIOG'!$B$10:$B$14,0))="","Cell will autofill based on response",INDEX('CIOG'!$L$10:$L$14,MATCH($F161,'CIOG'!$B$10:$B$14,0))),"N/A")</f>
        <v/>
      </c>
      <c r="R161" s="52">
        <f>IFERROR(IF(INDEX('MRE'!$L$10:$L$18,MATCH($F161,'MRE'!$B$10:$B$18,0))="","Cell will autofill based on response",INDEX('MRE'!$L$10:$L$18,MATCH($F161,'MRE'!$B$10:$B$18,0))),"N/A")</f>
        <v/>
      </c>
      <c r="S161" s="52">
        <f>IFERROR(IF(INDEX('AC&amp;M'!$L$10:$L$14,MATCH($F161,'AC&amp;M'!$B$10:$B$14,0))="","Cell will autofill based on response",INDEX('AC&amp;M'!$L$10:$L$14,MATCH($F161,'AC&amp;M'!$B$10:$B$14,0))),"N/A")</f>
        <v/>
      </c>
      <c r="T161" s="52">
        <f>IFERROR(IF(INDEX('GCE'!$L$10:$L$12,MATCH($F161,'GCE'!$B$10:$B$12,0))="","Cell will autofill based on response",INDEX('GCE'!$L$10:$L$12,MATCH($F161,'GCE'!$B$10:$B$12,0))),"N/A")</f>
        <v/>
      </c>
      <c r="U161" s="52">
        <f>IFERROR(IF(INDEX('Education'!$L$10:$L$13,MATCH($F161,'Education'!$B$10:$B$13,0))="","Cell will autofill based on response",INDEX('Education'!$L$10:$L$13,MATCH($F161,'Education'!$B$10:$B$13,0))),"N/A")</f>
        <v/>
      </c>
      <c r="V161" s="52">
        <f>IFERROR(IF(INDEX('SaSS'!$L$10:$L$12,MATCH($F161,'SaSS'!$B$10:$B$12,0))="","Cell will autofill based on response",INDEX('SaSS'!$L$10:$L$12,MATCH($F161,'SaSS'!$B$10:$B$12,0))),"N/A")</f>
        <v/>
      </c>
      <c r="W161" s="52">
        <f>IFERROR(IF(INDEX('Indigenous'!$L$10:$L$11,MATCH($F161,'Indigenous'!$B$10:$B$11,0))="","Cell will autofill based on response",INDEX('Indigenous'!$L$10:$L$11,MATCH($F161,'Indigenous'!$B$10:$B$11,0))),"N/A")</f>
        <v/>
      </c>
      <c r="X161" s="52">
        <f>IFERROR(IF(INDEX('L&amp;R'!$L$10:$L$11,MATCH($F161,'L&amp;R'!$B$10:$B$11,0))="","Cell will autofill based on response",INDEX('L&amp;R'!$L$10:$L$11,MATCH($F161,'L&amp;R'!$B$10:$B$11,0))),"N/A")</f>
        <v/>
      </c>
      <c r="Z161" s="10">
        <f>SUMPRODUCT(--($H161:$X161&lt;&gt;"N/A"))</f>
        <v/>
      </c>
      <c r="AA161" s="10">
        <f>SUMPRODUCT(--(((($H161:$X161&lt;&gt;"N/A")*($H161:$X161&lt;&gt;"Cell will autofill based on response"))+(($H162:$X162&lt;&gt;"N/A")*($H162:$X162&lt;&gt;"Cell will autofill based on response")))&gt;0))</f>
        <v/>
      </c>
      <c r="AB161" s="10">
        <f>Z161-AA161</f>
        <v/>
      </c>
      <c r="AC161" s="10">
        <f>COUNTIF($H165:$X165,"Yes")</f>
        <v/>
      </c>
    </row>
    <row r="162">
      <c r="A162">
        <f>F162&amp;"|"&amp;G162</f>
        <v/>
      </c>
      <c r="B162" s="13" t="inlineStr"/>
      <c r="C162" s="8" t="inlineStr"/>
      <c r="D162" s="8" t="inlineStr"/>
      <c r="E162" s="8" t="inlineStr"/>
      <c r="F162" s="8" t="inlineStr">
        <is>
          <t>EI1(d)</t>
        </is>
      </c>
      <c r="G162" s="8" t="inlineStr">
        <is>
          <t>OPTION 2:  Indicator level reporting</t>
        </is>
      </c>
      <c r="H162" s="52">
        <f>IFERROR(IF(INDEX('Faculties'!$M$10:$M$19,MATCH($F162,'Faculties'!$B$10:$B$19,0))="","Cell will autofill based on response",INDEX('Faculties'!$M$10:$M$19,MATCH($F162,'Faculties'!$B$10:$B$19,0))),"N/A")</f>
        <v/>
      </c>
      <c r="I162" s="52">
        <f>IFERROR(IF(INDEX('Faculties'!$M$26:$M$35,MATCH($F162,'Faculties'!$B$26:$B$35,0))="","Cell will autofill based on response",INDEX('Faculties'!$M$26:$M$35,MATCH($F162,'Faculties'!$B$26:$B$35,0))),"N/A")</f>
        <v/>
      </c>
      <c r="J162" s="52">
        <f>IFERROR(IF(INDEX('Faculties'!$M$42:$M$51,MATCH($F162,'Faculties'!$B$42:$B$51,0))="","Cell will autofill based on response",INDEX('Faculties'!$M$42:$M$51,MATCH($F162,'Faculties'!$B$42:$B$51,0))),"N/A")</f>
        <v/>
      </c>
      <c r="K162" s="52">
        <f>IFERROR(IF(INDEX('Faculties'!$M$58:$M$67,MATCH($F162,'Faculties'!$B$58:$B$67,0))="","Cell will autofill based on response",INDEX('Faculties'!$M$58:$M$67,MATCH($F162,'Faculties'!$B$58:$B$67,0))),"N/A")</f>
        <v/>
      </c>
      <c r="L162" s="52">
        <f>IFERROR(IF(INDEX('CI&amp;S'!$M$10:$M$15,MATCH($F162,'CI&amp;S'!$B$10:$B$15,0))="","Cell will autofill based on response",INDEX('CI&amp;S'!$M$10:$M$15,MATCH($F162,'CI&amp;S'!$B$10:$B$15,0))),"N/A")</f>
        <v/>
      </c>
      <c r="M162" s="52">
        <f>IFERROR(IF(INDEX('CI&amp;S'!$M$22:$M$36,MATCH($F162,'CI&amp;S'!$B$22:$B$36,0))="","Cell will autofill based on response",INDEX('CI&amp;S'!$M$22:$M$36,MATCH($F162,'CI&amp;S'!$B$22:$B$36,0))),"N/A")</f>
        <v/>
      </c>
      <c r="N162" s="52">
        <f>IFERROR(IF(INDEX('CFOG'!$M$10:$M$16,MATCH($F162,'CFOG'!$B$10:$B$16,0))="","Cell will autofill based on response",INDEX('CFOG'!$M$10:$M$16,MATCH($F162,'CFOG'!$B$10:$B$16,0))),"N/A")</f>
        <v/>
      </c>
      <c r="O162" s="52">
        <f>IFERROR(IF(INDEX('CFOG'!$M$23:$M$24,MATCH($F162,'CFOG'!$B$23:$B$24,0))="","Cell will autofill based on response",INDEX('CFOG'!$M$23:$M$24,MATCH($F162,'CFOG'!$B$23:$B$24,0))),"N/A")</f>
        <v/>
      </c>
      <c r="P162" s="52">
        <f>IFERROR(IF(INDEX('ESG'!$M$10:$M$17,MATCH($F162,'ESG'!$B$10:$B$17,0))="","Cell will autofill based on response",INDEX('ESG'!$M$10:$M$17,MATCH($F162,'ESG'!$B$10:$B$17,0))),"N/A")</f>
        <v/>
      </c>
      <c r="Q162" s="52">
        <f>IFERROR(IF(INDEX('CIOG'!$M$10:$M$14,MATCH($F162,'CIOG'!$B$10:$B$14,0))="","Cell will autofill based on response",INDEX('CIOG'!$M$10:$M$14,MATCH($F162,'CIOG'!$B$10:$B$14,0))),"N/A")</f>
        <v/>
      </c>
      <c r="R162" s="52">
        <f>IFERROR(IF(INDEX('MRE'!$M$10:$M$18,MATCH($F162,'MRE'!$B$10:$B$18,0))="","Cell will autofill based on response",INDEX('MRE'!$M$10:$M$18,MATCH($F162,'MRE'!$B$10:$B$18,0))),"N/A")</f>
        <v/>
      </c>
      <c r="S162" s="52">
        <f>IFERROR(IF(INDEX('AC&amp;M'!$M$10:$M$14,MATCH($F162,'AC&amp;M'!$B$10:$B$14,0))="","Cell will autofill based on response",INDEX('AC&amp;M'!$M$10:$M$14,MATCH($F162,'AC&amp;M'!$B$10:$B$14,0))),"N/A")</f>
        <v/>
      </c>
      <c r="T162" s="52">
        <f>IFERROR(IF(INDEX('GCE'!$M$10:$M$12,MATCH($F162,'GCE'!$B$10:$B$12,0))="","Cell will autofill based on response",INDEX('GCE'!$M$10:$M$12,MATCH($F162,'GCE'!$B$10:$B$12,0))),"N/A")</f>
        <v/>
      </c>
      <c r="U162" s="52">
        <f>IFERROR(IF(INDEX('Education'!$M$10:$M$13,MATCH($F162,'Education'!$B$10:$B$13,0))="","Cell will autofill based on response",INDEX('Education'!$M$10:$M$13,MATCH($F162,'Education'!$B$10:$B$13,0))),"N/A")</f>
        <v/>
      </c>
      <c r="V162" s="52">
        <f>IFERROR(IF(INDEX('SaSS'!$M$10:$M$12,MATCH($F162,'SaSS'!$B$10:$B$12,0))="","Cell will autofill based on response",INDEX('SaSS'!$M$10:$M$12,MATCH($F162,'SaSS'!$B$10:$B$12,0))),"N/A")</f>
        <v/>
      </c>
      <c r="W162" s="52">
        <f>IFERROR(IF(INDEX('Indigenous'!$M$10:$M$11,MATCH($F162,'Indigenous'!$B$10:$B$11,0))="","Cell will autofill based on response",INDEX('Indigenous'!$M$10:$M$11,MATCH($F162,'Indigenous'!$B$10:$B$11,0))),"N/A")</f>
        <v/>
      </c>
      <c r="X162" s="52">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EI1(d)</t>
        </is>
      </c>
      <c r="G163" s="8" t="inlineStr">
        <is>
          <t>Supporting information/comments</t>
        </is>
      </c>
      <c r="H163" s="52">
        <f>IFERROR(IF(INDEX('Faculties'!$N$10:$N$19,MATCH($F163,'Faculties'!$B$10:$B$19,0))="","Cell will autofill based on response",INDEX('Faculties'!$N$10:$N$19,MATCH($F163,'Faculties'!$B$10:$B$19,0))),"N/A")</f>
        <v/>
      </c>
      <c r="I163" s="52">
        <f>IFERROR(IF(INDEX('Faculties'!$N$26:$N$35,MATCH($F163,'Faculties'!$B$26:$B$35,0))="","Cell will autofill based on response",INDEX('Faculties'!$N$26:$N$35,MATCH($F163,'Faculties'!$B$26:$B$35,0))),"N/A")</f>
        <v/>
      </c>
      <c r="J163" s="52">
        <f>IFERROR(IF(INDEX('Faculties'!$N$42:$N$51,MATCH($F163,'Faculties'!$B$42:$B$51,0))="","Cell will autofill based on response",INDEX('Faculties'!$N$42:$N$51,MATCH($F163,'Faculties'!$B$42:$B$51,0))),"N/A")</f>
        <v/>
      </c>
      <c r="K163" s="52">
        <f>IFERROR(IF(INDEX('Faculties'!$N$58:$N$67,MATCH($F163,'Faculties'!$B$58:$B$67,0))="","Cell will autofill based on response",INDEX('Faculties'!$N$58:$N$67,MATCH($F163,'Faculties'!$B$58:$B$67,0))),"N/A")</f>
        <v/>
      </c>
      <c r="L163" s="52">
        <f>IFERROR(IF(INDEX('CI&amp;S'!$N$10:$N$15,MATCH($F163,'CI&amp;S'!$B$10:$B$15,0))="","Cell will autofill based on response",INDEX('CI&amp;S'!$N$10:$N$15,MATCH($F163,'CI&amp;S'!$B$10:$B$15,0))),"N/A")</f>
        <v/>
      </c>
      <c r="M163" s="52">
        <f>IFERROR(IF(INDEX('CI&amp;S'!$N$22:$N$36,MATCH($F163,'CI&amp;S'!$B$22:$B$36,0))="","Cell will autofill based on response",INDEX('CI&amp;S'!$N$22:$N$36,MATCH($F163,'CI&amp;S'!$B$22:$B$36,0))),"N/A")</f>
        <v/>
      </c>
      <c r="N163" s="52">
        <f>IFERROR(IF(INDEX('CFOG'!$N$10:$N$16,MATCH($F163,'CFOG'!$B$10:$B$16,0))="","Cell will autofill based on response",INDEX('CFOG'!$N$10:$N$16,MATCH($F163,'CFOG'!$B$10:$B$16,0))),"N/A")</f>
        <v/>
      </c>
      <c r="O163" s="52">
        <f>IFERROR(IF(INDEX('CFOG'!$N$23:$N$24,MATCH($F163,'CFOG'!$B$23:$B$24,0))="","Cell will autofill based on response",INDEX('CFOG'!$N$23:$N$24,MATCH($F163,'CFOG'!$B$23:$B$24,0))),"N/A")</f>
        <v/>
      </c>
      <c r="P163" s="52">
        <f>IFERROR(IF(INDEX('ESG'!$N$10:$N$17,MATCH($F163,'ESG'!$B$10:$B$17,0))="","Cell will autofill based on response",INDEX('ESG'!$N$10:$N$17,MATCH($F163,'ESG'!$B$10:$B$17,0))),"N/A")</f>
        <v/>
      </c>
      <c r="Q163" s="52">
        <f>IFERROR(IF(INDEX('CIOG'!$N$10:$N$14,MATCH($F163,'CIOG'!$B$10:$B$14,0))="","Cell will autofill based on response",INDEX('CIOG'!$N$10:$N$14,MATCH($F163,'CIOG'!$B$10:$B$14,0))),"N/A")</f>
        <v/>
      </c>
      <c r="R163" s="52">
        <f>IFERROR(IF(INDEX('MRE'!$N$10:$N$18,MATCH($F163,'MRE'!$B$10:$B$18,0))="","Cell will autofill based on response",INDEX('MRE'!$N$10:$N$18,MATCH($F163,'MRE'!$B$10:$B$18,0))),"N/A")</f>
        <v/>
      </c>
      <c r="S163" s="52">
        <f>IFERROR(IF(INDEX('AC&amp;M'!$N$10:$N$14,MATCH($F163,'AC&amp;M'!$B$10:$B$14,0))="","Cell will autofill based on response",INDEX('AC&amp;M'!$N$10:$N$14,MATCH($F163,'AC&amp;M'!$B$10:$B$14,0))),"N/A")</f>
        <v/>
      </c>
      <c r="T163" s="52">
        <f>IFERROR(IF(INDEX('GCE'!$N$10:$N$12,MATCH($F163,'GCE'!$B$10:$B$12,0))="","Cell will autofill based on response",INDEX('GCE'!$N$10:$N$12,MATCH($F163,'GCE'!$B$10:$B$12,0))),"N/A")</f>
        <v/>
      </c>
      <c r="U163" s="52">
        <f>IFERROR(IF(INDEX('Education'!$N$10:$N$13,MATCH($F163,'Education'!$B$10:$B$13,0))="","Cell will autofill based on response",INDEX('Education'!$N$10:$N$13,MATCH($F163,'Education'!$B$10:$B$13,0))),"N/A")</f>
        <v/>
      </c>
      <c r="V163" s="52">
        <f>IFERROR(IF(INDEX('SaSS'!$N$10:$N$12,MATCH($F163,'SaSS'!$B$10:$B$12,0))="","Cell will autofill based on response",INDEX('SaSS'!$N$10:$N$12,MATCH($F163,'SaSS'!$B$10:$B$12,0))),"N/A")</f>
        <v/>
      </c>
      <c r="W163" s="52">
        <f>IFERROR(IF(INDEX('Indigenous'!$N$10:$N$11,MATCH($F163,'Indigenous'!$B$10:$B$11,0))="","Cell will autofill based on response",INDEX('Indigenous'!$N$10:$N$11,MATCH($F163,'Indigenous'!$B$10:$B$11,0))),"N/A")</f>
        <v/>
      </c>
      <c r="X163" s="52">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EI1(d)</t>
        </is>
      </c>
      <c r="G164" s="8" t="inlineStr">
        <is>
          <t>Data source and limitations</t>
        </is>
      </c>
      <c r="H164" s="52">
        <f>IFERROR(IF(INDEX('Faculties'!$O$10:$O$19,MATCH($F164,'Faculties'!$B$10:$B$19,0))="","Cell will autofill based on response",INDEX('Faculties'!$O$10:$O$19,MATCH($F164,'Faculties'!$B$10:$B$19,0))),"N/A")</f>
        <v/>
      </c>
      <c r="I164" s="52">
        <f>IFERROR(IF(INDEX('Faculties'!$O$26:$O$35,MATCH($F164,'Faculties'!$B$26:$B$35,0))="","Cell will autofill based on response",INDEX('Faculties'!$O$26:$O$35,MATCH($F164,'Faculties'!$B$26:$B$35,0))),"N/A")</f>
        <v/>
      </c>
      <c r="J164" s="52">
        <f>IFERROR(IF(INDEX('Faculties'!$O$42:$O$51,MATCH($F164,'Faculties'!$B$42:$B$51,0))="","Cell will autofill based on response",INDEX('Faculties'!$O$42:$O$51,MATCH($F164,'Faculties'!$B$42:$B$51,0))),"N/A")</f>
        <v/>
      </c>
      <c r="K164" s="52">
        <f>IFERROR(IF(INDEX('Faculties'!$O$58:$O$67,MATCH($F164,'Faculties'!$B$58:$B$67,0))="","Cell will autofill based on response",INDEX('Faculties'!$O$58:$O$67,MATCH($F164,'Faculties'!$B$58:$B$67,0))),"N/A")</f>
        <v/>
      </c>
      <c r="L164" s="52">
        <f>IFERROR(IF(INDEX('CI&amp;S'!$O$10:$O$15,MATCH($F164,'CI&amp;S'!$B$10:$B$15,0))="","Cell will autofill based on response",INDEX('CI&amp;S'!$O$10:$O$15,MATCH($F164,'CI&amp;S'!$B$10:$B$15,0))),"N/A")</f>
        <v/>
      </c>
      <c r="M164" s="52">
        <f>IFERROR(IF(INDEX('CI&amp;S'!$O$22:$O$36,MATCH($F164,'CI&amp;S'!$B$22:$B$36,0))="","Cell will autofill based on response",INDEX('CI&amp;S'!$O$22:$O$36,MATCH($F164,'CI&amp;S'!$B$22:$B$36,0))),"N/A")</f>
        <v/>
      </c>
      <c r="N164" s="52">
        <f>IFERROR(IF(INDEX('CFOG'!$O$10:$O$16,MATCH($F164,'CFOG'!$B$10:$B$16,0))="","Cell will autofill based on response",INDEX('CFOG'!$O$10:$O$16,MATCH($F164,'CFOG'!$B$10:$B$16,0))),"N/A")</f>
        <v/>
      </c>
      <c r="O164" s="52">
        <f>IFERROR(IF(INDEX('CFOG'!$O$23:$O$24,MATCH($F164,'CFOG'!$B$23:$B$24,0))="","Cell will autofill based on response",INDEX('CFOG'!$O$23:$O$24,MATCH($F164,'CFOG'!$B$23:$B$24,0))),"N/A")</f>
        <v/>
      </c>
      <c r="P164" s="52">
        <f>IFERROR(IF(INDEX('ESG'!$O$10:$O$17,MATCH($F164,'ESG'!$B$10:$B$17,0))="","Cell will autofill based on response",INDEX('ESG'!$O$10:$O$17,MATCH($F164,'ESG'!$B$10:$B$17,0))),"N/A")</f>
        <v/>
      </c>
      <c r="Q164" s="52">
        <f>IFERROR(IF(INDEX('CIOG'!$O$10:$O$14,MATCH($F164,'CIOG'!$B$10:$B$14,0))="","Cell will autofill based on response",INDEX('CIOG'!$O$10:$O$14,MATCH($F164,'CIOG'!$B$10:$B$14,0))),"N/A")</f>
        <v/>
      </c>
      <c r="R164" s="52">
        <f>IFERROR(IF(INDEX('MRE'!$O$10:$O$18,MATCH($F164,'MRE'!$B$10:$B$18,0))="","Cell will autofill based on response",INDEX('MRE'!$O$10:$O$18,MATCH($F164,'MRE'!$B$10:$B$18,0))),"N/A")</f>
        <v/>
      </c>
      <c r="S164" s="52">
        <f>IFERROR(IF(INDEX('AC&amp;M'!$O$10:$O$14,MATCH($F164,'AC&amp;M'!$B$10:$B$14,0))="","Cell will autofill based on response",INDEX('AC&amp;M'!$O$10:$O$14,MATCH($F164,'AC&amp;M'!$B$10:$B$14,0))),"N/A")</f>
        <v/>
      </c>
      <c r="T164" s="52">
        <f>IFERROR(IF(INDEX('GCE'!$O$10:$O$12,MATCH($F164,'GCE'!$B$10:$B$12,0))="","Cell will autofill based on response",INDEX('GCE'!$O$10:$O$12,MATCH($F164,'GCE'!$B$10:$B$12,0))),"N/A")</f>
        <v/>
      </c>
      <c r="U164" s="52">
        <f>IFERROR(IF(INDEX('Education'!$O$10:$O$13,MATCH($F164,'Education'!$B$10:$B$13,0))="","Cell will autofill based on response",INDEX('Education'!$O$10:$O$13,MATCH($F164,'Education'!$B$10:$B$13,0))),"N/A")</f>
        <v/>
      </c>
      <c r="V164" s="52">
        <f>IFERROR(IF(INDEX('SaSS'!$O$10:$O$12,MATCH($F164,'SaSS'!$B$10:$B$12,0))="","Cell will autofill based on response",INDEX('SaSS'!$O$10:$O$12,MATCH($F164,'SaSS'!$B$10:$B$12,0))),"N/A")</f>
        <v/>
      </c>
      <c r="W164" s="52">
        <f>IFERROR(IF(INDEX('Indigenous'!$O$10:$O$11,MATCH($F164,'Indigenous'!$B$10:$B$11,0))="","Cell will autofill based on response",INDEX('Indigenous'!$O$10:$O$11,MATCH($F164,'Indigenous'!$B$10:$B$11,0))),"N/A")</f>
        <v/>
      </c>
      <c r="X164" s="52">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EI1(d)</t>
        </is>
      </c>
      <c r="G165" s="8" t="inlineStr">
        <is>
          <t>Data owner confirms</t>
        </is>
      </c>
      <c r="H165" s="52">
        <f>IFERROR(IF(INDEX('Faculties'!$P$10:$P$19,MATCH($F165,'Faculties'!$B$10:$B$19,0))="","Cell will autofill based on response",INDEX('Faculties'!$P$10:$P$19,MATCH($F165,'Faculties'!$B$10:$B$19,0))),"N/A")</f>
        <v/>
      </c>
      <c r="I165" s="52">
        <f>IFERROR(IF(INDEX('Faculties'!$P$26:$P$35,MATCH($F165,'Faculties'!$B$26:$B$35,0))="","Cell will autofill based on response",INDEX('Faculties'!$P$26:$P$35,MATCH($F165,'Faculties'!$B$26:$B$35,0))),"N/A")</f>
        <v/>
      </c>
      <c r="J165" s="52">
        <f>IFERROR(IF(INDEX('Faculties'!$P$42:$P$51,MATCH($F165,'Faculties'!$B$42:$B$51,0))="","Cell will autofill based on response",INDEX('Faculties'!$P$42:$P$51,MATCH($F165,'Faculties'!$B$42:$B$51,0))),"N/A")</f>
        <v/>
      </c>
      <c r="K165" s="52">
        <f>IFERROR(IF(INDEX('Faculties'!$P$58:$P$67,MATCH($F165,'Faculties'!$B$58:$B$67,0))="","Cell will autofill based on response",INDEX('Faculties'!$P$58:$P$67,MATCH($F165,'Faculties'!$B$58:$B$67,0))),"N/A")</f>
        <v/>
      </c>
      <c r="L165" s="52">
        <f>IFERROR(IF(INDEX('CI&amp;S'!$P$10:$P$15,MATCH($F165,'CI&amp;S'!$B$10:$B$15,0))="","Cell will autofill based on response",INDEX('CI&amp;S'!$P$10:$P$15,MATCH($F165,'CI&amp;S'!$B$10:$B$15,0))),"N/A")</f>
        <v/>
      </c>
      <c r="M165" s="52">
        <f>IFERROR(IF(INDEX('CI&amp;S'!$P$22:$P$36,MATCH($F165,'CI&amp;S'!$B$22:$B$36,0))="","Cell will autofill based on response",INDEX('CI&amp;S'!$P$22:$P$36,MATCH($F165,'CI&amp;S'!$B$22:$B$36,0))),"N/A")</f>
        <v/>
      </c>
      <c r="N165" s="52">
        <f>IFERROR(IF(INDEX('CFOG'!$P$10:$P$16,MATCH($F165,'CFOG'!$B$10:$B$16,0))="","Cell will autofill based on response",INDEX('CFOG'!$P$10:$P$16,MATCH($F165,'CFOG'!$B$10:$B$16,0))),"N/A")</f>
        <v/>
      </c>
      <c r="O165" s="52">
        <f>IFERROR(IF(INDEX('CFOG'!$P$23:$P$24,MATCH($F165,'CFOG'!$B$23:$B$24,0))="","Cell will autofill based on response",INDEX('CFOG'!$P$23:$P$24,MATCH($F165,'CFOG'!$B$23:$B$24,0))),"N/A")</f>
        <v/>
      </c>
      <c r="P165" s="52">
        <f>IFERROR(IF(INDEX('ESG'!$P$10:$P$17,MATCH($F165,'ESG'!$B$10:$B$17,0))="","Cell will autofill based on response",INDEX('ESG'!$P$10:$P$17,MATCH($F165,'ESG'!$B$10:$B$17,0))),"N/A")</f>
        <v/>
      </c>
      <c r="Q165" s="52">
        <f>IFERROR(IF(INDEX('CIOG'!$P$10:$P$14,MATCH($F165,'CIOG'!$B$10:$B$14,0))="","Cell will autofill based on response",INDEX('CIOG'!$P$10:$P$14,MATCH($F165,'CIOG'!$B$10:$B$14,0))),"N/A")</f>
        <v/>
      </c>
      <c r="R165" s="52">
        <f>IFERROR(IF(INDEX('MRE'!$P$10:$P$18,MATCH($F165,'MRE'!$B$10:$B$18,0))="","Cell will autofill based on response",INDEX('MRE'!$P$10:$P$18,MATCH($F165,'MRE'!$B$10:$B$18,0))),"N/A")</f>
        <v/>
      </c>
      <c r="S165" s="52">
        <f>IFERROR(IF(INDEX('AC&amp;M'!$P$10:$P$14,MATCH($F165,'AC&amp;M'!$B$10:$B$14,0))="","Cell will autofill based on response",INDEX('AC&amp;M'!$P$10:$P$14,MATCH($F165,'AC&amp;M'!$B$10:$B$14,0))),"N/A")</f>
        <v/>
      </c>
      <c r="T165" s="52">
        <f>IFERROR(IF(INDEX('GCE'!$P$10:$P$12,MATCH($F165,'GCE'!$B$10:$B$12,0))="","Cell will autofill based on response",INDEX('GCE'!$P$10:$P$12,MATCH($F165,'GCE'!$B$10:$B$12,0))),"N/A")</f>
        <v/>
      </c>
      <c r="U165" s="52">
        <f>IFERROR(IF(INDEX('Education'!$P$10:$P$13,MATCH($F165,'Education'!$B$10:$B$13,0))="","Cell will autofill based on response",INDEX('Education'!$P$10:$P$13,MATCH($F165,'Education'!$B$10:$B$13,0))),"N/A")</f>
        <v/>
      </c>
      <c r="V165" s="52">
        <f>IFERROR(IF(INDEX('SaSS'!$P$10:$P$12,MATCH($F165,'SaSS'!$B$10:$B$12,0))="","Cell will autofill based on response",INDEX('SaSS'!$P$10:$P$12,MATCH($F165,'SaSS'!$B$10:$B$12,0))),"N/A")</f>
        <v/>
      </c>
      <c r="W165" s="52">
        <f>IFERROR(IF(INDEX('Indigenous'!$P$10:$P$11,MATCH($F165,'Indigenous'!$B$10:$B$11,0))="","Cell will autofill based on response",INDEX('Indigenous'!$P$10:$P$11,MATCH($F165,'Indigenous'!$B$10:$B$11,0))),"N/A")</f>
        <v/>
      </c>
      <c r="X165" s="52">
        <f>IFERROR(IF(INDEX('L&amp;R'!$P$10:$P$11,MATCH($F165,'L&amp;R'!$B$10:$B$11,0))="","Cell will autofill based on response",INDEX('L&amp;R'!$P$10:$P$11,MATCH($F165,'L&amp;R'!$B$10:$B$11,0))),"N/A")</f>
        <v/>
      </c>
    </row>
    <row r="166">
      <c r="A166">
        <f>F166&amp;"|"&amp;G166</f>
        <v/>
      </c>
      <c r="B166" s="7" t="inlineStr">
        <is>
          <t>RP1(a)</t>
        </is>
      </c>
      <c r="C166" s="50" t="inlineStr">
        <is>
          <t>Responsible procurement</t>
        </is>
      </c>
      <c r="D166" s="50" t="inlineStr">
        <is>
          <t>Case studies of maturity improvement related to responsible procurement process and systems.</t>
        </is>
      </c>
      <c r="E166" s="50" t="inlineStr">
        <is>
          <t>Maturity score if framework established; % procurement staff trained</t>
        </is>
      </c>
      <c r="F166" s="50" t="inlineStr">
        <is>
          <t>RP1(a)</t>
        </is>
      </c>
      <c r="G166" s="50" t="inlineStr">
        <is>
          <t>OPTION 1:  Target-level reporting</t>
        </is>
      </c>
      <c r="H166" s="52">
        <f>IFERROR(IF(INDEX('Faculties'!$L$10:$L$19,MATCH($F166,'Faculties'!$B$10:$B$19,0))="","Cell will autofill based on response",INDEX('Faculties'!$L$10:$L$19,MATCH($F166,'Faculties'!$B$10:$B$19,0))),"N/A")</f>
        <v/>
      </c>
      <c r="I166" s="52">
        <f>IFERROR(IF(INDEX('Faculties'!$L$26:$L$35,MATCH($F166,'Faculties'!$B$26:$B$35,0))="","Cell will autofill based on response",INDEX('Faculties'!$L$26:$L$35,MATCH($F166,'Faculties'!$B$26:$B$35,0))),"N/A")</f>
        <v/>
      </c>
      <c r="J166" s="52">
        <f>IFERROR(IF(INDEX('Faculties'!$L$42:$L$51,MATCH($F166,'Faculties'!$B$42:$B$51,0))="","Cell will autofill based on response",INDEX('Faculties'!$L$42:$L$51,MATCH($F166,'Faculties'!$B$42:$B$51,0))),"N/A")</f>
        <v/>
      </c>
      <c r="K166" s="52">
        <f>IFERROR(IF(INDEX('Faculties'!$L$58:$L$67,MATCH($F166,'Faculties'!$B$58:$B$67,0))="","Cell will autofill based on response",INDEX('Faculties'!$L$58:$L$67,MATCH($F166,'Faculties'!$B$58:$B$67,0))),"N/A")</f>
        <v/>
      </c>
      <c r="L166" s="52">
        <f>IFERROR(IF(INDEX('CI&amp;S'!$L$10:$L$15,MATCH($F166,'CI&amp;S'!$B$10:$B$15,0))="","Cell will autofill based on response",INDEX('CI&amp;S'!$L$10:$L$15,MATCH($F166,'CI&amp;S'!$B$10:$B$15,0))),"N/A")</f>
        <v/>
      </c>
      <c r="M166" s="52">
        <f>IFERROR(IF(INDEX('CI&amp;S'!$L$22:$L$36,MATCH($F166,'CI&amp;S'!$B$22:$B$36,0))="","Cell will autofill based on response",INDEX('CI&amp;S'!$L$22:$L$36,MATCH($F166,'CI&amp;S'!$B$22:$B$36,0))),"N/A")</f>
        <v/>
      </c>
      <c r="N166" s="52">
        <f>IFERROR(IF(INDEX('CFOG'!$L$10:$L$16,MATCH($F166,'CFOG'!$B$10:$B$16,0))="","Cell will autofill based on response",INDEX('CFOG'!$L$10:$L$16,MATCH($F166,'CFOG'!$B$10:$B$16,0))),"N/A")</f>
        <v/>
      </c>
      <c r="O166" s="52">
        <f>IFERROR(IF(INDEX('CFOG'!$L$23:$L$24,MATCH($F166,'CFOG'!$B$23:$B$24,0))="","Cell will autofill based on response",INDEX('CFOG'!$L$23:$L$24,MATCH($F166,'CFOG'!$B$23:$B$24,0))),"N/A")</f>
        <v/>
      </c>
      <c r="P166" s="52">
        <f>IFERROR(IF(INDEX('ESG'!$L$10:$L$17,MATCH($F166,'ESG'!$B$10:$B$17,0))="","Cell will autofill based on response",INDEX('ESG'!$L$10:$L$17,MATCH($F166,'ESG'!$B$10:$B$17,0))),"N/A")</f>
        <v/>
      </c>
      <c r="Q166" s="52">
        <f>IFERROR(IF(INDEX('CIOG'!$L$10:$L$14,MATCH($F166,'CIOG'!$B$10:$B$14,0))="","Cell will autofill based on response",INDEX('CIOG'!$L$10:$L$14,MATCH($F166,'CIOG'!$B$10:$B$14,0))),"N/A")</f>
        <v/>
      </c>
      <c r="R166" s="52">
        <f>IFERROR(IF(INDEX('MRE'!$L$10:$L$18,MATCH($F166,'MRE'!$B$10:$B$18,0))="","Cell will autofill based on response",INDEX('MRE'!$L$10:$L$18,MATCH($F166,'MRE'!$B$10:$B$18,0))),"N/A")</f>
        <v/>
      </c>
      <c r="S166" s="52">
        <f>IFERROR(IF(INDEX('AC&amp;M'!$L$10:$L$14,MATCH($F166,'AC&amp;M'!$B$10:$B$14,0))="","Cell will autofill based on response",INDEX('AC&amp;M'!$L$10:$L$14,MATCH($F166,'AC&amp;M'!$B$10:$B$14,0))),"N/A")</f>
        <v/>
      </c>
      <c r="T166" s="52">
        <f>IFERROR(IF(INDEX('GCE'!$L$10:$L$12,MATCH($F166,'GCE'!$B$10:$B$12,0))="","Cell will autofill based on response",INDEX('GCE'!$L$10:$L$12,MATCH($F166,'GCE'!$B$10:$B$12,0))),"N/A")</f>
        <v/>
      </c>
      <c r="U166" s="52">
        <f>IFERROR(IF(INDEX('Education'!$L$10:$L$13,MATCH($F166,'Education'!$B$10:$B$13,0))="","Cell will autofill based on response",INDEX('Education'!$L$10:$L$13,MATCH($F166,'Education'!$B$10:$B$13,0))),"N/A")</f>
        <v/>
      </c>
      <c r="V166" s="52">
        <f>IFERROR(IF(INDEX('SaSS'!$L$10:$L$12,MATCH($F166,'SaSS'!$B$10:$B$12,0))="","Cell will autofill based on response",INDEX('SaSS'!$L$10:$L$12,MATCH($F166,'SaSS'!$B$10:$B$12,0))),"N/A")</f>
        <v/>
      </c>
      <c r="W166" s="52">
        <f>IFERROR(IF(INDEX('Indigenous'!$L$10:$L$11,MATCH($F166,'Indigenous'!$B$10:$B$11,0))="","Cell will autofill based on response",INDEX('Indigenous'!$L$10:$L$11,MATCH($F166,'Indigenous'!$B$10:$B$11,0))),"N/A")</f>
        <v/>
      </c>
      <c r="X166" s="52">
        <f>IFERROR(IF(INDEX('L&amp;R'!$L$10:$L$11,MATCH($F166,'L&amp;R'!$B$10:$B$11,0))="","Cell will autofill based on response",INDEX('L&amp;R'!$L$10:$L$11,MATCH($F166,'L&amp;R'!$B$10:$B$11,0))),"N/A")</f>
        <v/>
      </c>
      <c r="Z166" s="10">
        <f>SUMPRODUCT(--($H166:$X166&lt;&gt;"N/A"))</f>
        <v/>
      </c>
      <c r="AA166" s="10">
        <f>SUMPRODUCT(--(((($H166:$X166&lt;&gt;"N/A")*($H166:$X166&lt;&gt;"Cell will autofill based on response"))+(($H167:$X167&lt;&gt;"N/A")*($H167:$X167&lt;&gt;"Cell will autofill based on response")))&gt;0))</f>
        <v/>
      </c>
      <c r="AB166" s="10">
        <f>Z166-AA166</f>
        <v/>
      </c>
      <c r="AC166" s="10">
        <f>COUNTIF($H170:$X170,"Yes")</f>
        <v/>
      </c>
    </row>
    <row r="167">
      <c r="A167">
        <f>F167&amp;"|"&amp;G167</f>
        <v/>
      </c>
      <c r="B167" s="13" t="inlineStr"/>
      <c r="C167" s="8" t="inlineStr"/>
      <c r="D167" s="8" t="inlineStr"/>
      <c r="E167" s="8" t="inlineStr"/>
      <c r="F167" s="8" t="inlineStr">
        <is>
          <t>RP1(a)</t>
        </is>
      </c>
      <c r="G167" s="8" t="inlineStr">
        <is>
          <t>OPTION 2:  Indicator level reporting</t>
        </is>
      </c>
      <c r="H167" s="52">
        <f>IFERROR(IF(INDEX('Faculties'!$M$10:$M$19,MATCH($F167,'Faculties'!$B$10:$B$19,0))="","Cell will autofill based on response",INDEX('Faculties'!$M$10:$M$19,MATCH($F167,'Faculties'!$B$10:$B$19,0))),"N/A")</f>
        <v/>
      </c>
      <c r="I167" s="52">
        <f>IFERROR(IF(INDEX('Faculties'!$M$26:$M$35,MATCH($F167,'Faculties'!$B$26:$B$35,0))="","Cell will autofill based on response",INDEX('Faculties'!$M$26:$M$35,MATCH($F167,'Faculties'!$B$26:$B$35,0))),"N/A")</f>
        <v/>
      </c>
      <c r="J167" s="52">
        <f>IFERROR(IF(INDEX('Faculties'!$M$42:$M$51,MATCH($F167,'Faculties'!$B$42:$B$51,0))="","Cell will autofill based on response",INDEX('Faculties'!$M$42:$M$51,MATCH($F167,'Faculties'!$B$42:$B$51,0))),"N/A")</f>
        <v/>
      </c>
      <c r="K167" s="52">
        <f>IFERROR(IF(INDEX('Faculties'!$M$58:$M$67,MATCH($F167,'Faculties'!$B$58:$B$67,0))="","Cell will autofill based on response",INDEX('Faculties'!$M$58:$M$67,MATCH($F167,'Faculties'!$B$58:$B$67,0))),"N/A")</f>
        <v/>
      </c>
      <c r="L167" s="52">
        <f>IFERROR(IF(INDEX('CI&amp;S'!$M$10:$M$15,MATCH($F167,'CI&amp;S'!$B$10:$B$15,0))="","Cell will autofill based on response",INDEX('CI&amp;S'!$M$10:$M$15,MATCH($F167,'CI&amp;S'!$B$10:$B$15,0))),"N/A")</f>
        <v/>
      </c>
      <c r="M167" s="52">
        <f>IFERROR(IF(INDEX('CI&amp;S'!$M$22:$M$36,MATCH($F167,'CI&amp;S'!$B$22:$B$36,0))="","Cell will autofill based on response",INDEX('CI&amp;S'!$M$22:$M$36,MATCH($F167,'CI&amp;S'!$B$22:$B$36,0))),"N/A")</f>
        <v/>
      </c>
      <c r="N167" s="52">
        <f>IFERROR(IF(INDEX('CFOG'!$M$10:$M$16,MATCH($F167,'CFOG'!$B$10:$B$16,0))="","Cell will autofill based on response",INDEX('CFOG'!$M$10:$M$16,MATCH($F167,'CFOG'!$B$10:$B$16,0))),"N/A")</f>
        <v/>
      </c>
      <c r="O167" s="52">
        <f>IFERROR(IF(INDEX('CFOG'!$M$23:$M$24,MATCH($F167,'CFOG'!$B$23:$B$24,0))="","Cell will autofill based on response",INDEX('CFOG'!$M$23:$M$24,MATCH($F167,'CFOG'!$B$23:$B$24,0))),"N/A")</f>
        <v/>
      </c>
      <c r="P167" s="52">
        <f>IFERROR(IF(INDEX('ESG'!$M$10:$M$17,MATCH($F167,'ESG'!$B$10:$B$17,0))="","Cell will autofill based on response",INDEX('ESG'!$M$10:$M$17,MATCH($F167,'ESG'!$B$10:$B$17,0))),"N/A")</f>
        <v/>
      </c>
      <c r="Q167" s="52">
        <f>IFERROR(IF(INDEX('CIOG'!$M$10:$M$14,MATCH($F167,'CIOG'!$B$10:$B$14,0))="","Cell will autofill based on response",INDEX('CIOG'!$M$10:$M$14,MATCH($F167,'CIOG'!$B$10:$B$14,0))),"N/A")</f>
        <v/>
      </c>
      <c r="R167" s="52">
        <f>IFERROR(IF(INDEX('MRE'!$M$10:$M$18,MATCH($F167,'MRE'!$B$10:$B$18,0))="","Cell will autofill based on response",INDEX('MRE'!$M$10:$M$18,MATCH($F167,'MRE'!$B$10:$B$18,0))),"N/A")</f>
        <v/>
      </c>
      <c r="S167" s="52">
        <f>IFERROR(IF(INDEX('AC&amp;M'!$M$10:$M$14,MATCH($F167,'AC&amp;M'!$B$10:$B$14,0))="","Cell will autofill based on response",INDEX('AC&amp;M'!$M$10:$M$14,MATCH($F167,'AC&amp;M'!$B$10:$B$14,0))),"N/A")</f>
        <v/>
      </c>
      <c r="T167" s="52">
        <f>IFERROR(IF(INDEX('GCE'!$M$10:$M$12,MATCH($F167,'GCE'!$B$10:$B$12,0))="","Cell will autofill based on response",INDEX('GCE'!$M$10:$M$12,MATCH($F167,'GCE'!$B$10:$B$12,0))),"N/A")</f>
        <v/>
      </c>
      <c r="U167" s="52">
        <f>IFERROR(IF(INDEX('Education'!$M$10:$M$13,MATCH($F167,'Education'!$B$10:$B$13,0))="","Cell will autofill based on response",INDEX('Education'!$M$10:$M$13,MATCH($F167,'Education'!$B$10:$B$13,0))),"N/A")</f>
        <v/>
      </c>
      <c r="V167" s="52">
        <f>IFERROR(IF(INDEX('SaSS'!$M$10:$M$12,MATCH($F167,'SaSS'!$B$10:$B$12,0))="","Cell will autofill based on response",INDEX('SaSS'!$M$10:$M$12,MATCH($F167,'SaSS'!$B$10:$B$12,0))),"N/A")</f>
        <v/>
      </c>
      <c r="W167" s="52">
        <f>IFERROR(IF(INDEX('Indigenous'!$M$10:$M$11,MATCH($F167,'Indigenous'!$B$10:$B$11,0))="","Cell will autofill based on response",INDEX('Indigenous'!$M$10:$M$11,MATCH($F167,'Indigenous'!$B$10:$B$11,0))),"N/A")</f>
        <v/>
      </c>
      <c r="X167" s="52">
        <f>IFERROR(IF(INDEX('L&amp;R'!$M$10:$M$11,MATCH($F167,'L&amp;R'!$B$10:$B$11,0))="","Cell will autofill based on response",INDEX('L&amp;R'!$M$10:$M$11,MATCH($F167,'L&amp;R'!$B$10:$B$11,0))),"N/A")</f>
        <v/>
      </c>
    </row>
    <row r="168">
      <c r="A168">
        <f>F168&amp;"|"&amp;G168</f>
        <v/>
      </c>
      <c r="B168" s="13" t="inlineStr"/>
      <c r="C168" s="8" t="inlineStr"/>
      <c r="D168" s="8" t="inlineStr"/>
      <c r="E168" s="8" t="inlineStr"/>
      <c r="F168" s="8" t="inlineStr">
        <is>
          <t>RP1(a)</t>
        </is>
      </c>
      <c r="G168" s="8" t="inlineStr">
        <is>
          <t>Supporting information/comments</t>
        </is>
      </c>
      <c r="H168" s="52">
        <f>IFERROR(IF(INDEX('Faculties'!$N$10:$N$19,MATCH($F168,'Faculties'!$B$10:$B$19,0))="","Cell will autofill based on response",INDEX('Faculties'!$N$10:$N$19,MATCH($F168,'Faculties'!$B$10:$B$19,0))),"N/A")</f>
        <v/>
      </c>
      <c r="I168" s="52">
        <f>IFERROR(IF(INDEX('Faculties'!$N$26:$N$35,MATCH($F168,'Faculties'!$B$26:$B$35,0))="","Cell will autofill based on response",INDEX('Faculties'!$N$26:$N$35,MATCH($F168,'Faculties'!$B$26:$B$35,0))),"N/A")</f>
        <v/>
      </c>
      <c r="J168" s="52">
        <f>IFERROR(IF(INDEX('Faculties'!$N$42:$N$51,MATCH($F168,'Faculties'!$B$42:$B$51,0))="","Cell will autofill based on response",INDEX('Faculties'!$N$42:$N$51,MATCH($F168,'Faculties'!$B$42:$B$51,0))),"N/A")</f>
        <v/>
      </c>
      <c r="K168" s="52">
        <f>IFERROR(IF(INDEX('Faculties'!$N$58:$N$67,MATCH($F168,'Faculties'!$B$58:$B$67,0))="","Cell will autofill based on response",INDEX('Faculties'!$N$58:$N$67,MATCH($F168,'Faculties'!$B$58:$B$67,0))),"N/A")</f>
        <v/>
      </c>
      <c r="L168" s="52">
        <f>IFERROR(IF(INDEX('CI&amp;S'!$N$10:$N$15,MATCH($F168,'CI&amp;S'!$B$10:$B$15,0))="","Cell will autofill based on response",INDEX('CI&amp;S'!$N$10:$N$15,MATCH($F168,'CI&amp;S'!$B$10:$B$15,0))),"N/A")</f>
        <v/>
      </c>
      <c r="M168" s="52">
        <f>IFERROR(IF(INDEX('CI&amp;S'!$N$22:$N$36,MATCH($F168,'CI&amp;S'!$B$22:$B$36,0))="","Cell will autofill based on response",INDEX('CI&amp;S'!$N$22:$N$36,MATCH($F168,'CI&amp;S'!$B$22:$B$36,0))),"N/A")</f>
        <v/>
      </c>
      <c r="N168" s="52">
        <f>IFERROR(IF(INDEX('CFOG'!$N$10:$N$16,MATCH($F168,'CFOG'!$B$10:$B$16,0))="","Cell will autofill based on response",INDEX('CFOG'!$N$10:$N$16,MATCH($F168,'CFOG'!$B$10:$B$16,0))),"N/A")</f>
        <v/>
      </c>
      <c r="O168" s="52">
        <f>IFERROR(IF(INDEX('CFOG'!$N$23:$N$24,MATCH($F168,'CFOG'!$B$23:$B$24,0))="","Cell will autofill based on response",INDEX('CFOG'!$N$23:$N$24,MATCH($F168,'CFOG'!$B$23:$B$24,0))),"N/A")</f>
        <v/>
      </c>
      <c r="P168" s="52">
        <f>IFERROR(IF(INDEX('ESG'!$N$10:$N$17,MATCH($F168,'ESG'!$B$10:$B$17,0))="","Cell will autofill based on response",INDEX('ESG'!$N$10:$N$17,MATCH($F168,'ESG'!$B$10:$B$17,0))),"N/A")</f>
        <v/>
      </c>
      <c r="Q168" s="52">
        <f>IFERROR(IF(INDEX('CIOG'!$N$10:$N$14,MATCH($F168,'CIOG'!$B$10:$B$14,0))="","Cell will autofill based on response",INDEX('CIOG'!$N$10:$N$14,MATCH($F168,'CIOG'!$B$10:$B$14,0))),"N/A")</f>
        <v/>
      </c>
      <c r="R168" s="52">
        <f>IFERROR(IF(INDEX('MRE'!$N$10:$N$18,MATCH($F168,'MRE'!$B$10:$B$18,0))="","Cell will autofill based on response",INDEX('MRE'!$N$10:$N$18,MATCH($F168,'MRE'!$B$10:$B$18,0))),"N/A")</f>
        <v/>
      </c>
      <c r="S168" s="52">
        <f>IFERROR(IF(INDEX('AC&amp;M'!$N$10:$N$14,MATCH($F168,'AC&amp;M'!$B$10:$B$14,0))="","Cell will autofill based on response",INDEX('AC&amp;M'!$N$10:$N$14,MATCH($F168,'AC&amp;M'!$B$10:$B$14,0))),"N/A")</f>
        <v/>
      </c>
      <c r="T168" s="52">
        <f>IFERROR(IF(INDEX('GCE'!$N$10:$N$12,MATCH($F168,'GCE'!$B$10:$B$12,0))="","Cell will autofill based on response",INDEX('GCE'!$N$10:$N$12,MATCH($F168,'GCE'!$B$10:$B$12,0))),"N/A")</f>
        <v/>
      </c>
      <c r="U168" s="52">
        <f>IFERROR(IF(INDEX('Education'!$N$10:$N$13,MATCH($F168,'Education'!$B$10:$B$13,0))="","Cell will autofill based on response",INDEX('Education'!$N$10:$N$13,MATCH($F168,'Education'!$B$10:$B$13,0))),"N/A")</f>
        <v/>
      </c>
      <c r="V168" s="52">
        <f>IFERROR(IF(INDEX('SaSS'!$N$10:$N$12,MATCH($F168,'SaSS'!$B$10:$B$12,0))="","Cell will autofill based on response",INDEX('SaSS'!$N$10:$N$12,MATCH($F168,'SaSS'!$B$10:$B$12,0))),"N/A")</f>
        <v/>
      </c>
      <c r="W168" s="52">
        <f>IFERROR(IF(INDEX('Indigenous'!$N$10:$N$11,MATCH($F168,'Indigenous'!$B$10:$B$11,0))="","Cell will autofill based on response",INDEX('Indigenous'!$N$10:$N$11,MATCH($F168,'Indigenous'!$B$10:$B$11,0))),"N/A")</f>
        <v/>
      </c>
      <c r="X168" s="52">
        <f>IFERROR(IF(INDEX('L&amp;R'!$N$10:$N$11,MATCH($F168,'L&amp;R'!$B$10:$B$11,0))="","Cell will autofill based on response",INDEX('L&amp;R'!$N$10:$N$11,MATCH($F168,'L&amp;R'!$B$10:$B$11,0))),"N/A")</f>
        <v/>
      </c>
    </row>
    <row r="169">
      <c r="A169">
        <f>F169&amp;"|"&amp;G169</f>
        <v/>
      </c>
      <c r="B169" s="13" t="inlineStr"/>
      <c r="C169" s="8" t="inlineStr"/>
      <c r="D169" s="8" t="inlineStr"/>
      <c r="E169" s="8" t="inlineStr"/>
      <c r="F169" s="8" t="inlineStr">
        <is>
          <t>RP1(a)</t>
        </is>
      </c>
      <c r="G169" s="8" t="inlineStr">
        <is>
          <t>Data source and limitations</t>
        </is>
      </c>
      <c r="H169" s="52">
        <f>IFERROR(IF(INDEX('Faculties'!$O$10:$O$19,MATCH($F169,'Faculties'!$B$10:$B$19,0))="","Cell will autofill based on response",INDEX('Faculties'!$O$10:$O$19,MATCH($F169,'Faculties'!$B$10:$B$19,0))),"N/A")</f>
        <v/>
      </c>
      <c r="I169" s="52">
        <f>IFERROR(IF(INDEX('Faculties'!$O$26:$O$35,MATCH($F169,'Faculties'!$B$26:$B$35,0))="","Cell will autofill based on response",INDEX('Faculties'!$O$26:$O$35,MATCH($F169,'Faculties'!$B$26:$B$35,0))),"N/A")</f>
        <v/>
      </c>
      <c r="J169" s="52">
        <f>IFERROR(IF(INDEX('Faculties'!$O$42:$O$51,MATCH($F169,'Faculties'!$B$42:$B$51,0))="","Cell will autofill based on response",INDEX('Faculties'!$O$42:$O$51,MATCH($F169,'Faculties'!$B$42:$B$51,0))),"N/A")</f>
        <v/>
      </c>
      <c r="K169" s="52">
        <f>IFERROR(IF(INDEX('Faculties'!$O$58:$O$67,MATCH($F169,'Faculties'!$B$58:$B$67,0))="","Cell will autofill based on response",INDEX('Faculties'!$O$58:$O$67,MATCH($F169,'Faculties'!$B$58:$B$67,0))),"N/A")</f>
        <v/>
      </c>
      <c r="L169" s="52">
        <f>IFERROR(IF(INDEX('CI&amp;S'!$O$10:$O$15,MATCH($F169,'CI&amp;S'!$B$10:$B$15,0))="","Cell will autofill based on response",INDEX('CI&amp;S'!$O$10:$O$15,MATCH($F169,'CI&amp;S'!$B$10:$B$15,0))),"N/A")</f>
        <v/>
      </c>
      <c r="M169" s="52">
        <f>IFERROR(IF(INDEX('CI&amp;S'!$O$22:$O$36,MATCH($F169,'CI&amp;S'!$B$22:$B$36,0))="","Cell will autofill based on response",INDEX('CI&amp;S'!$O$22:$O$36,MATCH($F169,'CI&amp;S'!$B$22:$B$36,0))),"N/A")</f>
        <v/>
      </c>
      <c r="N169" s="52">
        <f>IFERROR(IF(INDEX('CFOG'!$O$10:$O$16,MATCH($F169,'CFOG'!$B$10:$B$16,0))="","Cell will autofill based on response",INDEX('CFOG'!$O$10:$O$16,MATCH($F169,'CFOG'!$B$10:$B$16,0))),"N/A")</f>
        <v/>
      </c>
      <c r="O169" s="52">
        <f>IFERROR(IF(INDEX('CFOG'!$O$23:$O$24,MATCH($F169,'CFOG'!$B$23:$B$24,0))="","Cell will autofill based on response",INDEX('CFOG'!$O$23:$O$24,MATCH($F169,'CFOG'!$B$23:$B$24,0))),"N/A")</f>
        <v/>
      </c>
      <c r="P169" s="52">
        <f>IFERROR(IF(INDEX('ESG'!$O$10:$O$17,MATCH($F169,'ESG'!$B$10:$B$17,0))="","Cell will autofill based on response",INDEX('ESG'!$O$10:$O$17,MATCH($F169,'ESG'!$B$10:$B$17,0))),"N/A")</f>
        <v/>
      </c>
      <c r="Q169" s="52">
        <f>IFERROR(IF(INDEX('CIOG'!$O$10:$O$14,MATCH($F169,'CIOG'!$B$10:$B$14,0))="","Cell will autofill based on response",INDEX('CIOG'!$O$10:$O$14,MATCH($F169,'CIOG'!$B$10:$B$14,0))),"N/A")</f>
        <v/>
      </c>
      <c r="R169" s="52">
        <f>IFERROR(IF(INDEX('MRE'!$O$10:$O$18,MATCH($F169,'MRE'!$B$10:$B$18,0))="","Cell will autofill based on response",INDEX('MRE'!$O$10:$O$18,MATCH($F169,'MRE'!$B$10:$B$18,0))),"N/A")</f>
        <v/>
      </c>
      <c r="S169" s="52">
        <f>IFERROR(IF(INDEX('AC&amp;M'!$O$10:$O$14,MATCH($F169,'AC&amp;M'!$B$10:$B$14,0))="","Cell will autofill based on response",INDEX('AC&amp;M'!$O$10:$O$14,MATCH($F169,'AC&amp;M'!$B$10:$B$14,0))),"N/A")</f>
        <v/>
      </c>
      <c r="T169" s="52">
        <f>IFERROR(IF(INDEX('GCE'!$O$10:$O$12,MATCH($F169,'GCE'!$B$10:$B$12,0))="","Cell will autofill based on response",INDEX('GCE'!$O$10:$O$12,MATCH($F169,'GCE'!$B$10:$B$12,0))),"N/A")</f>
        <v/>
      </c>
      <c r="U169" s="52">
        <f>IFERROR(IF(INDEX('Education'!$O$10:$O$13,MATCH($F169,'Education'!$B$10:$B$13,0))="","Cell will autofill based on response",INDEX('Education'!$O$10:$O$13,MATCH($F169,'Education'!$B$10:$B$13,0))),"N/A")</f>
        <v/>
      </c>
      <c r="V169" s="52">
        <f>IFERROR(IF(INDEX('SaSS'!$O$10:$O$12,MATCH($F169,'SaSS'!$B$10:$B$12,0))="","Cell will autofill based on response",INDEX('SaSS'!$O$10:$O$12,MATCH($F169,'SaSS'!$B$10:$B$12,0))),"N/A")</f>
        <v/>
      </c>
      <c r="W169" s="52">
        <f>IFERROR(IF(INDEX('Indigenous'!$O$10:$O$11,MATCH($F169,'Indigenous'!$B$10:$B$11,0))="","Cell will autofill based on response",INDEX('Indigenous'!$O$10:$O$11,MATCH($F169,'Indigenous'!$B$10:$B$11,0))),"N/A")</f>
        <v/>
      </c>
      <c r="X169" s="52">
        <f>IFERROR(IF(INDEX('L&amp;R'!$O$10:$O$11,MATCH($F169,'L&amp;R'!$B$10:$B$11,0))="","Cell will autofill based on response",INDEX('L&amp;R'!$O$10:$O$11,MATCH($F169,'L&amp;R'!$B$10:$B$11,0))),"N/A")</f>
        <v/>
      </c>
    </row>
    <row r="170">
      <c r="A170">
        <f>F170&amp;"|"&amp;G170</f>
        <v/>
      </c>
      <c r="B170" s="13" t="inlineStr"/>
      <c r="C170" s="8" t="inlineStr"/>
      <c r="D170" s="8" t="inlineStr"/>
      <c r="E170" s="8" t="inlineStr"/>
      <c r="F170" s="8" t="inlineStr">
        <is>
          <t>RP1(a)</t>
        </is>
      </c>
      <c r="G170" s="8" t="inlineStr">
        <is>
          <t>Data owner confirms</t>
        </is>
      </c>
      <c r="H170" s="52">
        <f>IFERROR(IF(INDEX('Faculties'!$P$10:$P$19,MATCH($F170,'Faculties'!$B$10:$B$19,0))="","Cell will autofill based on response",INDEX('Faculties'!$P$10:$P$19,MATCH($F170,'Faculties'!$B$10:$B$19,0))),"N/A")</f>
        <v/>
      </c>
      <c r="I170" s="52">
        <f>IFERROR(IF(INDEX('Faculties'!$P$26:$P$35,MATCH($F170,'Faculties'!$B$26:$B$35,0))="","Cell will autofill based on response",INDEX('Faculties'!$P$26:$P$35,MATCH($F170,'Faculties'!$B$26:$B$35,0))),"N/A")</f>
        <v/>
      </c>
      <c r="J170" s="52">
        <f>IFERROR(IF(INDEX('Faculties'!$P$42:$P$51,MATCH($F170,'Faculties'!$B$42:$B$51,0))="","Cell will autofill based on response",INDEX('Faculties'!$P$42:$P$51,MATCH($F170,'Faculties'!$B$42:$B$51,0))),"N/A")</f>
        <v/>
      </c>
      <c r="K170" s="52">
        <f>IFERROR(IF(INDEX('Faculties'!$P$58:$P$67,MATCH($F170,'Faculties'!$B$58:$B$67,0))="","Cell will autofill based on response",INDEX('Faculties'!$P$58:$P$67,MATCH($F170,'Faculties'!$B$58:$B$67,0))),"N/A")</f>
        <v/>
      </c>
      <c r="L170" s="52">
        <f>IFERROR(IF(INDEX('CI&amp;S'!$P$10:$P$15,MATCH($F170,'CI&amp;S'!$B$10:$B$15,0))="","Cell will autofill based on response",INDEX('CI&amp;S'!$P$10:$P$15,MATCH($F170,'CI&amp;S'!$B$10:$B$15,0))),"N/A")</f>
        <v/>
      </c>
      <c r="M170" s="52">
        <f>IFERROR(IF(INDEX('CI&amp;S'!$P$22:$P$36,MATCH($F170,'CI&amp;S'!$B$22:$B$36,0))="","Cell will autofill based on response",INDEX('CI&amp;S'!$P$22:$P$36,MATCH($F170,'CI&amp;S'!$B$22:$B$36,0))),"N/A")</f>
        <v/>
      </c>
      <c r="N170" s="52">
        <f>IFERROR(IF(INDEX('CFOG'!$P$10:$P$16,MATCH($F170,'CFOG'!$B$10:$B$16,0))="","Cell will autofill based on response",INDEX('CFOG'!$P$10:$P$16,MATCH($F170,'CFOG'!$B$10:$B$16,0))),"N/A")</f>
        <v/>
      </c>
      <c r="O170" s="52">
        <f>IFERROR(IF(INDEX('CFOG'!$P$23:$P$24,MATCH($F170,'CFOG'!$B$23:$B$24,0))="","Cell will autofill based on response",INDEX('CFOG'!$P$23:$P$24,MATCH($F170,'CFOG'!$B$23:$B$24,0))),"N/A")</f>
        <v/>
      </c>
      <c r="P170" s="52">
        <f>IFERROR(IF(INDEX('ESG'!$P$10:$P$17,MATCH($F170,'ESG'!$B$10:$B$17,0))="","Cell will autofill based on response",INDEX('ESG'!$P$10:$P$17,MATCH($F170,'ESG'!$B$10:$B$17,0))),"N/A")</f>
        <v/>
      </c>
      <c r="Q170" s="52">
        <f>IFERROR(IF(INDEX('CIOG'!$P$10:$P$14,MATCH($F170,'CIOG'!$B$10:$B$14,0))="","Cell will autofill based on response",INDEX('CIOG'!$P$10:$P$14,MATCH($F170,'CIOG'!$B$10:$B$14,0))),"N/A")</f>
        <v/>
      </c>
      <c r="R170" s="52">
        <f>IFERROR(IF(INDEX('MRE'!$P$10:$P$18,MATCH($F170,'MRE'!$B$10:$B$18,0))="","Cell will autofill based on response",INDEX('MRE'!$P$10:$P$18,MATCH($F170,'MRE'!$B$10:$B$18,0))),"N/A")</f>
        <v/>
      </c>
      <c r="S170" s="52">
        <f>IFERROR(IF(INDEX('AC&amp;M'!$P$10:$P$14,MATCH($F170,'AC&amp;M'!$B$10:$B$14,0))="","Cell will autofill based on response",INDEX('AC&amp;M'!$P$10:$P$14,MATCH($F170,'AC&amp;M'!$B$10:$B$14,0))),"N/A")</f>
        <v/>
      </c>
      <c r="T170" s="52">
        <f>IFERROR(IF(INDEX('GCE'!$P$10:$P$12,MATCH($F170,'GCE'!$B$10:$B$12,0))="","Cell will autofill based on response",INDEX('GCE'!$P$10:$P$12,MATCH($F170,'GCE'!$B$10:$B$12,0))),"N/A")</f>
        <v/>
      </c>
      <c r="U170" s="52">
        <f>IFERROR(IF(INDEX('Education'!$P$10:$P$13,MATCH($F170,'Education'!$B$10:$B$13,0))="","Cell will autofill based on response",INDEX('Education'!$P$10:$P$13,MATCH($F170,'Education'!$B$10:$B$13,0))),"N/A")</f>
        <v/>
      </c>
      <c r="V170" s="52">
        <f>IFERROR(IF(INDEX('SaSS'!$P$10:$P$12,MATCH($F170,'SaSS'!$B$10:$B$12,0))="","Cell will autofill based on response",INDEX('SaSS'!$P$10:$P$12,MATCH($F170,'SaSS'!$B$10:$B$12,0))),"N/A")</f>
        <v/>
      </c>
      <c r="W170" s="52">
        <f>IFERROR(IF(INDEX('Indigenous'!$P$10:$P$11,MATCH($F170,'Indigenous'!$B$10:$B$11,0))="","Cell will autofill based on response",INDEX('Indigenous'!$P$10:$P$11,MATCH($F170,'Indigenous'!$B$10:$B$11,0))),"N/A")</f>
        <v/>
      </c>
      <c r="X170" s="52">
        <f>IFERROR(IF(INDEX('L&amp;R'!$P$10:$P$11,MATCH($F170,'L&amp;R'!$B$10:$B$11,0))="","Cell will autofill based on response",INDEX('L&amp;R'!$P$10:$P$11,MATCH($F170,'L&amp;R'!$B$10:$B$11,0))),"N/A")</f>
        <v/>
      </c>
    </row>
    <row r="171">
      <c r="A171">
        <f>F171&amp;"|"&amp;G171</f>
        <v/>
      </c>
      <c r="B171" s="7" t="inlineStr">
        <is>
          <t>MS1(a)</t>
        </is>
      </c>
      <c r="C171" s="50" t="inlineStr">
        <is>
          <t>Modern slavery and human rights</t>
        </is>
      </c>
      <c r="D171" s="50" t="inlineStr">
        <is>
          <t>Annual progress reporting via the Modern Slavery Statement</t>
        </is>
      </c>
      <c r="E171" s="50" t="inlineStr">
        <is>
          <t>Annual Modern Slavery Statement, with case studies</t>
        </is>
      </c>
      <c r="F171" s="50" t="inlineStr">
        <is>
          <t>MS1(a)</t>
        </is>
      </c>
      <c r="G171" s="50" t="inlineStr">
        <is>
          <t>OPTION 1:  Target-level reporting</t>
        </is>
      </c>
      <c r="H171" s="52">
        <f>IFERROR(IF(INDEX('Faculties'!$L$10:$L$19,MATCH($F171,'Faculties'!$B$10:$B$19,0))="","Cell will autofill based on response",INDEX('Faculties'!$L$10:$L$19,MATCH($F171,'Faculties'!$B$10:$B$19,0))),"N/A")</f>
        <v/>
      </c>
      <c r="I171" s="52">
        <f>IFERROR(IF(INDEX('Faculties'!$L$26:$L$35,MATCH($F171,'Faculties'!$B$26:$B$35,0))="","Cell will autofill based on response",INDEX('Faculties'!$L$26:$L$35,MATCH($F171,'Faculties'!$B$26:$B$35,0))),"N/A")</f>
        <v/>
      </c>
      <c r="J171" s="52">
        <f>IFERROR(IF(INDEX('Faculties'!$L$42:$L$51,MATCH($F171,'Faculties'!$B$42:$B$51,0))="","Cell will autofill based on response",INDEX('Faculties'!$L$42:$L$51,MATCH($F171,'Faculties'!$B$42:$B$51,0))),"N/A")</f>
        <v/>
      </c>
      <c r="K171" s="52">
        <f>IFERROR(IF(INDEX('Faculties'!$L$58:$L$67,MATCH($F171,'Faculties'!$B$58:$B$67,0))="","Cell will autofill based on response",INDEX('Faculties'!$L$58:$L$67,MATCH($F171,'Faculties'!$B$58:$B$67,0))),"N/A")</f>
        <v/>
      </c>
      <c r="L171" s="52">
        <f>IFERROR(IF(INDEX('CI&amp;S'!$L$10:$L$15,MATCH($F171,'CI&amp;S'!$B$10:$B$15,0))="","Cell will autofill based on response",INDEX('CI&amp;S'!$L$10:$L$15,MATCH($F171,'CI&amp;S'!$B$10:$B$15,0))),"N/A")</f>
        <v/>
      </c>
      <c r="M171" s="52">
        <f>IFERROR(IF(INDEX('CI&amp;S'!$L$22:$L$36,MATCH($F171,'CI&amp;S'!$B$22:$B$36,0))="","Cell will autofill based on response",INDEX('CI&amp;S'!$L$22:$L$36,MATCH($F171,'CI&amp;S'!$B$22:$B$36,0))),"N/A")</f>
        <v/>
      </c>
      <c r="N171" s="52">
        <f>IFERROR(IF(INDEX('CFOG'!$L$10:$L$16,MATCH($F171,'CFOG'!$B$10:$B$16,0))="","Cell will autofill based on response",INDEX('CFOG'!$L$10:$L$16,MATCH($F171,'CFOG'!$B$10:$B$16,0))),"N/A")</f>
        <v/>
      </c>
      <c r="O171" s="52">
        <f>IFERROR(IF(INDEX('CFOG'!$L$23:$L$24,MATCH($F171,'CFOG'!$B$23:$B$24,0))="","Cell will autofill based on response",INDEX('CFOG'!$L$23:$L$24,MATCH($F171,'CFOG'!$B$23:$B$24,0))),"N/A")</f>
        <v/>
      </c>
      <c r="P171" s="52">
        <f>IFERROR(IF(INDEX('ESG'!$L$10:$L$17,MATCH($F171,'ESG'!$B$10:$B$17,0))="","Cell will autofill based on response",INDEX('ESG'!$L$10:$L$17,MATCH($F171,'ESG'!$B$10:$B$17,0))),"N/A")</f>
        <v/>
      </c>
      <c r="Q171" s="52">
        <f>IFERROR(IF(INDEX('CIOG'!$L$10:$L$14,MATCH($F171,'CIOG'!$B$10:$B$14,0))="","Cell will autofill based on response",INDEX('CIOG'!$L$10:$L$14,MATCH($F171,'CIOG'!$B$10:$B$14,0))),"N/A")</f>
        <v/>
      </c>
      <c r="R171" s="52">
        <f>IFERROR(IF(INDEX('MRE'!$L$10:$L$18,MATCH($F171,'MRE'!$B$10:$B$18,0))="","Cell will autofill based on response",INDEX('MRE'!$L$10:$L$18,MATCH($F171,'MRE'!$B$10:$B$18,0))),"N/A")</f>
        <v/>
      </c>
      <c r="S171" s="52">
        <f>IFERROR(IF(INDEX('AC&amp;M'!$L$10:$L$14,MATCH($F171,'AC&amp;M'!$B$10:$B$14,0))="","Cell will autofill based on response",INDEX('AC&amp;M'!$L$10:$L$14,MATCH($F171,'AC&amp;M'!$B$10:$B$14,0))),"N/A")</f>
        <v/>
      </c>
      <c r="T171" s="52">
        <f>IFERROR(IF(INDEX('GCE'!$L$10:$L$12,MATCH($F171,'GCE'!$B$10:$B$12,0))="","Cell will autofill based on response",INDEX('GCE'!$L$10:$L$12,MATCH($F171,'GCE'!$B$10:$B$12,0))),"N/A")</f>
        <v/>
      </c>
      <c r="U171" s="52">
        <f>IFERROR(IF(INDEX('Education'!$L$10:$L$13,MATCH($F171,'Education'!$B$10:$B$13,0))="","Cell will autofill based on response",INDEX('Education'!$L$10:$L$13,MATCH($F171,'Education'!$B$10:$B$13,0))),"N/A")</f>
        <v/>
      </c>
      <c r="V171" s="52">
        <f>IFERROR(IF(INDEX('SaSS'!$L$10:$L$12,MATCH($F171,'SaSS'!$B$10:$B$12,0))="","Cell will autofill based on response",INDEX('SaSS'!$L$10:$L$12,MATCH($F171,'SaSS'!$B$10:$B$12,0))),"N/A")</f>
        <v/>
      </c>
      <c r="W171" s="52">
        <f>IFERROR(IF(INDEX('Indigenous'!$L$10:$L$11,MATCH($F171,'Indigenous'!$B$10:$B$11,0))="","Cell will autofill based on response",INDEX('Indigenous'!$L$10:$L$11,MATCH($F171,'Indigenous'!$B$10:$B$11,0))),"N/A")</f>
        <v/>
      </c>
      <c r="X171" s="52">
        <f>IFERROR(IF(INDEX('L&amp;R'!$L$10:$L$11,MATCH($F171,'L&amp;R'!$B$10:$B$11,0))="","Cell will autofill based on response",INDEX('L&amp;R'!$L$10:$L$11,MATCH($F171,'L&amp;R'!$B$10:$B$11,0))),"N/A")</f>
        <v/>
      </c>
      <c r="Z171" s="10">
        <f>SUMPRODUCT(--($H171:$X171&lt;&gt;"N/A"))</f>
        <v/>
      </c>
      <c r="AA171" s="10">
        <f>SUMPRODUCT(--(((($H171:$X171&lt;&gt;"N/A")*($H171:$X171&lt;&gt;"Cell will autofill based on response"))+(($H172:$X172&lt;&gt;"N/A")*($H172:$X172&lt;&gt;"Cell will autofill based on response")))&gt;0))</f>
        <v/>
      </c>
      <c r="AB171" s="10">
        <f>Z171-AA171</f>
        <v/>
      </c>
      <c r="AC171" s="10">
        <f>COUNTIF($H175:$X175,"Yes")</f>
        <v/>
      </c>
    </row>
    <row r="172">
      <c r="A172">
        <f>F172&amp;"|"&amp;G172</f>
        <v/>
      </c>
      <c r="B172" s="13" t="inlineStr"/>
      <c r="C172" s="8" t="inlineStr"/>
      <c r="D172" s="8" t="inlineStr"/>
      <c r="E172" s="8" t="inlineStr"/>
      <c r="F172" s="8" t="inlineStr">
        <is>
          <t>MS1(a)</t>
        </is>
      </c>
      <c r="G172" s="8" t="inlineStr">
        <is>
          <t>OPTION 2:  Indicator level reporting</t>
        </is>
      </c>
      <c r="H172" s="52">
        <f>IFERROR(IF(INDEX('Faculties'!$M$10:$M$19,MATCH($F172,'Faculties'!$B$10:$B$19,0))="","Cell will autofill based on response",INDEX('Faculties'!$M$10:$M$19,MATCH($F172,'Faculties'!$B$10:$B$19,0))),"N/A")</f>
        <v/>
      </c>
      <c r="I172" s="52">
        <f>IFERROR(IF(INDEX('Faculties'!$M$26:$M$35,MATCH($F172,'Faculties'!$B$26:$B$35,0))="","Cell will autofill based on response",INDEX('Faculties'!$M$26:$M$35,MATCH($F172,'Faculties'!$B$26:$B$35,0))),"N/A")</f>
        <v/>
      </c>
      <c r="J172" s="52">
        <f>IFERROR(IF(INDEX('Faculties'!$M$42:$M$51,MATCH($F172,'Faculties'!$B$42:$B$51,0))="","Cell will autofill based on response",INDEX('Faculties'!$M$42:$M$51,MATCH($F172,'Faculties'!$B$42:$B$51,0))),"N/A")</f>
        <v/>
      </c>
      <c r="K172" s="52">
        <f>IFERROR(IF(INDEX('Faculties'!$M$58:$M$67,MATCH($F172,'Faculties'!$B$58:$B$67,0))="","Cell will autofill based on response",INDEX('Faculties'!$M$58:$M$67,MATCH($F172,'Faculties'!$B$58:$B$67,0))),"N/A")</f>
        <v/>
      </c>
      <c r="L172" s="52">
        <f>IFERROR(IF(INDEX('CI&amp;S'!$M$10:$M$15,MATCH($F172,'CI&amp;S'!$B$10:$B$15,0))="","Cell will autofill based on response",INDEX('CI&amp;S'!$M$10:$M$15,MATCH($F172,'CI&amp;S'!$B$10:$B$15,0))),"N/A")</f>
        <v/>
      </c>
      <c r="M172" s="52">
        <f>IFERROR(IF(INDEX('CI&amp;S'!$M$22:$M$36,MATCH($F172,'CI&amp;S'!$B$22:$B$36,0))="","Cell will autofill based on response",INDEX('CI&amp;S'!$M$22:$M$36,MATCH($F172,'CI&amp;S'!$B$22:$B$36,0))),"N/A")</f>
        <v/>
      </c>
      <c r="N172" s="52">
        <f>IFERROR(IF(INDEX('CFOG'!$M$10:$M$16,MATCH($F172,'CFOG'!$B$10:$B$16,0))="","Cell will autofill based on response",INDEX('CFOG'!$M$10:$M$16,MATCH($F172,'CFOG'!$B$10:$B$16,0))),"N/A")</f>
        <v/>
      </c>
      <c r="O172" s="52">
        <f>IFERROR(IF(INDEX('CFOG'!$M$23:$M$24,MATCH($F172,'CFOG'!$B$23:$B$24,0))="","Cell will autofill based on response",INDEX('CFOG'!$M$23:$M$24,MATCH($F172,'CFOG'!$B$23:$B$24,0))),"N/A")</f>
        <v/>
      </c>
      <c r="P172" s="52">
        <f>IFERROR(IF(INDEX('ESG'!$M$10:$M$17,MATCH($F172,'ESG'!$B$10:$B$17,0))="","Cell will autofill based on response",INDEX('ESG'!$M$10:$M$17,MATCH($F172,'ESG'!$B$10:$B$17,0))),"N/A")</f>
        <v/>
      </c>
      <c r="Q172" s="52">
        <f>IFERROR(IF(INDEX('CIOG'!$M$10:$M$14,MATCH($F172,'CIOG'!$B$10:$B$14,0))="","Cell will autofill based on response",INDEX('CIOG'!$M$10:$M$14,MATCH($F172,'CIOG'!$B$10:$B$14,0))),"N/A")</f>
        <v/>
      </c>
      <c r="R172" s="52">
        <f>IFERROR(IF(INDEX('MRE'!$M$10:$M$18,MATCH($F172,'MRE'!$B$10:$B$18,0))="","Cell will autofill based on response",INDEX('MRE'!$M$10:$M$18,MATCH($F172,'MRE'!$B$10:$B$18,0))),"N/A")</f>
        <v/>
      </c>
      <c r="S172" s="52">
        <f>IFERROR(IF(INDEX('AC&amp;M'!$M$10:$M$14,MATCH($F172,'AC&amp;M'!$B$10:$B$14,0))="","Cell will autofill based on response",INDEX('AC&amp;M'!$M$10:$M$14,MATCH($F172,'AC&amp;M'!$B$10:$B$14,0))),"N/A")</f>
        <v/>
      </c>
      <c r="T172" s="52">
        <f>IFERROR(IF(INDEX('GCE'!$M$10:$M$12,MATCH($F172,'GCE'!$B$10:$B$12,0))="","Cell will autofill based on response",INDEX('GCE'!$M$10:$M$12,MATCH($F172,'GCE'!$B$10:$B$12,0))),"N/A")</f>
        <v/>
      </c>
      <c r="U172" s="52">
        <f>IFERROR(IF(INDEX('Education'!$M$10:$M$13,MATCH($F172,'Education'!$B$10:$B$13,0))="","Cell will autofill based on response",INDEX('Education'!$M$10:$M$13,MATCH($F172,'Education'!$B$10:$B$13,0))),"N/A")</f>
        <v/>
      </c>
      <c r="V172" s="52">
        <f>IFERROR(IF(INDEX('SaSS'!$M$10:$M$12,MATCH($F172,'SaSS'!$B$10:$B$12,0))="","Cell will autofill based on response",INDEX('SaSS'!$M$10:$M$12,MATCH($F172,'SaSS'!$B$10:$B$12,0))),"N/A")</f>
        <v/>
      </c>
      <c r="W172" s="52">
        <f>IFERROR(IF(INDEX('Indigenous'!$M$10:$M$11,MATCH($F172,'Indigenous'!$B$10:$B$11,0))="","Cell will autofill based on response",INDEX('Indigenous'!$M$10:$M$11,MATCH($F172,'Indigenous'!$B$10:$B$11,0))),"N/A")</f>
        <v/>
      </c>
      <c r="X172" s="52">
        <f>IFERROR(IF(INDEX('L&amp;R'!$M$10:$M$11,MATCH($F172,'L&amp;R'!$B$10:$B$11,0))="","Cell will autofill based on response",INDEX('L&amp;R'!$M$10:$M$11,MATCH($F172,'L&amp;R'!$B$10:$B$11,0))),"N/A")</f>
        <v/>
      </c>
    </row>
    <row r="173">
      <c r="A173">
        <f>F173&amp;"|"&amp;G173</f>
        <v/>
      </c>
      <c r="B173" s="13" t="inlineStr"/>
      <c r="C173" s="8" t="inlineStr"/>
      <c r="D173" s="8" t="inlineStr"/>
      <c r="E173" s="8" t="inlineStr"/>
      <c r="F173" s="8" t="inlineStr">
        <is>
          <t>MS1(a)</t>
        </is>
      </c>
      <c r="G173" s="8" t="inlineStr">
        <is>
          <t>Supporting information/comments</t>
        </is>
      </c>
      <c r="H173" s="52">
        <f>IFERROR(IF(INDEX('Faculties'!$N$10:$N$19,MATCH($F173,'Faculties'!$B$10:$B$19,0))="","Cell will autofill based on response",INDEX('Faculties'!$N$10:$N$19,MATCH($F173,'Faculties'!$B$10:$B$19,0))),"N/A")</f>
        <v/>
      </c>
      <c r="I173" s="52">
        <f>IFERROR(IF(INDEX('Faculties'!$N$26:$N$35,MATCH($F173,'Faculties'!$B$26:$B$35,0))="","Cell will autofill based on response",INDEX('Faculties'!$N$26:$N$35,MATCH($F173,'Faculties'!$B$26:$B$35,0))),"N/A")</f>
        <v/>
      </c>
      <c r="J173" s="52">
        <f>IFERROR(IF(INDEX('Faculties'!$N$42:$N$51,MATCH($F173,'Faculties'!$B$42:$B$51,0))="","Cell will autofill based on response",INDEX('Faculties'!$N$42:$N$51,MATCH($F173,'Faculties'!$B$42:$B$51,0))),"N/A")</f>
        <v/>
      </c>
      <c r="K173" s="52">
        <f>IFERROR(IF(INDEX('Faculties'!$N$58:$N$67,MATCH($F173,'Faculties'!$B$58:$B$67,0))="","Cell will autofill based on response",INDEX('Faculties'!$N$58:$N$67,MATCH($F173,'Faculties'!$B$58:$B$67,0))),"N/A")</f>
        <v/>
      </c>
      <c r="L173" s="52">
        <f>IFERROR(IF(INDEX('CI&amp;S'!$N$10:$N$15,MATCH($F173,'CI&amp;S'!$B$10:$B$15,0))="","Cell will autofill based on response",INDEX('CI&amp;S'!$N$10:$N$15,MATCH($F173,'CI&amp;S'!$B$10:$B$15,0))),"N/A")</f>
        <v/>
      </c>
      <c r="M173" s="52">
        <f>IFERROR(IF(INDEX('CI&amp;S'!$N$22:$N$36,MATCH($F173,'CI&amp;S'!$B$22:$B$36,0))="","Cell will autofill based on response",INDEX('CI&amp;S'!$N$22:$N$36,MATCH($F173,'CI&amp;S'!$B$22:$B$36,0))),"N/A")</f>
        <v/>
      </c>
      <c r="N173" s="52">
        <f>IFERROR(IF(INDEX('CFOG'!$N$10:$N$16,MATCH($F173,'CFOG'!$B$10:$B$16,0))="","Cell will autofill based on response",INDEX('CFOG'!$N$10:$N$16,MATCH($F173,'CFOG'!$B$10:$B$16,0))),"N/A")</f>
        <v/>
      </c>
      <c r="O173" s="52">
        <f>IFERROR(IF(INDEX('CFOG'!$N$23:$N$24,MATCH($F173,'CFOG'!$B$23:$B$24,0))="","Cell will autofill based on response",INDEX('CFOG'!$N$23:$N$24,MATCH($F173,'CFOG'!$B$23:$B$24,0))),"N/A")</f>
        <v/>
      </c>
      <c r="P173" s="52">
        <f>IFERROR(IF(INDEX('ESG'!$N$10:$N$17,MATCH($F173,'ESG'!$B$10:$B$17,0))="","Cell will autofill based on response",INDEX('ESG'!$N$10:$N$17,MATCH($F173,'ESG'!$B$10:$B$17,0))),"N/A")</f>
        <v/>
      </c>
      <c r="Q173" s="52">
        <f>IFERROR(IF(INDEX('CIOG'!$N$10:$N$14,MATCH($F173,'CIOG'!$B$10:$B$14,0))="","Cell will autofill based on response",INDEX('CIOG'!$N$10:$N$14,MATCH($F173,'CIOG'!$B$10:$B$14,0))),"N/A")</f>
        <v/>
      </c>
      <c r="R173" s="52">
        <f>IFERROR(IF(INDEX('MRE'!$N$10:$N$18,MATCH($F173,'MRE'!$B$10:$B$18,0))="","Cell will autofill based on response",INDEX('MRE'!$N$10:$N$18,MATCH($F173,'MRE'!$B$10:$B$18,0))),"N/A")</f>
        <v/>
      </c>
      <c r="S173" s="52">
        <f>IFERROR(IF(INDEX('AC&amp;M'!$N$10:$N$14,MATCH($F173,'AC&amp;M'!$B$10:$B$14,0))="","Cell will autofill based on response",INDEX('AC&amp;M'!$N$10:$N$14,MATCH($F173,'AC&amp;M'!$B$10:$B$14,0))),"N/A")</f>
        <v/>
      </c>
      <c r="T173" s="52">
        <f>IFERROR(IF(INDEX('GCE'!$N$10:$N$12,MATCH($F173,'GCE'!$B$10:$B$12,0))="","Cell will autofill based on response",INDEX('GCE'!$N$10:$N$12,MATCH($F173,'GCE'!$B$10:$B$12,0))),"N/A")</f>
        <v/>
      </c>
      <c r="U173" s="52">
        <f>IFERROR(IF(INDEX('Education'!$N$10:$N$13,MATCH($F173,'Education'!$B$10:$B$13,0))="","Cell will autofill based on response",INDEX('Education'!$N$10:$N$13,MATCH($F173,'Education'!$B$10:$B$13,0))),"N/A")</f>
        <v/>
      </c>
      <c r="V173" s="52">
        <f>IFERROR(IF(INDEX('SaSS'!$N$10:$N$12,MATCH($F173,'SaSS'!$B$10:$B$12,0))="","Cell will autofill based on response",INDEX('SaSS'!$N$10:$N$12,MATCH($F173,'SaSS'!$B$10:$B$12,0))),"N/A")</f>
        <v/>
      </c>
      <c r="W173" s="52">
        <f>IFERROR(IF(INDEX('Indigenous'!$N$10:$N$11,MATCH($F173,'Indigenous'!$B$10:$B$11,0))="","Cell will autofill based on response",INDEX('Indigenous'!$N$10:$N$11,MATCH($F173,'Indigenous'!$B$10:$B$11,0))),"N/A")</f>
        <v/>
      </c>
      <c r="X173" s="52">
        <f>IFERROR(IF(INDEX('L&amp;R'!$N$10:$N$11,MATCH($F173,'L&amp;R'!$B$10:$B$11,0))="","Cell will autofill based on response",INDEX('L&amp;R'!$N$10:$N$11,MATCH($F173,'L&amp;R'!$B$10:$B$11,0))),"N/A")</f>
        <v/>
      </c>
    </row>
    <row r="174">
      <c r="A174">
        <f>F174&amp;"|"&amp;G174</f>
        <v/>
      </c>
      <c r="B174" s="13" t="inlineStr"/>
      <c r="C174" s="8" t="inlineStr"/>
      <c r="D174" s="8" t="inlineStr"/>
      <c r="E174" s="8" t="inlineStr"/>
      <c r="F174" s="8" t="inlineStr">
        <is>
          <t>MS1(a)</t>
        </is>
      </c>
      <c r="G174" s="8" t="inlineStr">
        <is>
          <t>Data source and limitations</t>
        </is>
      </c>
      <c r="H174" s="52">
        <f>IFERROR(IF(INDEX('Faculties'!$O$10:$O$19,MATCH($F174,'Faculties'!$B$10:$B$19,0))="","Cell will autofill based on response",INDEX('Faculties'!$O$10:$O$19,MATCH($F174,'Faculties'!$B$10:$B$19,0))),"N/A")</f>
        <v/>
      </c>
      <c r="I174" s="52">
        <f>IFERROR(IF(INDEX('Faculties'!$O$26:$O$35,MATCH($F174,'Faculties'!$B$26:$B$35,0))="","Cell will autofill based on response",INDEX('Faculties'!$O$26:$O$35,MATCH($F174,'Faculties'!$B$26:$B$35,0))),"N/A")</f>
        <v/>
      </c>
      <c r="J174" s="52">
        <f>IFERROR(IF(INDEX('Faculties'!$O$42:$O$51,MATCH($F174,'Faculties'!$B$42:$B$51,0))="","Cell will autofill based on response",INDEX('Faculties'!$O$42:$O$51,MATCH($F174,'Faculties'!$B$42:$B$51,0))),"N/A")</f>
        <v/>
      </c>
      <c r="K174" s="52">
        <f>IFERROR(IF(INDEX('Faculties'!$O$58:$O$67,MATCH($F174,'Faculties'!$B$58:$B$67,0))="","Cell will autofill based on response",INDEX('Faculties'!$O$58:$O$67,MATCH($F174,'Faculties'!$B$58:$B$67,0))),"N/A")</f>
        <v/>
      </c>
      <c r="L174" s="52">
        <f>IFERROR(IF(INDEX('CI&amp;S'!$O$10:$O$15,MATCH($F174,'CI&amp;S'!$B$10:$B$15,0))="","Cell will autofill based on response",INDEX('CI&amp;S'!$O$10:$O$15,MATCH($F174,'CI&amp;S'!$B$10:$B$15,0))),"N/A")</f>
        <v/>
      </c>
      <c r="M174" s="52">
        <f>IFERROR(IF(INDEX('CI&amp;S'!$O$22:$O$36,MATCH($F174,'CI&amp;S'!$B$22:$B$36,0))="","Cell will autofill based on response",INDEX('CI&amp;S'!$O$22:$O$36,MATCH($F174,'CI&amp;S'!$B$22:$B$36,0))),"N/A")</f>
        <v/>
      </c>
      <c r="N174" s="52">
        <f>IFERROR(IF(INDEX('CFOG'!$O$10:$O$16,MATCH($F174,'CFOG'!$B$10:$B$16,0))="","Cell will autofill based on response",INDEX('CFOG'!$O$10:$O$16,MATCH($F174,'CFOG'!$B$10:$B$16,0))),"N/A")</f>
        <v/>
      </c>
      <c r="O174" s="52">
        <f>IFERROR(IF(INDEX('CFOG'!$O$23:$O$24,MATCH($F174,'CFOG'!$B$23:$B$24,0))="","Cell will autofill based on response",INDEX('CFOG'!$O$23:$O$24,MATCH($F174,'CFOG'!$B$23:$B$24,0))),"N/A")</f>
        <v/>
      </c>
      <c r="P174" s="52">
        <f>IFERROR(IF(INDEX('ESG'!$O$10:$O$17,MATCH($F174,'ESG'!$B$10:$B$17,0))="","Cell will autofill based on response",INDEX('ESG'!$O$10:$O$17,MATCH($F174,'ESG'!$B$10:$B$17,0))),"N/A")</f>
        <v/>
      </c>
      <c r="Q174" s="52">
        <f>IFERROR(IF(INDEX('CIOG'!$O$10:$O$14,MATCH($F174,'CIOG'!$B$10:$B$14,0))="","Cell will autofill based on response",INDEX('CIOG'!$O$10:$O$14,MATCH($F174,'CIOG'!$B$10:$B$14,0))),"N/A")</f>
        <v/>
      </c>
      <c r="R174" s="52">
        <f>IFERROR(IF(INDEX('MRE'!$O$10:$O$18,MATCH($F174,'MRE'!$B$10:$B$18,0))="","Cell will autofill based on response",INDEX('MRE'!$O$10:$O$18,MATCH($F174,'MRE'!$B$10:$B$18,0))),"N/A")</f>
        <v/>
      </c>
      <c r="S174" s="52">
        <f>IFERROR(IF(INDEX('AC&amp;M'!$O$10:$O$14,MATCH($F174,'AC&amp;M'!$B$10:$B$14,0))="","Cell will autofill based on response",INDEX('AC&amp;M'!$O$10:$O$14,MATCH($F174,'AC&amp;M'!$B$10:$B$14,0))),"N/A")</f>
        <v/>
      </c>
      <c r="T174" s="52">
        <f>IFERROR(IF(INDEX('GCE'!$O$10:$O$12,MATCH($F174,'GCE'!$B$10:$B$12,0))="","Cell will autofill based on response",INDEX('GCE'!$O$10:$O$12,MATCH($F174,'GCE'!$B$10:$B$12,0))),"N/A")</f>
        <v/>
      </c>
      <c r="U174" s="52">
        <f>IFERROR(IF(INDEX('Education'!$O$10:$O$13,MATCH($F174,'Education'!$B$10:$B$13,0))="","Cell will autofill based on response",INDEX('Education'!$O$10:$O$13,MATCH($F174,'Education'!$B$10:$B$13,0))),"N/A")</f>
        <v/>
      </c>
      <c r="V174" s="52">
        <f>IFERROR(IF(INDEX('SaSS'!$O$10:$O$12,MATCH($F174,'SaSS'!$B$10:$B$12,0))="","Cell will autofill based on response",INDEX('SaSS'!$O$10:$O$12,MATCH($F174,'SaSS'!$B$10:$B$12,0))),"N/A")</f>
        <v/>
      </c>
      <c r="W174" s="52">
        <f>IFERROR(IF(INDEX('Indigenous'!$O$10:$O$11,MATCH($F174,'Indigenous'!$B$10:$B$11,0))="","Cell will autofill based on response",INDEX('Indigenous'!$O$10:$O$11,MATCH($F174,'Indigenous'!$B$10:$B$11,0))),"N/A")</f>
        <v/>
      </c>
      <c r="X174" s="52">
        <f>IFERROR(IF(INDEX('L&amp;R'!$O$10:$O$11,MATCH($F174,'L&amp;R'!$B$10:$B$11,0))="","Cell will autofill based on response",INDEX('L&amp;R'!$O$10:$O$11,MATCH($F174,'L&amp;R'!$B$10:$B$11,0))),"N/A")</f>
        <v/>
      </c>
    </row>
    <row r="175">
      <c r="A175">
        <f>F175&amp;"|"&amp;G175</f>
        <v/>
      </c>
      <c r="B175" s="13" t="inlineStr"/>
      <c r="C175" s="8" t="inlineStr"/>
      <c r="D175" s="8" t="inlineStr"/>
      <c r="E175" s="8" t="inlineStr"/>
      <c r="F175" s="8" t="inlineStr">
        <is>
          <t>MS1(a)</t>
        </is>
      </c>
      <c r="G175" s="8" t="inlineStr">
        <is>
          <t>Data owner confirms</t>
        </is>
      </c>
      <c r="H175" s="52">
        <f>IFERROR(IF(INDEX('Faculties'!$P$10:$P$19,MATCH($F175,'Faculties'!$B$10:$B$19,0))="","Cell will autofill based on response",INDEX('Faculties'!$P$10:$P$19,MATCH($F175,'Faculties'!$B$10:$B$19,0))),"N/A")</f>
        <v/>
      </c>
      <c r="I175" s="52">
        <f>IFERROR(IF(INDEX('Faculties'!$P$26:$P$35,MATCH($F175,'Faculties'!$B$26:$B$35,0))="","Cell will autofill based on response",INDEX('Faculties'!$P$26:$P$35,MATCH($F175,'Faculties'!$B$26:$B$35,0))),"N/A")</f>
        <v/>
      </c>
      <c r="J175" s="52">
        <f>IFERROR(IF(INDEX('Faculties'!$P$42:$P$51,MATCH($F175,'Faculties'!$B$42:$B$51,0))="","Cell will autofill based on response",INDEX('Faculties'!$P$42:$P$51,MATCH($F175,'Faculties'!$B$42:$B$51,0))),"N/A")</f>
        <v/>
      </c>
      <c r="K175" s="52">
        <f>IFERROR(IF(INDEX('Faculties'!$P$58:$P$67,MATCH($F175,'Faculties'!$B$58:$B$67,0))="","Cell will autofill based on response",INDEX('Faculties'!$P$58:$P$67,MATCH($F175,'Faculties'!$B$58:$B$67,0))),"N/A")</f>
        <v/>
      </c>
      <c r="L175" s="52">
        <f>IFERROR(IF(INDEX('CI&amp;S'!$P$10:$P$15,MATCH($F175,'CI&amp;S'!$B$10:$B$15,0))="","Cell will autofill based on response",INDEX('CI&amp;S'!$P$10:$P$15,MATCH($F175,'CI&amp;S'!$B$10:$B$15,0))),"N/A")</f>
        <v/>
      </c>
      <c r="M175" s="52">
        <f>IFERROR(IF(INDEX('CI&amp;S'!$P$22:$P$36,MATCH($F175,'CI&amp;S'!$B$22:$B$36,0))="","Cell will autofill based on response",INDEX('CI&amp;S'!$P$22:$P$36,MATCH($F175,'CI&amp;S'!$B$22:$B$36,0))),"N/A")</f>
        <v/>
      </c>
      <c r="N175" s="52">
        <f>IFERROR(IF(INDEX('CFOG'!$P$10:$P$16,MATCH($F175,'CFOG'!$B$10:$B$16,0))="","Cell will autofill based on response",INDEX('CFOG'!$P$10:$P$16,MATCH($F175,'CFOG'!$B$10:$B$16,0))),"N/A")</f>
        <v/>
      </c>
      <c r="O175" s="52">
        <f>IFERROR(IF(INDEX('CFOG'!$P$23:$P$24,MATCH($F175,'CFOG'!$B$23:$B$24,0))="","Cell will autofill based on response",INDEX('CFOG'!$P$23:$P$24,MATCH($F175,'CFOG'!$B$23:$B$24,0))),"N/A")</f>
        <v/>
      </c>
      <c r="P175" s="52">
        <f>IFERROR(IF(INDEX('ESG'!$P$10:$P$17,MATCH($F175,'ESG'!$B$10:$B$17,0))="","Cell will autofill based on response",INDEX('ESG'!$P$10:$P$17,MATCH($F175,'ESG'!$B$10:$B$17,0))),"N/A")</f>
        <v/>
      </c>
      <c r="Q175" s="52">
        <f>IFERROR(IF(INDEX('CIOG'!$P$10:$P$14,MATCH($F175,'CIOG'!$B$10:$B$14,0))="","Cell will autofill based on response",INDEX('CIOG'!$P$10:$P$14,MATCH($F175,'CIOG'!$B$10:$B$14,0))),"N/A")</f>
        <v/>
      </c>
      <c r="R175" s="52">
        <f>IFERROR(IF(INDEX('MRE'!$P$10:$P$18,MATCH($F175,'MRE'!$B$10:$B$18,0))="","Cell will autofill based on response",INDEX('MRE'!$P$10:$P$18,MATCH($F175,'MRE'!$B$10:$B$18,0))),"N/A")</f>
        <v/>
      </c>
      <c r="S175" s="52">
        <f>IFERROR(IF(INDEX('AC&amp;M'!$P$10:$P$14,MATCH($F175,'AC&amp;M'!$B$10:$B$14,0))="","Cell will autofill based on response",INDEX('AC&amp;M'!$P$10:$P$14,MATCH($F175,'AC&amp;M'!$B$10:$B$14,0))),"N/A")</f>
        <v/>
      </c>
      <c r="T175" s="52">
        <f>IFERROR(IF(INDEX('GCE'!$P$10:$P$12,MATCH($F175,'GCE'!$B$10:$B$12,0))="","Cell will autofill based on response",INDEX('GCE'!$P$10:$P$12,MATCH($F175,'GCE'!$B$10:$B$12,0))),"N/A")</f>
        <v/>
      </c>
      <c r="U175" s="52">
        <f>IFERROR(IF(INDEX('Education'!$P$10:$P$13,MATCH($F175,'Education'!$B$10:$B$13,0))="","Cell will autofill based on response",INDEX('Education'!$P$10:$P$13,MATCH($F175,'Education'!$B$10:$B$13,0))),"N/A")</f>
        <v/>
      </c>
      <c r="V175" s="52">
        <f>IFERROR(IF(INDEX('SaSS'!$P$10:$P$12,MATCH($F175,'SaSS'!$B$10:$B$12,0))="","Cell will autofill based on response",INDEX('SaSS'!$P$10:$P$12,MATCH($F175,'SaSS'!$B$10:$B$12,0))),"N/A")</f>
        <v/>
      </c>
      <c r="W175" s="52">
        <f>IFERROR(IF(INDEX('Indigenous'!$P$10:$P$11,MATCH($F175,'Indigenous'!$B$10:$B$11,0))="","Cell will autofill based on response",INDEX('Indigenous'!$P$10:$P$11,MATCH($F175,'Indigenous'!$B$10:$B$11,0))),"N/A")</f>
        <v/>
      </c>
      <c r="X175" s="52">
        <f>IFERROR(IF(INDEX('L&amp;R'!$P$10:$P$11,MATCH($F175,'L&amp;R'!$B$10:$B$11,0))="","Cell will autofill based on response",INDEX('L&amp;R'!$P$10:$P$11,MATCH($F175,'L&amp;R'!$B$10:$B$11,0))),"N/A")</f>
        <v/>
      </c>
    </row>
    <row r="176">
      <c r="A176">
        <f>F176&amp;"|"&amp;G176</f>
        <v/>
      </c>
      <c r="B176" s="7" t="inlineStr">
        <is>
          <t>RI1(b)</t>
        </is>
      </c>
      <c r="C176" s="50" t="inlineStr">
        <is>
          <t>Responsible investments</t>
        </is>
      </c>
      <c r="D176" s="50" t="inlineStr">
        <is>
          <t>Continuous improvement of the reporting of the University’s sustainability-related investment profile metrics, could include investment in climate mitigation and transition solutions, and compliance with related obligations (eg UNPRI).</t>
        </is>
      </c>
      <c r="E176" s="50" t="inlineStr">
        <is>
          <t>Report on relevant sustainability-related investment portfolio metrics and report on how the University has complied with its related obligations</t>
        </is>
      </c>
      <c r="F176" s="50" t="inlineStr">
        <is>
          <t>RI1(b)</t>
        </is>
      </c>
      <c r="G176" s="50" t="inlineStr">
        <is>
          <t>OPTION 1:  Target-level reporting</t>
        </is>
      </c>
      <c r="H176" s="52">
        <f>IFERROR(IF(INDEX('Faculties'!$L$10:$L$19,MATCH($F176,'Faculties'!$B$10:$B$19,0))="","Cell will autofill based on response",INDEX('Faculties'!$L$10:$L$19,MATCH($F176,'Faculties'!$B$10:$B$19,0))),"N/A")</f>
        <v/>
      </c>
      <c r="I176" s="52">
        <f>IFERROR(IF(INDEX('Faculties'!$L$26:$L$35,MATCH($F176,'Faculties'!$B$26:$B$35,0))="","Cell will autofill based on response",INDEX('Faculties'!$L$26:$L$35,MATCH($F176,'Faculties'!$B$26:$B$35,0))),"N/A")</f>
        <v/>
      </c>
      <c r="J176" s="52">
        <f>IFERROR(IF(INDEX('Faculties'!$L$42:$L$51,MATCH($F176,'Faculties'!$B$42:$B$51,0))="","Cell will autofill based on response",INDEX('Faculties'!$L$42:$L$51,MATCH($F176,'Faculties'!$B$42:$B$51,0))),"N/A")</f>
        <v/>
      </c>
      <c r="K176" s="52">
        <f>IFERROR(IF(INDEX('Faculties'!$L$58:$L$67,MATCH($F176,'Faculties'!$B$58:$B$67,0))="","Cell will autofill based on response",INDEX('Faculties'!$L$58:$L$67,MATCH($F176,'Faculties'!$B$58:$B$67,0))),"N/A")</f>
        <v/>
      </c>
      <c r="L176" s="52">
        <f>IFERROR(IF(INDEX('CI&amp;S'!$L$10:$L$15,MATCH($F176,'CI&amp;S'!$B$10:$B$15,0))="","Cell will autofill based on response",INDEX('CI&amp;S'!$L$10:$L$15,MATCH($F176,'CI&amp;S'!$B$10:$B$15,0))),"N/A")</f>
        <v/>
      </c>
      <c r="M176" s="52">
        <f>IFERROR(IF(INDEX('CI&amp;S'!$L$22:$L$36,MATCH($F176,'CI&amp;S'!$B$22:$B$36,0))="","Cell will autofill based on response",INDEX('CI&amp;S'!$L$22:$L$36,MATCH($F176,'CI&amp;S'!$B$22:$B$36,0))),"N/A")</f>
        <v/>
      </c>
      <c r="N176" s="52">
        <f>IFERROR(IF(INDEX('CFOG'!$L$10:$L$16,MATCH($F176,'CFOG'!$B$10:$B$16,0))="","Cell will autofill based on response",INDEX('CFOG'!$L$10:$L$16,MATCH($F176,'CFOG'!$B$10:$B$16,0))),"N/A")</f>
        <v/>
      </c>
      <c r="O176" s="52">
        <f>IFERROR(IF(INDEX('CFOG'!$L$23:$L$24,MATCH($F176,'CFOG'!$B$23:$B$24,0))="","Cell will autofill based on response",INDEX('CFOG'!$L$23:$L$24,MATCH($F176,'CFOG'!$B$23:$B$24,0))),"N/A")</f>
        <v/>
      </c>
      <c r="P176" s="52">
        <f>IFERROR(IF(INDEX('ESG'!$L$10:$L$17,MATCH($F176,'ESG'!$B$10:$B$17,0))="","Cell will autofill based on response",INDEX('ESG'!$L$10:$L$17,MATCH($F176,'ESG'!$B$10:$B$17,0))),"N/A")</f>
        <v/>
      </c>
      <c r="Q176" s="52">
        <f>IFERROR(IF(INDEX('CIOG'!$L$10:$L$14,MATCH($F176,'CIOG'!$B$10:$B$14,0))="","Cell will autofill based on response",INDEX('CIOG'!$L$10:$L$14,MATCH($F176,'CIOG'!$B$10:$B$14,0))),"N/A")</f>
        <v/>
      </c>
      <c r="R176" s="52">
        <f>IFERROR(IF(INDEX('MRE'!$L$10:$L$18,MATCH($F176,'MRE'!$B$10:$B$18,0))="","Cell will autofill based on response",INDEX('MRE'!$L$10:$L$18,MATCH($F176,'MRE'!$B$10:$B$18,0))),"N/A")</f>
        <v/>
      </c>
      <c r="S176" s="52">
        <f>IFERROR(IF(INDEX('AC&amp;M'!$L$10:$L$14,MATCH($F176,'AC&amp;M'!$B$10:$B$14,0))="","Cell will autofill based on response",INDEX('AC&amp;M'!$L$10:$L$14,MATCH($F176,'AC&amp;M'!$B$10:$B$14,0))),"N/A")</f>
        <v/>
      </c>
      <c r="T176" s="52">
        <f>IFERROR(IF(INDEX('GCE'!$L$10:$L$12,MATCH($F176,'GCE'!$B$10:$B$12,0))="","Cell will autofill based on response",INDEX('GCE'!$L$10:$L$12,MATCH($F176,'GCE'!$B$10:$B$12,0))),"N/A")</f>
        <v/>
      </c>
      <c r="U176" s="52">
        <f>IFERROR(IF(INDEX('Education'!$L$10:$L$13,MATCH($F176,'Education'!$B$10:$B$13,0))="","Cell will autofill based on response",INDEX('Education'!$L$10:$L$13,MATCH($F176,'Education'!$B$10:$B$13,0))),"N/A")</f>
        <v/>
      </c>
      <c r="V176" s="52">
        <f>IFERROR(IF(INDEX('SaSS'!$L$10:$L$12,MATCH($F176,'SaSS'!$B$10:$B$12,0))="","Cell will autofill based on response",INDEX('SaSS'!$L$10:$L$12,MATCH($F176,'SaSS'!$B$10:$B$12,0))),"N/A")</f>
        <v/>
      </c>
      <c r="W176" s="52">
        <f>IFERROR(IF(INDEX('Indigenous'!$L$10:$L$11,MATCH($F176,'Indigenous'!$B$10:$B$11,0))="","Cell will autofill based on response",INDEX('Indigenous'!$L$10:$L$11,MATCH($F176,'Indigenous'!$B$10:$B$11,0))),"N/A")</f>
        <v/>
      </c>
      <c r="X176" s="52">
        <f>IFERROR(IF(INDEX('L&amp;R'!$L$10:$L$11,MATCH($F176,'L&amp;R'!$B$10:$B$11,0))="","Cell will autofill based on response",INDEX('L&amp;R'!$L$10:$L$11,MATCH($F176,'L&amp;R'!$B$10:$B$11,0))),"N/A")</f>
        <v/>
      </c>
      <c r="Z176" s="10">
        <f>SUMPRODUCT(--($H176:$X176&lt;&gt;"N/A"))</f>
        <v/>
      </c>
      <c r="AA176" s="10">
        <f>SUMPRODUCT(--(((($H176:$X176&lt;&gt;"N/A")*($H176:$X176&lt;&gt;"Cell will autofill based on response"))+(($H177:$X177&lt;&gt;"N/A")*($H177:$X177&lt;&gt;"Cell will autofill based on response")))&gt;0))</f>
        <v/>
      </c>
      <c r="AB176" s="10">
        <f>Z176-AA176</f>
        <v/>
      </c>
      <c r="AC176" s="10">
        <f>COUNTIF($H180:$X180,"Yes")</f>
        <v/>
      </c>
    </row>
    <row r="177">
      <c r="A177">
        <f>F177&amp;"|"&amp;G177</f>
        <v/>
      </c>
      <c r="B177" s="13" t="inlineStr"/>
      <c r="C177" s="8" t="inlineStr"/>
      <c r="D177" s="8" t="inlineStr"/>
      <c r="E177" s="8" t="inlineStr"/>
      <c r="F177" s="8" t="inlineStr">
        <is>
          <t>RI1(b)</t>
        </is>
      </c>
      <c r="G177" s="8" t="inlineStr">
        <is>
          <t>OPTION 2:  Indicator level reporting</t>
        </is>
      </c>
      <c r="H177" s="52">
        <f>IFERROR(IF(INDEX('Faculties'!$M$10:$M$19,MATCH($F177,'Faculties'!$B$10:$B$19,0))="","Cell will autofill based on response",INDEX('Faculties'!$M$10:$M$19,MATCH($F177,'Faculties'!$B$10:$B$19,0))),"N/A")</f>
        <v/>
      </c>
      <c r="I177" s="52">
        <f>IFERROR(IF(INDEX('Faculties'!$M$26:$M$35,MATCH($F177,'Faculties'!$B$26:$B$35,0))="","Cell will autofill based on response",INDEX('Faculties'!$M$26:$M$35,MATCH($F177,'Faculties'!$B$26:$B$35,0))),"N/A")</f>
        <v/>
      </c>
      <c r="J177" s="52">
        <f>IFERROR(IF(INDEX('Faculties'!$M$42:$M$51,MATCH($F177,'Faculties'!$B$42:$B$51,0))="","Cell will autofill based on response",INDEX('Faculties'!$M$42:$M$51,MATCH($F177,'Faculties'!$B$42:$B$51,0))),"N/A")</f>
        <v/>
      </c>
      <c r="K177" s="52">
        <f>IFERROR(IF(INDEX('Faculties'!$M$58:$M$67,MATCH($F177,'Faculties'!$B$58:$B$67,0))="","Cell will autofill based on response",INDEX('Faculties'!$M$58:$M$67,MATCH($F177,'Faculties'!$B$58:$B$67,0))),"N/A")</f>
        <v/>
      </c>
      <c r="L177" s="52">
        <f>IFERROR(IF(INDEX('CI&amp;S'!$M$10:$M$15,MATCH($F177,'CI&amp;S'!$B$10:$B$15,0))="","Cell will autofill based on response",INDEX('CI&amp;S'!$M$10:$M$15,MATCH($F177,'CI&amp;S'!$B$10:$B$15,0))),"N/A")</f>
        <v/>
      </c>
      <c r="M177" s="52">
        <f>IFERROR(IF(INDEX('CI&amp;S'!$M$22:$M$36,MATCH($F177,'CI&amp;S'!$B$22:$B$36,0))="","Cell will autofill based on response",INDEX('CI&amp;S'!$M$22:$M$36,MATCH($F177,'CI&amp;S'!$B$22:$B$36,0))),"N/A")</f>
        <v/>
      </c>
      <c r="N177" s="52">
        <f>IFERROR(IF(INDEX('CFOG'!$M$10:$M$16,MATCH($F177,'CFOG'!$B$10:$B$16,0))="","Cell will autofill based on response",INDEX('CFOG'!$M$10:$M$16,MATCH($F177,'CFOG'!$B$10:$B$16,0))),"N/A")</f>
        <v/>
      </c>
      <c r="O177" s="52">
        <f>IFERROR(IF(INDEX('CFOG'!$M$23:$M$24,MATCH($F177,'CFOG'!$B$23:$B$24,0))="","Cell will autofill based on response",INDEX('CFOG'!$M$23:$M$24,MATCH($F177,'CFOG'!$B$23:$B$24,0))),"N/A")</f>
        <v/>
      </c>
      <c r="P177" s="52">
        <f>IFERROR(IF(INDEX('ESG'!$M$10:$M$17,MATCH($F177,'ESG'!$B$10:$B$17,0))="","Cell will autofill based on response",INDEX('ESG'!$M$10:$M$17,MATCH($F177,'ESG'!$B$10:$B$17,0))),"N/A")</f>
        <v/>
      </c>
      <c r="Q177" s="52">
        <f>IFERROR(IF(INDEX('CIOG'!$M$10:$M$14,MATCH($F177,'CIOG'!$B$10:$B$14,0))="","Cell will autofill based on response",INDEX('CIOG'!$M$10:$M$14,MATCH($F177,'CIOG'!$B$10:$B$14,0))),"N/A")</f>
        <v/>
      </c>
      <c r="R177" s="52">
        <f>IFERROR(IF(INDEX('MRE'!$M$10:$M$18,MATCH($F177,'MRE'!$B$10:$B$18,0))="","Cell will autofill based on response",INDEX('MRE'!$M$10:$M$18,MATCH($F177,'MRE'!$B$10:$B$18,0))),"N/A")</f>
        <v/>
      </c>
      <c r="S177" s="52">
        <f>IFERROR(IF(INDEX('AC&amp;M'!$M$10:$M$14,MATCH($F177,'AC&amp;M'!$B$10:$B$14,0))="","Cell will autofill based on response",INDEX('AC&amp;M'!$M$10:$M$14,MATCH($F177,'AC&amp;M'!$B$10:$B$14,0))),"N/A")</f>
        <v/>
      </c>
      <c r="T177" s="52">
        <f>IFERROR(IF(INDEX('GCE'!$M$10:$M$12,MATCH($F177,'GCE'!$B$10:$B$12,0))="","Cell will autofill based on response",INDEX('GCE'!$M$10:$M$12,MATCH($F177,'GCE'!$B$10:$B$12,0))),"N/A")</f>
        <v/>
      </c>
      <c r="U177" s="52">
        <f>IFERROR(IF(INDEX('Education'!$M$10:$M$13,MATCH($F177,'Education'!$B$10:$B$13,0))="","Cell will autofill based on response",INDEX('Education'!$M$10:$M$13,MATCH($F177,'Education'!$B$10:$B$13,0))),"N/A")</f>
        <v/>
      </c>
      <c r="V177" s="52">
        <f>IFERROR(IF(INDEX('SaSS'!$M$10:$M$12,MATCH($F177,'SaSS'!$B$10:$B$12,0))="","Cell will autofill based on response",INDEX('SaSS'!$M$10:$M$12,MATCH($F177,'SaSS'!$B$10:$B$12,0))),"N/A")</f>
        <v/>
      </c>
      <c r="W177" s="52">
        <f>IFERROR(IF(INDEX('Indigenous'!$M$10:$M$11,MATCH($F177,'Indigenous'!$B$10:$B$11,0))="","Cell will autofill based on response",INDEX('Indigenous'!$M$10:$M$11,MATCH($F177,'Indigenous'!$B$10:$B$11,0))),"N/A")</f>
        <v/>
      </c>
      <c r="X177" s="52">
        <f>IFERROR(IF(INDEX('L&amp;R'!$M$10:$M$11,MATCH($F177,'L&amp;R'!$B$10:$B$11,0))="","Cell will autofill based on response",INDEX('L&amp;R'!$M$10:$M$11,MATCH($F177,'L&amp;R'!$B$10:$B$11,0))),"N/A")</f>
        <v/>
      </c>
    </row>
    <row r="178">
      <c r="A178">
        <f>F178&amp;"|"&amp;G178</f>
        <v/>
      </c>
      <c r="B178" s="13" t="inlineStr"/>
      <c r="C178" s="8" t="inlineStr"/>
      <c r="D178" s="8" t="inlineStr"/>
      <c r="E178" s="8" t="inlineStr"/>
      <c r="F178" s="8" t="inlineStr">
        <is>
          <t>RI1(b)</t>
        </is>
      </c>
      <c r="G178" s="8" t="inlineStr">
        <is>
          <t>Supporting information/comments</t>
        </is>
      </c>
      <c r="H178" s="52">
        <f>IFERROR(IF(INDEX('Faculties'!$N$10:$N$19,MATCH($F178,'Faculties'!$B$10:$B$19,0))="","Cell will autofill based on response",INDEX('Faculties'!$N$10:$N$19,MATCH($F178,'Faculties'!$B$10:$B$19,0))),"N/A")</f>
        <v/>
      </c>
      <c r="I178" s="52">
        <f>IFERROR(IF(INDEX('Faculties'!$N$26:$N$35,MATCH($F178,'Faculties'!$B$26:$B$35,0))="","Cell will autofill based on response",INDEX('Faculties'!$N$26:$N$35,MATCH($F178,'Faculties'!$B$26:$B$35,0))),"N/A")</f>
        <v/>
      </c>
      <c r="J178" s="52">
        <f>IFERROR(IF(INDEX('Faculties'!$N$42:$N$51,MATCH($F178,'Faculties'!$B$42:$B$51,0))="","Cell will autofill based on response",INDEX('Faculties'!$N$42:$N$51,MATCH($F178,'Faculties'!$B$42:$B$51,0))),"N/A")</f>
        <v/>
      </c>
      <c r="K178" s="52">
        <f>IFERROR(IF(INDEX('Faculties'!$N$58:$N$67,MATCH($F178,'Faculties'!$B$58:$B$67,0))="","Cell will autofill based on response",INDEX('Faculties'!$N$58:$N$67,MATCH($F178,'Faculties'!$B$58:$B$67,0))),"N/A")</f>
        <v/>
      </c>
      <c r="L178" s="52">
        <f>IFERROR(IF(INDEX('CI&amp;S'!$N$10:$N$15,MATCH($F178,'CI&amp;S'!$B$10:$B$15,0))="","Cell will autofill based on response",INDEX('CI&amp;S'!$N$10:$N$15,MATCH($F178,'CI&amp;S'!$B$10:$B$15,0))),"N/A")</f>
        <v/>
      </c>
      <c r="M178" s="52">
        <f>IFERROR(IF(INDEX('CI&amp;S'!$N$22:$N$36,MATCH($F178,'CI&amp;S'!$B$22:$B$36,0))="","Cell will autofill based on response",INDEX('CI&amp;S'!$N$22:$N$36,MATCH($F178,'CI&amp;S'!$B$22:$B$36,0))),"N/A")</f>
        <v/>
      </c>
      <c r="N178" s="52">
        <f>IFERROR(IF(INDEX('CFOG'!$N$10:$N$16,MATCH($F178,'CFOG'!$B$10:$B$16,0))="","Cell will autofill based on response",INDEX('CFOG'!$N$10:$N$16,MATCH($F178,'CFOG'!$B$10:$B$16,0))),"N/A")</f>
        <v/>
      </c>
      <c r="O178" s="52">
        <f>IFERROR(IF(INDEX('CFOG'!$N$23:$N$24,MATCH($F178,'CFOG'!$B$23:$B$24,0))="","Cell will autofill based on response",INDEX('CFOG'!$N$23:$N$24,MATCH($F178,'CFOG'!$B$23:$B$24,0))),"N/A")</f>
        <v/>
      </c>
      <c r="P178" s="52">
        <f>IFERROR(IF(INDEX('ESG'!$N$10:$N$17,MATCH($F178,'ESG'!$B$10:$B$17,0))="","Cell will autofill based on response",INDEX('ESG'!$N$10:$N$17,MATCH($F178,'ESG'!$B$10:$B$17,0))),"N/A")</f>
        <v/>
      </c>
      <c r="Q178" s="52">
        <f>IFERROR(IF(INDEX('CIOG'!$N$10:$N$14,MATCH($F178,'CIOG'!$B$10:$B$14,0))="","Cell will autofill based on response",INDEX('CIOG'!$N$10:$N$14,MATCH($F178,'CIOG'!$B$10:$B$14,0))),"N/A")</f>
        <v/>
      </c>
      <c r="R178" s="52">
        <f>IFERROR(IF(INDEX('MRE'!$N$10:$N$18,MATCH($F178,'MRE'!$B$10:$B$18,0))="","Cell will autofill based on response",INDEX('MRE'!$N$10:$N$18,MATCH($F178,'MRE'!$B$10:$B$18,0))),"N/A")</f>
        <v/>
      </c>
      <c r="S178" s="52">
        <f>IFERROR(IF(INDEX('AC&amp;M'!$N$10:$N$14,MATCH($F178,'AC&amp;M'!$B$10:$B$14,0))="","Cell will autofill based on response",INDEX('AC&amp;M'!$N$10:$N$14,MATCH($F178,'AC&amp;M'!$B$10:$B$14,0))),"N/A")</f>
        <v/>
      </c>
      <c r="T178" s="52">
        <f>IFERROR(IF(INDEX('GCE'!$N$10:$N$12,MATCH($F178,'GCE'!$B$10:$B$12,0))="","Cell will autofill based on response",INDEX('GCE'!$N$10:$N$12,MATCH($F178,'GCE'!$B$10:$B$12,0))),"N/A")</f>
        <v/>
      </c>
      <c r="U178" s="52">
        <f>IFERROR(IF(INDEX('Education'!$N$10:$N$13,MATCH($F178,'Education'!$B$10:$B$13,0))="","Cell will autofill based on response",INDEX('Education'!$N$10:$N$13,MATCH($F178,'Education'!$B$10:$B$13,0))),"N/A")</f>
        <v/>
      </c>
      <c r="V178" s="52">
        <f>IFERROR(IF(INDEX('SaSS'!$N$10:$N$12,MATCH($F178,'SaSS'!$B$10:$B$12,0))="","Cell will autofill based on response",INDEX('SaSS'!$N$10:$N$12,MATCH($F178,'SaSS'!$B$10:$B$12,0))),"N/A")</f>
        <v/>
      </c>
      <c r="W178" s="52">
        <f>IFERROR(IF(INDEX('Indigenous'!$N$10:$N$11,MATCH($F178,'Indigenous'!$B$10:$B$11,0))="","Cell will autofill based on response",INDEX('Indigenous'!$N$10:$N$11,MATCH($F178,'Indigenous'!$B$10:$B$11,0))),"N/A")</f>
        <v/>
      </c>
      <c r="X178" s="52">
        <f>IFERROR(IF(INDEX('L&amp;R'!$N$10:$N$11,MATCH($F178,'L&amp;R'!$B$10:$B$11,0))="","Cell will autofill based on response",INDEX('L&amp;R'!$N$10:$N$11,MATCH($F178,'L&amp;R'!$B$10:$B$11,0))),"N/A")</f>
        <v/>
      </c>
    </row>
    <row r="179">
      <c r="A179">
        <f>F179&amp;"|"&amp;G179</f>
        <v/>
      </c>
      <c r="B179" s="13" t="inlineStr"/>
      <c r="C179" s="8" t="inlineStr"/>
      <c r="D179" s="8" t="inlineStr"/>
      <c r="E179" s="8" t="inlineStr"/>
      <c r="F179" s="8" t="inlineStr">
        <is>
          <t>RI1(b)</t>
        </is>
      </c>
      <c r="G179" s="8" t="inlineStr">
        <is>
          <t>Data source and limitations</t>
        </is>
      </c>
      <c r="H179" s="52">
        <f>IFERROR(IF(INDEX('Faculties'!$O$10:$O$19,MATCH($F179,'Faculties'!$B$10:$B$19,0))="","Cell will autofill based on response",INDEX('Faculties'!$O$10:$O$19,MATCH($F179,'Faculties'!$B$10:$B$19,0))),"N/A")</f>
        <v/>
      </c>
      <c r="I179" s="52">
        <f>IFERROR(IF(INDEX('Faculties'!$O$26:$O$35,MATCH($F179,'Faculties'!$B$26:$B$35,0))="","Cell will autofill based on response",INDEX('Faculties'!$O$26:$O$35,MATCH($F179,'Faculties'!$B$26:$B$35,0))),"N/A")</f>
        <v/>
      </c>
      <c r="J179" s="52">
        <f>IFERROR(IF(INDEX('Faculties'!$O$42:$O$51,MATCH($F179,'Faculties'!$B$42:$B$51,0))="","Cell will autofill based on response",INDEX('Faculties'!$O$42:$O$51,MATCH($F179,'Faculties'!$B$42:$B$51,0))),"N/A")</f>
        <v/>
      </c>
      <c r="K179" s="52">
        <f>IFERROR(IF(INDEX('Faculties'!$O$58:$O$67,MATCH($F179,'Faculties'!$B$58:$B$67,0))="","Cell will autofill based on response",INDEX('Faculties'!$O$58:$O$67,MATCH($F179,'Faculties'!$B$58:$B$67,0))),"N/A")</f>
        <v/>
      </c>
      <c r="L179" s="52">
        <f>IFERROR(IF(INDEX('CI&amp;S'!$O$10:$O$15,MATCH($F179,'CI&amp;S'!$B$10:$B$15,0))="","Cell will autofill based on response",INDEX('CI&amp;S'!$O$10:$O$15,MATCH($F179,'CI&amp;S'!$B$10:$B$15,0))),"N/A")</f>
        <v/>
      </c>
      <c r="M179" s="52">
        <f>IFERROR(IF(INDEX('CI&amp;S'!$O$22:$O$36,MATCH($F179,'CI&amp;S'!$B$22:$B$36,0))="","Cell will autofill based on response",INDEX('CI&amp;S'!$O$22:$O$36,MATCH($F179,'CI&amp;S'!$B$22:$B$36,0))),"N/A")</f>
        <v/>
      </c>
      <c r="N179" s="52">
        <f>IFERROR(IF(INDEX('CFOG'!$O$10:$O$16,MATCH($F179,'CFOG'!$B$10:$B$16,0))="","Cell will autofill based on response",INDEX('CFOG'!$O$10:$O$16,MATCH($F179,'CFOG'!$B$10:$B$16,0))),"N/A")</f>
        <v/>
      </c>
      <c r="O179" s="52">
        <f>IFERROR(IF(INDEX('CFOG'!$O$23:$O$24,MATCH($F179,'CFOG'!$B$23:$B$24,0))="","Cell will autofill based on response",INDEX('CFOG'!$O$23:$O$24,MATCH($F179,'CFOG'!$B$23:$B$24,0))),"N/A")</f>
        <v/>
      </c>
      <c r="P179" s="52">
        <f>IFERROR(IF(INDEX('ESG'!$O$10:$O$17,MATCH($F179,'ESG'!$B$10:$B$17,0))="","Cell will autofill based on response",INDEX('ESG'!$O$10:$O$17,MATCH($F179,'ESG'!$B$10:$B$17,0))),"N/A")</f>
        <v/>
      </c>
      <c r="Q179" s="52">
        <f>IFERROR(IF(INDEX('CIOG'!$O$10:$O$14,MATCH($F179,'CIOG'!$B$10:$B$14,0))="","Cell will autofill based on response",INDEX('CIOG'!$O$10:$O$14,MATCH($F179,'CIOG'!$B$10:$B$14,0))),"N/A")</f>
        <v/>
      </c>
      <c r="R179" s="52">
        <f>IFERROR(IF(INDEX('MRE'!$O$10:$O$18,MATCH($F179,'MRE'!$B$10:$B$18,0))="","Cell will autofill based on response",INDEX('MRE'!$O$10:$O$18,MATCH($F179,'MRE'!$B$10:$B$18,0))),"N/A")</f>
        <v/>
      </c>
      <c r="S179" s="52">
        <f>IFERROR(IF(INDEX('AC&amp;M'!$O$10:$O$14,MATCH($F179,'AC&amp;M'!$B$10:$B$14,0))="","Cell will autofill based on response",INDEX('AC&amp;M'!$O$10:$O$14,MATCH($F179,'AC&amp;M'!$B$10:$B$14,0))),"N/A")</f>
        <v/>
      </c>
      <c r="T179" s="52">
        <f>IFERROR(IF(INDEX('GCE'!$O$10:$O$12,MATCH($F179,'GCE'!$B$10:$B$12,0))="","Cell will autofill based on response",INDEX('GCE'!$O$10:$O$12,MATCH($F179,'GCE'!$B$10:$B$12,0))),"N/A")</f>
        <v/>
      </c>
      <c r="U179" s="52">
        <f>IFERROR(IF(INDEX('Education'!$O$10:$O$13,MATCH($F179,'Education'!$B$10:$B$13,0))="","Cell will autofill based on response",INDEX('Education'!$O$10:$O$13,MATCH($F179,'Education'!$B$10:$B$13,0))),"N/A")</f>
        <v/>
      </c>
      <c r="V179" s="52">
        <f>IFERROR(IF(INDEX('SaSS'!$O$10:$O$12,MATCH($F179,'SaSS'!$B$10:$B$12,0))="","Cell will autofill based on response",INDEX('SaSS'!$O$10:$O$12,MATCH($F179,'SaSS'!$B$10:$B$12,0))),"N/A")</f>
        <v/>
      </c>
      <c r="W179" s="52">
        <f>IFERROR(IF(INDEX('Indigenous'!$O$10:$O$11,MATCH($F179,'Indigenous'!$B$10:$B$11,0))="","Cell will autofill based on response",INDEX('Indigenous'!$O$10:$O$11,MATCH($F179,'Indigenous'!$B$10:$B$11,0))),"N/A")</f>
        <v/>
      </c>
      <c r="X179" s="52">
        <f>IFERROR(IF(INDEX('L&amp;R'!$O$10:$O$11,MATCH($F179,'L&amp;R'!$B$10:$B$11,0))="","Cell will autofill based on response",INDEX('L&amp;R'!$O$10:$O$11,MATCH($F179,'L&amp;R'!$B$10:$B$11,0))),"N/A")</f>
        <v/>
      </c>
    </row>
    <row r="180">
      <c r="A180">
        <f>F180&amp;"|"&amp;G180</f>
        <v/>
      </c>
      <c r="B180" s="13" t="inlineStr"/>
      <c r="C180" s="8" t="inlineStr"/>
      <c r="D180" s="8" t="inlineStr"/>
      <c r="E180" s="8" t="inlineStr"/>
      <c r="F180" s="8" t="inlineStr">
        <is>
          <t>RI1(b)</t>
        </is>
      </c>
      <c r="G180" s="8" t="inlineStr">
        <is>
          <t>Data owner confirms</t>
        </is>
      </c>
      <c r="H180" s="52">
        <f>IFERROR(IF(INDEX('Faculties'!$P$10:$P$19,MATCH($F180,'Faculties'!$B$10:$B$19,0))="","Cell will autofill based on response",INDEX('Faculties'!$P$10:$P$19,MATCH($F180,'Faculties'!$B$10:$B$19,0))),"N/A")</f>
        <v/>
      </c>
      <c r="I180" s="52">
        <f>IFERROR(IF(INDEX('Faculties'!$P$26:$P$35,MATCH($F180,'Faculties'!$B$26:$B$35,0))="","Cell will autofill based on response",INDEX('Faculties'!$P$26:$P$35,MATCH($F180,'Faculties'!$B$26:$B$35,0))),"N/A")</f>
        <v/>
      </c>
      <c r="J180" s="52">
        <f>IFERROR(IF(INDEX('Faculties'!$P$42:$P$51,MATCH($F180,'Faculties'!$B$42:$B$51,0))="","Cell will autofill based on response",INDEX('Faculties'!$P$42:$P$51,MATCH($F180,'Faculties'!$B$42:$B$51,0))),"N/A")</f>
        <v/>
      </c>
      <c r="K180" s="52">
        <f>IFERROR(IF(INDEX('Faculties'!$P$58:$P$67,MATCH($F180,'Faculties'!$B$58:$B$67,0))="","Cell will autofill based on response",INDEX('Faculties'!$P$58:$P$67,MATCH($F180,'Faculties'!$B$58:$B$67,0))),"N/A")</f>
        <v/>
      </c>
      <c r="L180" s="52">
        <f>IFERROR(IF(INDEX('CI&amp;S'!$P$10:$P$15,MATCH($F180,'CI&amp;S'!$B$10:$B$15,0))="","Cell will autofill based on response",INDEX('CI&amp;S'!$P$10:$P$15,MATCH($F180,'CI&amp;S'!$B$10:$B$15,0))),"N/A")</f>
        <v/>
      </c>
      <c r="M180" s="52">
        <f>IFERROR(IF(INDEX('CI&amp;S'!$P$22:$P$36,MATCH($F180,'CI&amp;S'!$B$22:$B$36,0))="","Cell will autofill based on response",INDEX('CI&amp;S'!$P$22:$P$36,MATCH($F180,'CI&amp;S'!$B$22:$B$36,0))),"N/A")</f>
        <v/>
      </c>
      <c r="N180" s="52">
        <f>IFERROR(IF(INDEX('CFOG'!$P$10:$P$16,MATCH($F180,'CFOG'!$B$10:$B$16,0))="","Cell will autofill based on response",INDEX('CFOG'!$P$10:$P$16,MATCH($F180,'CFOG'!$B$10:$B$16,0))),"N/A")</f>
        <v/>
      </c>
      <c r="O180" s="52">
        <f>IFERROR(IF(INDEX('CFOG'!$P$23:$P$24,MATCH($F180,'CFOG'!$B$23:$B$24,0))="","Cell will autofill based on response",INDEX('CFOG'!$P$23:$P$24,MATCH($F180,'CFOG'!$B$23:$B$24,0))),"N/A")</f>
        <v/>
      </c>
      <c r="P180" s="52">
        <f>IFERROR(IF(INDEX('ESG'!$P$10:$P$17,MATCH($F180,'ESG'!$B$10:$B$17,0))="","Cell will autofill based on response",INDEX('ESG'!$P$10:$P$17,MATCH($F180,'ESG'!$B$10:$B$17,0))),"N/A")</f>
        <v/>
      </c>
      <c r="Q180" s="52">
        <f>IFERROR(IF(INDEX('CIOG'!$P$10:$P$14,MATCH($F180,'CIOG'!$B$10:$B$14,0))="","Cell will autofill based on response",INDEX('CIOG'!$P$10:$P$14,MATCH($F180,'CIOG'!$B$10:$B$14,0))),"N/A")</f>
        <v/>
      </c>
      <c r="R180" s="52">
        <f>IFERROR(IF(INDEX('MRE'!$P$10:$P$18,MATCH($F180,'MRE'!$B$10:$B$18,0))="","Cell will autofill based on response",INDEX('MRE'!$P$10:$P$18,MATCH($F180,'MRE'!$B$10:$B$18,0))),"N/A")</f>
        <v/>
      </c>
      <c r="S180" s="52">
        <f>IFERROR(IF(INDEX('AC&amp;M'!$P$10:$P$14,MATCH($F180,'AC&amp;M'!$B$10:$B$14,0))="","Cell will autofill based on response",INDEX('AC&amp;M'!$P$10:$P$14,MATCH($F180,'AC&amp;M'!$B$10:$B$14,0))),"N/A")</f>
        <v/>
      </c>
      <c r="T180" s="52">
        <f>IFERROR(IF(INDEX('GCE'!$P$10:$P$12,MATCH($F180,'GCE'!$B$10:$B$12,0))="","Cell will autofill based on response",INDEX('GCE'!$P$10:$P$12,MATCH($F180,'GCE'!$B$10:$B$12,0))),"N/A")</f>
        <v/>
      </c>
      <c r="U180" s="52">
        <f>IFERROR(IF(INDEX('Education'!$P$10:$P$13,MATCH($F180,'Education'!$B$10:$B$13,0))="","Cell will autofill based on response",INDEX('Education'!$P$10:$P$13,MATCH($F180,'Education'!$B$10:$B$13,0))),"N/A")</f>
        <v/>
      </c>
      <c r="V180" s="52">
        <f>IFERROR(IF(INDEX('SaSS'!$P$10:$P$12,MATCH($F180,'SaSS'!$B$10:$B$12,0))="","Cell will autofill based on response",INDEX('SaSS'!$P$10:$P$12,MATCH($F180,'SaSS'!$B$10:$B$12,0))),"N/A")</f>
        <v/>
      </c>
      <c r="W180" s="52">
        <f>IFERROR(IF(INDEX('Indigenous'!$P$10:$P$11,MATCH($F180,'Indigenous'!$B$10:$B$11,0))="","Cell will autofill based on response",INDEX('Indigenous'!$P$10:$P$11,MATCH($F180,'Indigenous'!$B$10:$B$11,0))),"N/A")</f>
        <v/>
      </c>
      <c r="X180" s="52">
        <f>IFERROR(IF(INDEX('L&amp;R'!$P$10:$P$11,MATCH($F180,'L&amp;R'!$B$10:$B$11,0))="","Cell will autofill based on response",INDEX('L&amp;R'!$P$10:$P$11,MATCH($F180,'L&amp;R'!$B$10:$B$11,0))),"N/A")</f>
        <v/>
      </c>
    </row>
    <row r="181">
      <c r="A181">
        <f>F181&amp;"|"&amp;G181</f>
        <v/>
      </c>
      <c r="B181" s="7" t="inlineStr">
        <is>
          <t>EN1(a)</t>
        </is>
      </c>
      <c r="C181" s="50" t="inlineStr">
        <is>
          <t>Enablers</t>
        </is>
      </c>
      <c r="D181" s="50" t="inlineStr">
        <is>
          <t>Evidence of sustainability outcomes informed by Indigenous knowledges</t>
        </is>
      </c>
      <c r="E181" s="50"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50" t="inlineStr">
        <is>
          <t>EN1(a)</t>
        </is>
      </c>
      <c r="G181" s="50" t="inlineStr">
        <is>
          <t>OPTION 1:  Target-level reporting</t>
        </is>
      </c>
      <c r="H181" s="52">
        <f>IFERROR(IF(INDEX('Faculties'!$L$10:$L$19,MATCH($F181,'Faculties'!$B$10:$B$19,0))="","Cell will autofill based on response",INDEX('Faculties'!$L$10:$L$19,MATCH($F181,'Faculties'!$B$10:$B$19,0))),"N/A")</f>
        <v/>
      </c>
      <c r="I181" s="52">
        <f>IFERROR(IF(INDEX('Faculties'!$L$26:$L$35,MATCH($F181,'Faculties'!$B$26:$B$35,0))="","Cell will autofill based on response",INDEX('Faculties'!$L$26:$L$35,MATCH($F181,'Faculties'!$B$26:$B$35,0))),"N/A")</f>
        <v/>
      </c>
      <c r="J181" s="52">
        <f>IFERROR(IF(INDEX('Faculties'!$L$42:$L$51,MATCH($F181,'Faculties'!$B$42:$B$51,0))="","Cell will autofill based on response",INDEX('Faculties'!$L$42:$L$51,MATCH($F181,'Faculties'!$B$42:$B$51,0))),"N/A")</f>
        <v/>
      </c>
      <c r="K181" s="52">
        <f>IFERROR(IF(INDEX('Faculties'!$L$58:$L$67,MATCH($F181,'Faculties'!$B$58:$B$67,0))="","Cell will autofill based on response",INDEX('Faculties'!$L$58:$L$67,MATCH($F181,'Faculties'!$B$58:$B$67,0))),"N/A")</f>
        <v/>
      </c>
      <c r="L181" s="52">
        <f>IFERROR(IF(INDEX('CI&amp;S'!$L$10:$L$15,MATCH($F181,'CI&amp;S'!$B$10:$B$15,0))="","Cell will autofill based on response",INDEX('CI&amp;S'!$L$10:$L$15,MATCH($F181,'CI&amp;S'!$B$10:$B$15,0))),"N/A")</f>
        <v/>
      </c>
      <c r="M181" s="52">
        <f>IFERROR(IF(INDEX('CI&amp;S'!$L$22:$L$36,MATCH($F181,'CI&amp;S'!$B$22:$B$36,0))="","Cell will autofill based on response",INDEX('CI&amp;S'!$L$22:$L$36,MATCH($F181,'CI&amp;S'!$B$22:$B$36,0))),"N/A")</f>
        <v/>
      </c>
      <c r="N181" s="52">
        <f>IFERROR(IF(INDEX('CFOG'!$L$10:$L$16,MATCH($F181,'CFOG'!$B$10:$B$16,0))="","Cell will autofill based on response",INDEX('CFOG'!$L$10:$L$16,MATCH($F181,'CFOG'!$B$10:$B$16,0))),"N/A")</f>
        <v/>
      </c>
      <c r="O181" s="52">
        <f>IFERROR(IF(INDEX('CFOG'!$L$23:$L$24,MATCH($F181,'CFOG'!$B$23:$B$24,0))="","Cell will autofill based on response",INDEX('CFOG'!$L$23:$L$24,MATCH($F181,'CFOG'!$B$23:$B$24,0))),"N/A")</f>
        <v/>
      </c>
      <c r="P181" s="52">
        <f>IFERROR(IF(INDEX('ESG'!$L$10:$L$17,MATCH($F181,'ESG'!$B$10:$B$17,0))="","Cell will autofill based on response",INDEX('ESG'!$L$10:$L$17,MATCH($F181,'ESG'!$B$10:$B$17,0))),"N/A")</f>
        <v/>
      </c>
      <c r="Q181" s="52">
        <f>IFERROR(IF(INDEX('CIOG'!$L$10:$L$14,MATCH($F181,'CIOG'!$B$10:$B$14,0))="","Cell will autofill based on response",INDEX('CIOG'!$L$10:$L$14,MATCH($F181,'CIOG'!$B$10:$B$14,0))),"N/A")</f>
        <v/>
      </c>
      <c r="R181" s="52">
        <f>IFERROR(IF(INDEX('MRE'!$L$10:$L$18,MATCH($F181,'MRE'!$B$10:$B$18,0))="","Cell will autofill based on response",INDEX('MRE'!$L$10:$L$18,MATCH($F181,'MRE'!$B$10:$B$18,0))),"N/A")</f>
        <v/>
      </c>
      <c r="S181" s="52">
        <f>IFERROR(IF(INDEX('AC&amp;M'!$L$10:$L$14,MATCH($F181,'AC&amp;M'!$B$10:$B$14,0))="","Cell will autofill based on response",INDEX('AC&amp;M'!$L$10:$L$14,MATCH($F181,'AC&amp;M'!$B$10:$B$14,0))),"N/A")</f>
        <v/>
      </c>
      <c r="T181" s="52">
        <f>IFERROR(IF(INDEX('GCE'!$L$10:$L$12,MATCH($F181,'GCE'!$B$10:$B$12,0))="","Cell will autofill based on response",INDEX('GCE'!$L$10:$L$12,MATCH($F181,'GCE'!$B$10:$B$12,0))),"N/A")</f>
        <v/>
      </c>
      <c r="U181" s="52">
        <f>IFERROR(IF(INDEX('Education'!$L$10:$L$13,MATCH($F181,'Education'!$B$10:$B$13,0))="","Cell will autofill based on response",INDEX('Education'!$L$10:$L$13,MATCH($F181,'Education'!$B$10:$B$13,0))),"N/A")</f>
        <v/>
      </c>
      <c r="V181" s="52">
        <f>IFERROR(IF(INDEX('SaSS'!$L$10:$L$12,MATCH($F181,'SaSS'!$B$10:$B$12,0))="","Cell will autofill based on response",INDEX('SaSS'!$L$10:$L$12,MATCH($F181,'SaSS'!$B$10:$B$12,0))),"N/A")</f>
        <v/>
      </c>
      <c r="W181" s="52">
        <f>IFERROR(IF(INDEX('Indigenous'!$L$10:$L$11,MATCH($F181,'Indigenous'!$B$10:$B$11,0))="","Cell will autofill based on response",INDEX('Indigenous'!$L$10:$L$11,MATCH($F181,'Indigenous'!$B$10:$B$11,0))),"N/A")</f>
        <v/>
      </c>
      <c r="X181" s="52">
        <f>IFERROR(IF(INDEX('L&amp;R'!$L$10:$L$11,MATCH($F181,'L&amp;R'!$B$10:$B$11,0))="","Cell will autofill based on response",INDEX('L&amp;R'!$L$10:$L$11,MATCH($F181,'L&amp;R'!$B$10:$B$11,0))),"N/A")</f>
        <v/>
      </c>
      <c r="Z181" s="10">
        <f>SUMPRODUCT(--($H181:$X181&lt;&gt;"N/A"))</f>
        <v/>
      </c>
      <c r="AA181" s="10">
        <f>SUMPRODUCT(--(((($H181:$X181&lt;&gt;"N/A")*($H181:$X181&lt;&gt;"Cell will autofill based on response"))+(($H182:$X182&lt;&gt;"N/A")*($H182:$X182&lt;&gt;"Cell will autofill based on response")))&gt;0))</f>
        <v/>
      </c>
      <c r="AB181" s="10">
        <f>Z181-AA181</f>
        <v/>
      </c>
      <c r="AC181" s="10">
        <f>COUNTIF($H185:$X185,"Yes")</f>
        <v/>
      </c>
    </row>
    <row r="182">
      <c r="A182">
        <f>F182&amp;"|"&amp;G182</f>
        <v/>
      </c>
      <c r="B182" s="13" t="inlineStr"/>
      <c r="C182" s="8" t="inlineStr"/>
      <c r="D182" s="8" t="inlineStr"/>
      <c r="E182" s="8" t="inlineStr"/>
      <c r="F182" s="8" t="inlineStr">
        <is>
          <t>EN1(a)</t>
        </is>
      </c>
      <c r="G182" s="8" t="inlineStr">
        <is>
          <t>OPTION 2:  Indicator level reporting</t>
        </is>
      </c>
      <c r="H182" s="52">
        <f>IFERROR(IF(INDEX('Faculties'!$M$10:$M$19,MATCH($F182,'Faculties'!$B$10:$B$19,0))="","Cell will autofill based on response",INDEX('Faculties'!$M$10:$M$19,MATCH($F182,'Faculties'!$B$10:$B$19,0))),"N/A")</f>
        <v/>
      </c>
      <c r="I182" s="52">
        <f>IFERROR(IF(INDEX('Faculties'!$M$26:$M$35,MATCH($F182,'Faculties'!$B$26:$B$35,0))="","Cell will autofill based on response",INDEX('Faculties'!$M$26:$M$35,MATCH($F182,'Faculties'!$B$26:$B$35,0))),"N/A")</f>
        <v/>
      </c>
      <c r="J182" s="52">
        <f>IFERROR(IF(INDEX('Faculties'!$M$42:$M$51,MATCH($F182,'Faculties'!$B$42:$B$51,0))="","Cell will autofill based on response",INDEX('Faculties'!$M$42:$M$51,MATCH($F182,'Faculties'!$B$42:$B$51,0))),"N/A")</f>
        <v/>
      </c>
      <c r="K182" s="52">
        <f>IFERROR(IF(INDEX('Faculties'!$M$58:$M$67,MATCH($F182,'Faculties'!$B$58:$B$67,0))="","Cell will autofill based on response",INDEX('Faculties'!$M$58:$M$67,MATCH($F182,'Faculties'!$B$58:$B$67,0))),"N/A")</f>
        <v/>
      </c>
      <c r="L182" s="52">
        <f>IFERROR(IF(INDEX('CI&amp;S'!$M$10:$M$15,MATCH($F182,'CI&amp;S'!$B$10:$B$15,0))="","Cell will autofill based on response",INDEX('CI&amp;S'!$M$10:$M$15,MATCH($F182,'CI&amp;S'!$B$10:$B$15,0))),"N/A")</f>
        <v/>
      </c>
      <c r="M182" s="52">
        <f>IFERROR(IF(INDEX('CI&amp;S'!$M$22:$M$36,MATCH($F182,'CI&amp;S'!$B$22:$B$36,0))="","Cell will autofill based on response",INDEX('CI&amp;S'!$M$22:$M$36,MATCH($F182,'CI&amp;S'!$B$22:$B$36,0))),"N/A")</f>
        <v/>
      </c>
      <c r="N182" s="52">
        <f>IFERROR(IF(INDEX('CFOG'!$M$10:$M$16,MATCH($F182,'CFOG'!$B$10:$B$16,0))="","Cell will autofill based on response",INDEX('CFOG'!$M$10:$M$16,MATCH($F182,'CFOG'!$B$10:$B$16,0))),"N/A")</f>
        <v/>
      </c>
      <c r="O182" s="52">
        <f>IFERROR(IF(INDEX('CFOG'!$M$23:$M$24,MATCH($F182,'CFOG'!$B$23:$B$24,0))="","Cell will autofill based on response",INDEX('CFOG'!$M$23:$M$24,MATCH($F182,'CFOG'!$B$23:$B$24,0))),"N/A")</f>
        <v/>
      </c>
      <c r="P182" s="52">
        <f>IFERROR(IF(INDEX('ESG'!$M$10:$M$17,MATCH($F182,'ESG'!$B$10:$B$17,0))="","Cell will autofill based on response",INDEX('ESG'!$M$10:$M$17,MATCH($F182,'ESG'!$B$10:$B$17,0))),"N/A")</f>
        <v/>
      </c>
      <c r="Q182" s="52">
        <f>IFERROR(IF(INDEX('CIOG'!$M$10:$M$14,MATCH($F182,'CIOG'!$B$10:$B$14,0))="","Cell will autofill based on response",INDEX('CIOG'!$M$10:$M$14,MATCH($F182,'CIOG'!$B$10:$B$14,0))),"N/A")</f>
        <v/>
      </c>
      <c r="R182" s="52">
        <f>IFERROR(IF(INDEX('MRE'!$M$10:$M$18,MATCH($F182,'MRE'!$B$10:$B$18,0))="","Cell will autofill based on response",INDEX('MRE'!$M$10:$M$18,MATCH($F182,'MRE'!$B$10:$B$18,0))),"N/A")</f>
        <v/>
      </c>
      <c r="S182" s="52">
        <f>IFERROR(IF(INDEX('AC&amp;M'!$M$10:$M$14,MATCH($F182,'AC&amp;M'!$B$10:$B$14,0))="","Cell will autofill based on response",INDEX('AC&amp;M'!$M$10:$M$14,MATCH($F182,'AC&amp;M'!$B$10:$B$14,0))),"N/A")</f>
        <v/>
      </c>
      <c r="T182" s="52">
        <f>IFERROR(IF(INDEX('GCE'!$M$10:$M$12,MATCH($F182,'GCE'!$B$10:$B$12,0))="","Cell will autofill based on response",INDEX('GCE'!$M$10:$M$12,MATCH($F182,'GCE'!$B$10:$B$12,0))),"N/A")</f>
        <v/>
      </c>
      <c r="U182" s="52">
        <f>IFERROR(IF(INDEX('Education'!$M$10:$M$13,MATCH($F182,'Education'!$B$10:$B$13,0))="","Cell will autofill based on response",INDEX('Education'!$M$10:$M$13,MATCH($F182,'Education'!$B$10:$B$13,0))),"N/A")</f>
        <v/>
      </c>
      <c r="V182" s="52">
        <f>IFERROR(IF(INDEX('SaSS'!$M$10:$M$12,MATCH($F182,'SaSS'!$B$10:$B$12,0))="","Cell will autofill based on response",INDEX('SaSS'!$M$10:$M$12,MATCH($F182,'SaSS'!$B$10:$B$12,0))),"N/A")</f>
        <v/>
      </c>
      <c r="W182" s="52">
        <f>IFERROR(IF(INDEX('Indigenous'!$M$10:$M$11,MATCH($F182,'Indigenous'!$B$10:$B$11,0))="","Cell will autofill based on response",INDEX('Indigenous'!$M$10:$M$11,MATCH($F182,'Indigenous'!$B$10:$B$11,0))),"N/A")</f>
        <v/>
      </c>
      <c r="X182" s="52">
        <f>IFERROR(IF(INDEX('L&amp;R'!$M$10:$M$11,MATCH($F182,'L&amp;R'!$B$10:$B$11,0))="","Cell will autofill based on response",INDEX('L&amp;R'!$M$10:$M$11,MATCH($F182,'L&amp;R'!$B$10:$B$11,0))),"N/A")</f>
        <v/>
      </c>
    </row>
    <row r="183">
      <c r="A183">
        <f>F183&amp;"|"&amp;G183</f>
        <v/>
      </c>
      <c r="B183" s="13" t="inlineStr"/>
      <c r="C183" s="8" t="inlineStr"/>
      <c r="D183" s="8" t="inlineStr"/>
      <c r="E183" s="8" t="inlineStr"/>
      <c r="F183" s="8" t="inlineStr">
        <is>
          <t>EN1(a)</t>
        </is>
      </c>
      <c r="G183" s="8" t="inlineStr">
        <is>
          <t>Supporting information/comments</t>
        </is>
      </c>
      <c r="H183" s="52">
        <f>IFERROR(IF(INDEX('Faculties'!$N$10:$N$19,MATCH($F183,'Faculties'!$B$10:$B$19,0))="","Cell will autofill based on response",INDEX('Faculties'!$N$10:$N$19,MATCH($F183,'Faculties'!$B$10:$B$19,0))),"N/A")</f>
        <v/>
      </c>
      <c r="I183" s="52">
        <f>IFERROR(IF(INDEX('Faculties'!$N$26:$N$35,MATCH($F183,'Faculties'!$B$26:$B$35,0))="","Cell will autofill based on response",INDEX('Faculties'!$N$26:$N$35,MATCH($F183,'Faculties'!$B$26:$B$35,0))),"N/A")</f>
        <v/>
      </c>
      <c r="J183" s="52">
        <f>IFERROR(IF(INDEX('Faculties'!$N$42:$N$51,MATCH($F183,'Faculties'!$B$42:$B$51,0))="","Cell will autofill based on response",INDEX('Faculties'!$N$42:$N$51,MATCH($F183,'Faculties'!$B$42:$B$51,0))),"N/A")</f>
        <v/>
      </c>
      <c r="K183" s="52">
        <f>IFERROR(IF(INDEX('Faculties'!$N$58:$N$67,MATCH($F183,'Faculties'!$B$58:$B$67,0))="","Cell will autofill based on response",INDEX('Faculties'!$N$58:$N$67,MATCH($F183,'Faculties'!$B$58:$B$67,0))),"N/A")</f>
        <v/>
      </c>
      <c r="L183" s="52">
        <f>IFERROR(IF(INDEX('CI&amp;S'!$N$10:$N$15,MATCH($F183,'CI&amp;S'!$B$10:$B$15,0))="","Cell will autofill based on response",INDEX('CI&amp;S'!$N$10:$N$15,MATCH($F183,'CI&amp;S'!$B$10:$B$15,0))),"N/A")</f>
        <v/>
      </c>
      <c r="M183" s="52">
        <f>IFERROR(IF(INDEX('CI&amp;S'!$N$22:$N$36,MATCH($F183,'CI&amp;S'!$B$22:$B$36,0))="","Cell will autofill based on response",INDEX('CI&amp;S'!$N$22:$N$36,MATCH($F183,'CI&amp;S'!$B$22:$B$36,0))),"N/A")</f>
        <v/>
      </c>
      <c r="N183" s="52">
        <f>IFERROR(IF(INDEX('CFOG'!$N$10:$N$16,MATCH($F183,'CFOG'!$B$10:$B$16,0))="","Cell will autofill based on response",INDEX('CFOG'!$N$10:$N$16,MATCH($F183,'CFOG'!$B$10:$B$16,0))),"N/A")</f>
        <v/>
      </c>
      <c r="O183" s="52">
        <f>IFERROR(IF(INDEX('CFOG'!$N$23:$N$24,MATCH($F183,'CFOG'!$B$23:$B$24,0))="","Cell will autofill based on response",INDEX('CFOG'!$N$23:$N$24,MATCH($F183,'CFOG'!$B$23:$B$24,0))),"N/A")</f>
        <v/>
      </c>
      <c r="P183" s="52">
        <f>IFERROR(IF(INDEX('ESG'!$N$10:$N$17,MATCH($F183,'ESG'!$B$10:$B$17,0))="","Cell will autofill based on response",INDEX('ESG'!$N$10:$N$17,MATCH($F183,'ESG'!$B$10:$B$17,0))),"N/A")</f>
        <v/>
      </c>
      <c r="Q183" s="52">
        <f>IFERROR(IF(INDEX('CIOG'!$N$10:$N$14,MATCH($F183,'CIOG'!$B$10:$B$14,0))="","Cell will autofill based on response",INDEX('CIOG'!$N$10:$N$14,MATCH($F183,'CIOG'!$B$10:$B$14,0))),"N/A")</f>
        <v/>
      </c>
      <c r="R183" s="52">
        <f>IFERROR(IF(INDEX('MRE'!$N$10:$N$18,MATCH($F183,'MRE'!$B$10:$B$18,0))="","Cell will autofill based on response",INDEX('MRE'!$N$10:$N$18,MATCH($F183,'MRE'!$B$10:$B$18,0))),"N/A")</f>
        <v/>
      </c>
      <c r="S183" s="52">
        <f>IFERROR(IF(INDEX('AC&amp;M'!$N$10:$N$14,MATCH($F183,'AC&amp;M'!$B$10:$B$14,0))="","Cell will autofill based on response",INDEX('AC&amp;M'!$N$10:$N$14,MATCH($F183,'AC&amp;M'!$B$10:$B$14,0))),"N/A")</f>
        <v/>
      </c>
      <c r="T183" s="52">
        <f>IFERROR(IF(INDEX('GCE'!$N$10:$N$12,MATCH($F183,'GCE'!$B$10:$B$12,0))="","Cell will autofill based on response",INDEX('GCE'!$N$10:$N$12,MATCH($F183,'GCE'!$B$10:$B$12,0))),"N/A")</f>
        <v/>
      </c>
      <c r="U183" s="52">
        <f>IFERROR(IF(INDEX('Education'!$N$10:$N$13,MATCH($F183,'Education'!$B$10:$B$13,0))="","Cell will autofill based on response",INDEX('Education'!$N$10:$N$13,MATCH($F183,'Education'!$B$10:$B$13,0))),"N/A")</f>
        <v/>
      </c>
      <c r="V183" s="52">
        <f>IFERROR(IF(INDEX('SaSS'!$N$10:$N$12,MATCH($F183,'SaSS'!$B$10:$B$12,0))="","Cell will autofill based on response",INDEX('SaSS'!$N$10:$N$12,MATCH($F183,'SaSS'!$B$10:$B$12,0))),"N/A")</f>
        <v/>
      </c>
      <c r="W183" s="52">
        <f>IFERROR(IF(INDEX('Indigenous'!$N$10:$N$11,MATCH($F183,'Indigenous'!$B$10:$B$11,0))="","Cell will autofill based on response",INDEX('Indigenous'!$N$10:$N$11,MATCH($F183,'Indigenous'!$B$10:$B$11,0))),"N/A")</f>
        <v/>
      </c>
      <c r="X183" s="52">
        <f>IFERROR(IF(INDEX('L&amp;R'!$N$10:$N$11,MATCH($F183,'L&amp;R'!$B$10:$B$11,0))="","Cell will autofill based on response",INDEX('L&amp;R'!$N$10:$N$11,MATCH($F183,'L&amp;R'!$B$10:$B$11,0))),"N/A")</f>
        <v/>
      </c>
    </row>
    <row r="184">
      <c r="A184">
        <f>F184&amp;"|"&amp;G184</f>
        <v/>
      </c>
      <c r="B184" s="13" t="inlineStr"/>
      <c r="C184" s="8" t="inlineStr"/>
      <c r="D184" s="8" t="inlineStr"/>
      <c r="E184" s="8" t="inlineStr"/>
      <c r="F184" s="8" t="inlineStr">
        <is>
          <t>EN1(a)</t>
        </is>
      </c>
      <c r="G184" s="8" t="inlineStr">
        <is>
          <t>Data source and limitations</t>
        </is>
      </c>
      <c r="H184" s="52">
        <f>IFERROR(IF(INDEX('Faculties'!$O$10:$O$19,MATCH($F184,'Faculties'!$B$10:$B$19,0))="","Cell will autofill based on response",INDEX('Faculties'!$O$10:$O$19,MATCH($F184,'Faculties'!$B$10:$B$19,0))),"N/A")</f>
        <v/>
      </c>
      <c r="I184" s="52">
        <f>IFERROR(IF(INDEX('Faculties'!$O$26:$O$35,MATCH($F184,'Faculties'!$B$26:$B$35,0))="","Cell will autofill based on response",INDEX('Faculties'!$O$26:$O$35,MATCH($F184,'Faculties'!$B$26:$B$35,0))),"N/A")</f>
        <v/>
      </c>
      <c r="J184" s="52">
        <f>IFERROR(IF(INDEX('Faculties'!$O$42:$O$51,MATCH($F184,'Faculties'!$B$42:$B$51,0))="","Cell will autofill based on response",INDEX('Faculties'!$O$42:$O$51,MATCH($F184,'Faculties'!$B$42:$B$51,0))),"N/A")</f>
        <v/>
      </c>
      <c r="K184" s="52">
        <f>IFERROR(IF(INDEX('Faculties'!$O$58:$O$67,MATCH($F184,'Faculties'!$B$58:$B$67,0))="","Cell will autofill based on response",INDEX('Faculties'!$O$58:$O$67,MATCH($F184,'Faculties'!$B$58:$B$67,0))),"N/A")</f>
        <v/>
      </c>
      <c r="L184" s="52">
        <f>IFERROR(IF(INDEX('CI&amp;S'!$O$10:$O$15,MATCH($F184,'CI&amp;S'!$B$10:$B$15,0))="","Cell will autofill based on response",INDEX('CI&amp;S'!$O$10:$O$15,MATCH($F184,'CI&amp;S'!$B$10:$B$15,0))),"N/A")</f>
        <v/>
      </c>
      <c r="M184" s="52">
        <f>IFERROR(IF(INDEX('CI&amp;S'!$O$22:$O$36,MATCH($F184,'CI&amp;S'!$B$22:$B$36,0))="","Cell will autofill based on response",INDEX('CI&amp;S'!$O$22:$O$36,MATCH($F184,'CI&amp;S'!$B$22:$B$36,0))),"N/A")</f>
        <v/>
      </c>
      <c r="N184" s="52">
        <f>IFERROR(IF(INDEX('CFOG'!$O$10:$O$16,MATCH($F184,'CFOG'!$B$10:$B$16,0))="","Cell will autofill based on response",INDEX('CFOG'!$O$10:$O$16,MATCH($F184,'CFOG'!$B$10:$B$16,0))),"N/A")</f>
        <v/>
      </c>
      <c r="O184" s="52">
        <f>IFERROR(IF(INDEX('CFOG'!$O$23:$O$24,MATCH($F184,'CFOG'!$B$23:$B$24,0))="","Cell will autofill based on response",INDEX('CFOG'!$O$23:$O$24,MATCH($F184,'CFOG'!$B$23:$B$24,0))),"N/A")</f>
        <v/>
      </c>
      <c r="P184" s="52">
        <f>IFERROR(IF(INDEX('ESG'!$O$10:$O$17,MATCH($F184,'ESG'!$B$10:$B$17,0))="","Cell will autofill based on response",INDEX('ESG'!$O$10:$O$17,MATCH($F184,'ESG'!$B$10:$B$17,0))),"N/A")</f>
        <v/>
      </c>
      <c r="Q184" s="52">
        <f>IFERROR(IF(INDEX('CIOG'!$O$10:$O$14,MATCH($F184,'CIOG'!$B$10:$B$14,0))="","Cell will autofill based on response",INDEX('CIOG'!$O$10:$O$14,MATCH($F184,'CIOG'!$B$10:$B$14,0))),"N/A")</f>
        <v/>
      </c>
      <c r="R184" s="52">
        <f>IFERROR(IF(INDEX('MRE'!$O$10:$O$18,MATCH($F184,'MRE'!$B$10:$B$18,0))="","Cell will autofill based on response",INDEX('MRE'!$O$10:$O$18,MATCH($F184,'MRE'!$B$10:$B$18,0))),"N/A")</f>
        <v/>
      </c>
      <c r="S184" s="52">
        <f>IFERROR(IF(INDEX('AC&amp;M'!$O$10:$O$14,MATCH($F184,'AC&amp;M'!$B$10:$B$14,0))="","Cell will autofill based on response",INDEX('AC&amp;M'!$O$10:$O$14,MATCH($F184,'AC&amp;M'!$B$10:$B$14,0))),"N/A")</f>
        <v/>
      </c>
      <c r="T184" s="52">
        <f>IFERROR(IF(INDEX('GCE'!$O$10:$O$12,MATCH($F184,'GCE'!$B$10:$B$12,0))="","Cell will autofill based on response",INDEX('GCE'!$O$10:$O$12,MATCH($F184,'GCE'!$B$10:$B$12,0))),"N/A")</f>
        <v/>
      </c>
      <c r="U184" s="52">
        <f>IFERROR(IF(INDEX('Education'!$O$10:$O$13,MATCH($F184,'Education'!$B$10:$B$13,0))="","Cell will autofill based on response",INDEX('Education'!$O$10:$O$13,MATCH($F184,'Education'!$B$10:$B$13,0))),"N/A")</f>
        <v/>
      </c>
      <c r="V184" s="52">
        <f>IFERROR(IF(INDEX('SaSS'!$O$10:$O$12,MATCH($F184,'SaSS'!$B$10:$B$12,0))="","Cell will autofill based on response",INDEX('SaSS'!$O$10:$O$12,MATCH($F184,'SaSS'!$B$10:$B$12,0))),"N/A")</f>
        <v/>
      </c>
      <c r="W184" s="52">
        <f>IFERROR(IF(INDEX('Indigenous'!$O$10:$O$11,MATCH($F184,'Indigenous'!$B$10:$B$11,0))="","Cell will autofill based on response",INDEX('Indigenous'!$O$10:$O$11,MATCH($F184,'Indigenous'!$B$10:$B$11,0))),"N/A")</f>
        <v/>
      </c>
      <c r="X184" s="52">
        <f>IFERROR(IF(INDEX('L&amp;R'!$O$10:$O$11,MATCH($F184,'L&amp;R'!$B$10:$B$11,0))="","Cell will autofill based on response",INDEX('L&amp;R'!$O$10:$O$11,MATCH($F184,'L&amp;R'!$B$10:$B$11,0))),"N/A")</f>
        <v/>
      </c>
    </row>
    <row r="185">
      <c r="A185">
        <f>F185&amp;"|"&amp;G185</f>
        <v/>
      </c>
      <c r="B185" s="13" t="inlineStr"/>
      <c r="C185" s="8" t="inlineStr"/>
      <c r="D185" s="8" t="inlineStr"/>
      <c r="E185" s="8" t="inlineStr"/>
      <c r="F185" s="8" t="inlineStr">
        <is>
          <t>EN1(a)</t>
        </is>
      </c>
      <c r="G185" s="8" t="inlineStr">
        <is>
          <t>Data owner confirms</t>
        </is>
      </c>
      <c r="H185" s="52">
        <f>IFERROR(IF(INDEX('Faculties'!$P$10:$P$19,MATCH($F185,'Faculties'!$B$10:$B$19,0))="","Cell will autofill based on response",INDEX('Faculties'!$P$10:$P$19,MATCH($F185,'Faculties'!$B$10:$B$19,0))),"N/A")</f>
        <v/>
      </c>
      <c r="I185" s="52">
        <f>IFERROR(IF(INDEX('Faculties'!$P$26:$P$35,MATCH($F185,'Faculties'!$B$26:$B$35,0))="","Cell will autofill based on response",INDEX('Faculties'!$P$26:$P$35,MATCH($F185,'Faculties'!$B$26:$B$35,0))),"N/A")</f>
        <v/>
      </c>
      <c r="J185" s="52">
        <f>IFERROR(IF(INDEX('Faculties'!$P$42:$P$51,MATCH($F185,'Faculties'!$B$42:$B$51,0))="","Cell will autofill based on response",INDEX('Faculties'!$P$42:$P$51,MATCH($F185,'Faculties'!$B$42:$B$51,0))),"N/A")</f>
        <v/>
      </c>
      <c r="K185" s="52">
        <f>IFERROR(IF(INDEX('Faculties'!$P$58:$P$67,MATCH($F185,'Faculties'!$B$58:$B$67,0))="","Cell will autofill based on response",INDEX('Faculties'!$P$58:$P$67,MATCH($F185,'Faculties'!$B$58:$B$67,0))),"N/A")</f>
        <v/>
      </c>
      <c r="L185" s="52">
        <f>IFERROR(IF(INDEX('CI&amp;S'!$P$10:$P$15,MATCH($F185,'CI&amp;S'!$B$10:$B$15,0))="","Cell will autofill based on response",INDEX('CI&amp;S'!$P$10:$P$15,MATCH($F185,'CI&amp;S'!$B$10:$B$15,0))),"N/A")</f>
        <v/>
      </c>
      <c r="M185" s="52">
        <f>IFERROR(IF(INDEX('CI&amp;S'!$P$22:$P$36,MATCH($F185,'CI&amp;S'!$B$22:$B$36,0))="","Cell will autofill based on response",INDEX('CI&amp;S'!$P$22:$P$36,MATCH($F185,'CI&amp;S'!$B$22:$B$36,0))),"N/A")</f>
        <v/>
      </c>
      <c r="N185" s="52">
        <f>IFERROR(IF(INDEX('CFOG'!$P$10:$P$16,MATCH($F185,'CFOG'!$B$10:$B$16,0))="","Cell will autofill based on response",INDEX('CFOG'!$P$10:$P$16,MATCH($F185,'CFOG'!$B$10:$B$16,0))),"N/A")</f>
        <v/>
      </c>
      <c r="O185" s="52">
        <f>IFERROR(IF(INDEX('CFOG'!$P$23:$P$24,MATCH($F185,'CFOG'!$B$23:$B$24,0))="","Cell will autofill based on response",INDEX('CFOG'!$P$23:$P$24,MATCH($F185,'CFOG'!$B$23:$B$24,0))),"N/A")</f>
        <v/>
      </c>
      <c r="P185" s="52">
        <f>IFERROR(IF(INDEX('ESG'!$P$10:$P$17,MATCH($F185,'ESG'!$B$10:$B$17,0))="","Cell will autofill based on response",INDEX('ESG'!$P$10:$P$17,MATCH($F185,'ESG'!$B$10:$B$17,0))),"N/A")</f>
        <v/>
      </c>
      <c r="Q185" s="52">
        <f>IFERROR(IF(INDEX('CIOG'!$P$10:$P$14,MATCH($F185,'CIOG'!$B$10:$B$14,0))="","Cell will autofill based on response",INDEX('CIOG'!$P$10:$P$14,MATCH($F185,'CIOG'!$B$10:$B$14,0))),"N/A")</f>
        <v/>
      </c>
      <c r="R185" s="52">
        <f>IFERROR(IF(INDEX('MRE'!$P$10:$P$18,MATCH($F185,'MRE'!$B$10:$B$18,0))="","Cell will autofill based on response",INDEX('MRE'!$P$10:$P$18,MATCH($F185,'MRE'!$B$10:$B$18,0))),"N/A")</f>
        <v/>
      </c>
      <c r="S185" s="52">
        <f>IFERROR(IF(INDEX('AC&amp;M'!$P$10:$P$14,MATCH($F185,'AC&amp;M'!$B$10:$B$14,0))="","Cell will autofill based on response",INDEX('AC&amp;M'!$P$10:$P$14,MATCH($F185,'AC&amp;M'!$B$10:$B$14,0))),"N/A")</f>
        <v/>
      </c>
      <c r="T185" s="52">
        <f>IFERROR(IF(INDEX('GCE'!$P$10:$P$12,MATCH($F185,'GCE'!$B$10:$B$12,0))="","Cell will autofill based on response",INDEX('GCE'!$P$10:$P$12,MATCH($F185,'GCE'!$B$10:$B$12,0))),"N/A")</f>
        <v/>
      </c>
      <c r="U185" s="52">
        <f>IFERROR(IF(INDEX('Education'!$P$10:$P$13,MATCH($F185,'Education'!$B$10:$B$13,0))="","Cell will autofill based on response",INDEX('Education'!$P$10:$P$13,MATCH($F185,'Education'!$B$10:$B$13,0))),"N/A")</f>
        <v/>
      </c>
      <c r="V185" s="52">
        <f>IFERROR(IF(INDEX('SaSS'!$P$10:$P$12,MATCH($F185,'SaSS'!$B$10:$B$12,0))="","Cell will autofill based on response",INDEX('SaSS'!$P$10:$P$12,MATCH($F185,'SaSS'!$B$10:$B$12,0))),"N/A")</f>
        <v/>
      </c>
      <c r="W185" s="52">
        <f>IFERROR(IF(INDEX('Indigenous'!$P$10:$P$11,MATCH($F185,'Indigenous'!$B$10:$B$11,0))="","Cell will autofill based on response",INDEX('Indigenous'!$P$10:$P$11,MATCH($F185,'Indigenous'!$B$10:$B$11,0))),"N/A")</f>
        <v/>
      </c>
      <c r="X185" s="52">
        <f>IFERROR(IF(INDEX('L&amp;R'!$P$10:$P$11,MATCH($F185,'L&amp;R'!$B$10:$B$11,0))="","Cell will autofill based on response",INDEX('L&amp;R'!$P$10:$P$11,MATCH($F185,'L&amp;R'!$B$10:$B$11,0))),"N/A")</f>
        <v/>
      </c>
    </row>
    <row r="186">
      <c r="A186">
        <f>F186&amp;"|"&amp;G186</f>
        <v/>
      </c>
      <c r="B186" s="7" t="inlineStr">
        <is>
          <t>EN1(b)</t>
        </is>
      </c>
      <c r="C186" s="50" t="inlineStr">
        <is>
          <t>Enablers</t>
        </is>
      </c>
      <c r="D186" s="50" t="inlineStr">
        <is>
          <t>Living laboratories enabling applied learning, research and operational sustainability outcomes</t>
        </is>
      </c>
      <c r="E186" s="50" t="inlineStr">
        <is>
          <t>Comment on living labs in the Faculty - outputs, outcomes, and impact</t>
        </is>
      </c>
      <c r="F186" s="50" t="inlineStr">
        <is>
          <t>EN1(b)</t>
        </is>
      </c>
      <c r="G186" s="50" t="inlineStr">
        <is>
          <t>OPTION 1:  Target-level reporting</t>
        </is>
      </c>
      <c r="H186" s="52">
        <f>IFERROR(IF(INDEX('Faculties'!$L$10:$L$19,MATCH($F186,'Faculties'!$B$10:$B$19,0))="","Cell will autofill based on response",INDEX('Faculties'!$L$10:$L$19,MATCH($F186,'Faculties'!$B$10:$B$19,0))),"N/A")</f>
        <v/>
      </c>
      <c r="I186" s="52">
        <f>IFERROR(IF(INDEX('Faculties'!$L$26:$L$35,MATCH($F186,'Faculties'!$B$26:$B$35,0))="","Cell will autofill based on response",INDEX('Faculties'!$L$26:$L$35,MATCH($F186,'Faculties'!$B$26:$B$35,0))),"N/A")</f>
        <v/>
      </c>
      <c r="J186" s="52">
        <f>IFERROR(IF(INDEX('Faculties'!$L$42:$L$51,MATCH($F186,'Faculties'!$B$42:$B$51,0))="","Cell will autofill based on response",INDEX('Faculties'!$L$42:$L$51,MATCH($F186,'Faculties'!$B$42:$B$51,0))),"N/A")</f>
        <v/>
      </c>
      <c r="K186" s="52">
        <f>IFERROR(IF(INDEX('Faculties'!$L$58:$L$67,MATCH($F186,'Faculties'!$B$58:$B$67,0))="","Cell will autofill based on response",INDEX('Faculties'!$L$58:$L$67,MATCH($F186,'Faculties'!$B$58:$B$67,0))),"N/A")</f>
        <v/>
      </c>
      <c r="L186" s="52">
        <f>IFERROR(IF(INDEX('CI&amp;S'!$L$10:$L$15,MATCH($F186,'CI&amp;S'!$B$10:$B$15,0))="","Cell will autofill based on response",INDEX('CI&amp;S'!$L$10:$L$15,MATCH($F186,'CI&amp;S'!$B$10:$B$15,0))),"N/A")</f>
        <v/>
      </c>
      <c r="M186" s="52">
        <f>IFERROR(IF(INDEX('CI&amp;S'!$L$22:$L$36,MATCH($F186,'CI&amp;S'!$B$22:$B$36,0))="","Cell will autofill based on response",INDEX('CI&amp;S'!$L$22:$L$36,MATCH($F186,'CI&amp;S'!$B$22:$B$36,0))),"N/A")</f>
        <v/>
      </c>
      <c r="N186" s="52">
        <f>IFERROR(IF(INDEX('CFOG'!$L$10:$L$16,MATCH($F186,'CFOG'!$B$10:$B$16,0))="","Cell will autofill based on response",INDEX('CFOG'!$L$10:$L$16,MATCH($F186,'CFOG'!$B$10:$B$16,0))),"N/A")</f>
        <v/>
      </c>
      <c r="O186" s="52">
        <f>IFERROR(IF(INDEX('CFOG'!$L$23:$L$24,MATCH($F186,'CFOG'!$B$23:$B$24,0))="","Cell will autofill based on response",INDEX('CFOG'!$L$23:$L$24,MATCH($F186,'CFOG'!$B$23:$B$24,0))),"N/A")</f>
        <v/>
      </c>
      <c r="P186" s="52">
        <f>IFERROR(IF(INDEX('ESG'!$L$10:$L$17,MATCH($F186,'ESG'!$B$10:$B$17,0))="","Cell will autofill based on response",INDEX('ESG'!$L$10:$L$17,MATCH($F186,'ESG'!$B$10:$B$17,0))),"N/A")</f>
        <v/>
      </c>
      <c r="Q186" s="52">
        <f>IFERROR(IF(INDEX('CIOG'!$L$10:$L$14,MATCH($F186,'CIOG'!$B$10:$B$14,0))="","Cell will autofill based on response",INDEX('CIOG'!$L$10:$L$14,MATCH($F186,'CIOG'!$B$10:$B$14,0))),"N/A")</f>
        <v/>
      </c>
      <c r="R186" s="52">
        <f>IFERROR(IF(INDEX('MRE'!$L$10:$L$18,MATCH($F186,'MRE'!$B$10:$B$18,0))="","Cell will autofill based on response",INDEX('MRE'!$L$10:$L$18,MATCH($F186,'MRE'!$B$10:$B$18,0))),"N/A")</f>
        <v/>
      </c>
      <c r="S186" s="52">
        <f>IFERROR(IF(INDEX('AC&amp;M'!$L$10:$L$14,MATCH($F186,'AC&amp;M'!$B$10:$B$14,0))="","Cell will autofill based on response",INDEX('AC&amp;M'!$L$10:$L$14,MATCH($F186,'AC&amp;M'!$B$10:$B$14,0))),"N/A")</f>
        <v/>
      </c>
      <c r="T186" s="52">
        <f>IFERROR(IF(INDEX('GCE'!$L$10:$L$12,MATCH($F186,'GCE'!$B$10:$B$12,0))="","Cell will autofill based on response",INDEX('GCE'!$L$10:$L$12,MATCH($F186,'GCE'!$B$10:$B$12,0))),"N/A")</f>
        <v/>
      </c>
      <c r="U186" s="52">
        <f>IFERROR(IF(INDEX('Education'!$L$10:$L$13,MATCH($F186,'Education'!$B$10:$B$13,0))="","Cell will autofill based on response",INDEX('Education'!$L$10:$L$13,MATCH($F186,'Education'!$B$10:$B$13,0))),"N/A")</f>
        <v/>
      </c>
      <c r="V186" s="52">
        <f>IFERROR(IF(INDEX('SaSS'!$L$10:$L$12,MATCH($F186,'SaSS'!$B$10:$B$12,0))="","Cell will autofill based on response",INDEX('SaSS'!$L$10:$L$12,MATCH($F186,'SaSS'!$B$10:$B$12,0))),"N/A")</f>
        <v/>
      </c>
      <c r="W186" s="52">
        <f>IFERROR(IF(INDEX('Indigenous'!$L$10:$L$11,MATCH($F186,'Indigenous'!$B$10:$B$11,0))="","Cell will autofill based on response",INDEX('Indigenous'!$L$10:$L$11,MATCH($F186,'Indigenous'!$B$10:$B$11,0))),"N/A")</f>
        <v/>
      </c>
      <c r="X186" s="52">
        <f>IFERROR(IF(INDEX('L&amp;R'!$L$10:$L$11,MATCH($F186,'L&amp;R'!$B$10:$B$11,0))="","Cell will autofill based on response",INDEX('L&amp;R'!$L$10:$L$11,MATCH($F186,'L&amp;R'!$B$10:$B$11,0))),"N/A")</f>
        <v/>
      </c>
      <c r="Z186" s="10">
        <f>SUMPRODUCT(--($H186:$X186&lt;&gt;"N/A"))</f>
        <v/>
      </c>
      <c r="AA186" s="10">
        <f>SUMPRODUCT(--(((($H186:$X186&lt;&gt;"N/A")*($H186:$X186&lt;&gt;"Cell will autofill based on response"))+(($H187:$X187&lt;&gt;"N/A")*($H187:$X187&lt;&gt;"Cell will autofill based on response")))&gt;0))</f>
        <v/>
      </c>
      <c r="AB186" s="10">
        <f>Z186-AA186</f>
        <v/>
      </c>
      <c r="AC186" s="10">
        <f>COUNTIF($H190:$X190,"Yes")</f>
        <v/>
      </c>
    </row>
    <row r="187">
      <c r="A187">
        <f>F187&amp;"|"&amp;G187</f>
        <v/>
      </c>
      <c r="B187" s="13" t="inlineStr"/>
      <c r="C187" s="8" t="inlineStr"/>
      <c r="D187" s="8" t="inlineStr"/>
      <c r="E187" s="8" t="inlineStr"/>
      <c r="F187" s="8" t="inlineStr">
        <is>
          <t>EN1(b)</t>
        </is>
      </c>
      <c r="G187" s="8" t="inlineStr">
        <is>
          <t>OPTION 2:  Indicator level reporting</t>
        </is>
      </c>
      <c r="H187" s="52">
        <f>IFERROR(IF(INDEX('Faculties'!$M$10:$M$19,MATCH($F187,'Faculties'!$B$10:$B$19,0))="","Cell will autofill based on response",INDEX('Faculties'!$M$10:$M$19,MATCH($F187,'Faculties'!$B$10:$B$19,0))),"N/A")</f>
        <v/>
      </c>
      <c r="I187" s="52">
        <f>IFERROR(IF(INDEX('Faculties'!$M$26:$M$35,MATCH($F187,'Faculties'!$B$26:$B$35,0))="","Cell will autofill based on response",INDEX('Faculties'!$M$26:$M$35,MATCH($F187,'Faculties'!$B$26:$B$35,0))),"N/A")</f>
        <v/>
      </c>
      <c r="J187" s="52">
        <f>IFERROR(IF(INDEX('Faculties'!$M$42:$M$51,MATCH($F187,'Faculties'!$B$42:$B$51,0))="","Cell will autofill based on response",INDEX('Faculties'!$M$42:$M$51,MATCH($F187,'Faculties'!$B$42:$B$51,0))),"N/A")</f>
        <v/>
      </c>
      <c r="K187" s="52">
        <f>IFERROR(IF(INDEX('Faculties'!$M$58:$M$67,MATCH($F187,'Faculties'!$B$58:$B$67,0))="","Cell will autofill based on response",INDEX('Faculties'!$M$58:$M$67,MATCH($F187,'Faculties'!$B$58:$B$67,0))),"N/A")</f>
        <v/>
      </c>
      <c r="L187" s="52">
        <f>IFERROR(IF(INDEX('CI&amp;S'!$M$10:$M$15,MATCH($F187,'CI&amp;S'!$B$10:$B$15,0))="","Cell will autofill based on response",INDEX('CI&amp;S'!$M$10:$M$15,MATCH($F187,'CI&amp;S'!$B$10:$B$15,0))),"N/A")</f>
        <v/>
      </c>
      <c r="M187" s="52">
        <f>IFERROR(IF(INDEX('CI&amp;S'!$M$22:$M$36,MATCH($F187,'CI&amp;S'!$B$22:$B$36,0))="","Cell will autofill based on response",INDEX('CI&amp;S'!$M$22:$M$36,MATCH($F187,'CI&amp;S'!$B$22:$B$36,0))),"N/A")</f>
        <v/>
      </c>
      <c r="N187" s="52">
        <f>IFERROR(IF(INDEX('CFOG'!$M$10:$M$16,MATCH($F187,'CFOG'!$B$10:$B$16,0))="","Cell will autofill based on response",INDEX('CFOG'!$M$10:$M$16,MATCH($F187,'CFOG'!$B$10:$B$16,0))),"N/A")</f>
        <v/>
      </c>
      <c r="O187" s="52">
        <f>IFERROR(IF(INDEX('CFOG'!$M$23:$M$24,MATCH($F187,'CFOG'!$B$23:$B$24,0))="","Cell will autofill based on response",INDEX('CFOG'!$M$23:$M$24,MATCH($F187,'CFOG'!$B$23:$B$24,0))),"N/A")</f>
        <v/>
      </c>
      <c r="P187" s="52">
        <f>IFERROR(IF(INDEX('ESG'!$M$10:$M$17,MATCH($F187,'ESG'!$B$10:$B$17,0))="","Cell will autofill based on response",INDEX('ESG'!$M$10:$M$17,MATCH($F187,'ESG'!$B$10:$B$17,0))),"N/A")</f>
        <v/>
      </c>
      <c r="Q187" s="52">
        <f>IFERROR(IF(INDEX('CIOG'!$M$10:$M$14,MATCH($F187,'CIOG'!$B$10:$B$14,0))="","Cell will autofill based on response",INDEX('CIOG'!$M$10:$M$14,MATCH($F187,'CIOG'!$B$10:$B$14,0))),"N/A")</f>
        <v/>
      </c>
      <c r="R187" s="52">
        <f>IFERROR(IF(INDEX('MRE'!$M$10:$M$18,MATCH($F187,'MRE'!$B$10:$B$18,0))="","Cell will autofill based on response",INDEX('MRE'!$M$10:$M$18,MATCH($F187,'MRE'!$B$10:$B$18,0))),"N/A")</f>
        <v/>
      </c>
      <c r="S187" s="52">
        <f>IFERROR(IF(INDEX('AC&amp;M'!$M$10:$M$14,MATCH($F187,'AC&amp;M'!$B$10:$B$14,0))="","Cell will autofill based on response",INDEX('AC&amp;M'!$M$10:$M$14,MATCH($F187,'AC&amp;M'!$B$10:$B$14,0))),"N/A")</f>
        <v/>
      </c>
      <c r="T187" s="52">
        <f>IFERROR(IF(INDEX('GCE'!$M$10:$M$12,MATCH($F187,'GCE'!$B$10:$B$12,0))="","Cell will autofill based on response",INDEX('GCE'!$M$10:$M$12,MATCH($F187,'GCE'!$B$10:$B$12,0))),"N/A")</f>
        <v/>
      </c>
      <c r="U187" s="52">
        <f>IFERROR(IF(INDEX('Education'!$M$10:$M$13,MATCH($F187,'Education'!$B$10:$B$13,0))="","Cell will autofill based on response",INDEX('Education'!$M$10:$M$13,MATCH($F187,'Education'!$B$10:$B$13,0))),"N/A")</f>
        <v/>
      </c>
      <c r="V187" s="52">
        <f>IFERROR(IF(INDEX('SaSS'!$M$10:$M$12,MATCH($F187,'SaSS'!$B$10:$B$12,0))="","Cell will autofill based on response",INDEX('SaSS'!$M$10:$M$12,MATCH($F187,'SaSS'!$B$10:$B$12,0))),"N/A")</f>
        <v/>
      </c>
      <c r="W187" s="52">
        <f>IFERROR(IF(INDEX('Indigenous'!$M$10:$M$11,MATCH($F187,'Indigenous'!$B$10:$B$11,0))="","Cell will autofill based on response",INDEX('Indigenous'!$M$10:$M$11,MATCH($F187,'Indigenous'!$B$10:$B$11,0))),"N/A")</f>
        <v/>
      </c>
      <c r="X187" s="52">
        <f>IFERROR(IF(INDEX('L&amp;R'!$M$10:$M$11,MATCH($F187,'L&amp;R'!$B$10:$B$11,0))="","Cell will autofill based on response",INDEX('L&amp;R'!$M$10:$M$11,MATCH($F187,'L&amp;R'!$B$10:$B$11,0))),"N/A")</f>
        <v/>
      </c>
    </row>
    <row r="188">
      <c r="A188">
        <f>F188&amp;"|"&amp;G188</f>
        <v/>
      </c>
      <c r="B188" s="13" t="inlineStr"/>
      <c r="C188" s="8" t="inlineStr"/>
      <c r="D188" s="8" t="inlineStr"/>
      <c r="E188" s="8" t="inlineStr"/>
      <c r="F188" s="8" t="inlineStr">
        <is>
          <t>EN1(b)</t>
        </is>
      </c>
      <c r="G188" s="8" t="inlineStr">
        <is>
          <t>Supporting information/comments</t>
        </is>
      </c>
      <c r="H188" s="52">
        <f>IFERROR(IF(INDEX('Faculties'!$N$10:$N$19,MATCH($F188,'Faculties'!$B$10:$B$19,0))="","Cell will autofill based on response",INDEX('Faculties'!$N$10:$N$19,MATCH($F188,'Faculties'!$B$10:$B$19,0))),"N/A")</f>
        <v/>
      </c>
      <c r="I188" s="52">
        <f>IFERROR(IF(INDEX('Faculties'!$N$26:$N$35,MATCH($F188,'Faculties'!$B$26:$B$35,0))="","Cell will autofill based on response",INDEX('Faculties'!$N$26:$N$35,MATCH($F188,'Faculties'!$B$26:$B$35,0))),"N/A")</f>
        <v/>
      </c>
      <c r="J188" s="52">
        <f>IFERROR(IF(INDEX('Faculties'!$N$42:$N$51,MATCH($F188,'Faculties'!$B$42:$B$51,0))="","Cell will autofill based on response",INDEX('Faculties'!$N$42:$N$51,MATCH($F188,'Faculties'!$B$42:$B$51,0))),"N/A")</f>
        <v/>
      </c>
      <c r="K188" s="52">
        <f>IFERROR(IF(INDEX('Faculties'!$N$58:$N$67,MATCH($F188,'Faculties'!$B$58:$B$67,0))="","Cell will autofill based on response",INDEX('Faculties'!$N$58:$N$67,MATCH($F188,'Faculties'!$B$58:$B$67,0))),"N/A")</f>
        <v/>
      </c>
      <c r="L188" s="52">
        <f>IFERROR(IF(INDEX('CI&amp;S'!$N$10:$N$15,MATCH($F188,'CI&amp;S'!$B$10:$B$15,0))="","Cell will autofill based on response",INDEX('CI&amp;S'!$N$10:$N$15,MATCH($F188,'CI&amp;S'!$B$10:$B$15,0))),"N/A")</f>
        <v/>
      </c>
      <c r="M188" s="52">
        <f>IFERROR(IF(INDEX('CI&amp;S'!$N$22:$N$36,MATCH($F188,'CI&amp;S'!$B$22:$B$36,0))="","Cell will autofill based on response",INDEX('CI&amp;S'!$N$22:$N$36,MATCH($F188,'CI&amp;S'!$B$22:$B$36,0))),"N/A")</f>
        <v/>
      </c>
      <c r="N188" s="52">
        <f>IFERROR(IF(INDEX('CFOG'!$N$10:$N$16,MATCH($F188,'CFOG'!$B$10:$B$16,0))="","Cell will autofill based on response",INDEX('CFOG'!$N$10:$N$16,MATCH($F188,'CFOG'!$B$10:$B$16,0))),"N/A")</f>
        <v/>
      </c>
      <c r="O188" s="52">
        <f>IFERROR(IF(INDEX('CFOG'!$N$23:$N$24,MATCH($F188,'CFOG'!$B$23:$B$24,0))="","Cell will autofill based on response",INDEX('CFOG'!$N$23:$N$24,MATCH($F188,'CFOG'!$B$23:$B$24,0))),"N/A")</f>
        <v/>
      </c>
      <c r="P188" s="52">
        <f>IFERROR(IF(INDEX('ESG'!$N$10:$N$17,MATCH($F188,'ESG'!$B$10:$B$17,0))="","Cell will autofill based on response",INDEX('ESG'!$N$10:$N$17,MATCH($F188,'ESG'!$B$10:$B$17,0))),"N/A")</f>
        <v/>
      </c>
      <c r="Q188" s="52">
        <f>IFERROR(IF(INDEX('CIOG'!$N$10:$N$14,MATCH($F188,'CIOG'!$B$10:$B$14,0))="","Cell will autofill based on response",INDEX('CIOG'!$N$10:$N$14,MATCH($F188,'CIOG'!$B$10:$B$14,0))),"N/A")</f>
        <v/>
      </c>
      <c r="R188" s="52">
        <f>IFERROR(IF(INDEX('MRE'!$N$10:$N$18,MATCH($F188,'MRE'!$B$10:$B$18,0))="","Cell will autofill based on response",INDEX('MRE'!$N$10:$N$18,MATCH($F188,'MRE'!$B$10:$B$18,0))),"N/A")</f>
        <v/>
      </c>
      <c r="S188" s="52">
        <f>IFERROR(IF(INDEX('AC&amp;M'!$N$10:$N$14,MATCH($F188,'AC&amp;M'!$B$10:$B$14,0))="","Cell will autofill based on response",INDEX('AC&amp;M'!$N$10:$N$14,MATCH($F188,'AC&amp;M'!$B$10:$B$14,0))),"N/A")</f>
        <v/>
      </c>
      <c r="T188" s="52">
        <f>IFERROR(IF(INDEX('GCE'!$N$10:$N$12,MATCH($F188,'GCE'!$B$10:$B$12,0))="","Cell will autofill based on response",INDEX('GCE'!$N$10:$N$12,MATCH($F188,'GCE'!$B$10:$B$12,0))),"N/A")</f>
        <v/>
      </c>
      <c r="U188" s="52">
        <f>IFERROR(IF(INDEX('Education'!$N$10:$N$13,MATCH($F188,'Education'!$B$10:$B$13,0))="","Cell will autofill based on response",INDEX('Education'!$N$10:$N$13,MATCH($F188,'Education'!$B$10:$B$13,0))),"N/A")</f>
        <v/>
      </c>
      <c r="V188" s="52">
        <f>IFERROR(IF(INDEX('SaSS'!$N$10:$N$12,MATCH($F188,'SaSS'!$B$10:$B$12,0))="","Cell will autofill based on response",INDEX('SaSS'!$N$10:$N$12,MATCH($F188,'SaSS'!$B$10:$B$12,0))),"N/A")</f>
        <v/>
      </c>
      <c r="W188" s="52">
        <f>IFERROR(IF(INDEX('Indigenous'!$N$10:$N$11,MATCH($F188,'Indigenous'!$B$10:$B$11,0))="","Cell will autofill based on response",INDEX('Indigenous'!$N$10:$N$11,MATCH($F188,'Indigenous'!$B$10:$B$11,0))),"N/A")</f>
        <v/>
      </c>
      <c r="X188" s="52">
        <f>IFERROR(IF(INDEX('L&amp;R'!$N$10:$N$11,MATCH($F188,'L&amp;R'!$B$10:$B$11,0))="","Cell will autofill based on response",INDEX('L&amp;R'!$N$10:$N$11,MATCH($F188,'L&amp;R'!$B$10:$B$11,0))),"N/A")</f>
        <v/>
      </c>
    </row>
    <row r="189">
      <c r="A189">
        <f>F189&amp;"|"&amp;G189</f>
        <v/>
      </c>
      <c r="B189" s="13" t="inlineStr"/>
      <c r="C189" s="8" t="inlineStr"/>
      <c r="D189" s="8" t="inlineStr"/>
      <c r="E189" s="8" t="inlineStr"/>
      <c r="F189" s="8" t="inlineStr">
        <is>
          <t>EN1(b)</t>
        </is>
      </c>
      <c r="G189" s="8" t="inlineStr">
        <is>
          <t>Data source and limitations</t>
        </is>
      </c>
      <c r="H189" s="52">
        <f>IFERROR(IF(INDEX('Faculties'!$O$10:$O$19,MATCH($F189,'Faculties'!$B$10:$B$19,0))="","Cell will autofill based on response",INDEX('Faculties'!$O$10:$O$19,MATCH($F189,'Faculties'!$B$10:$B$19,0))),"N/A")</f>
        <v/>
      </c>
      <c r="I189" s="52">
        <f>IFERROR(IF(INDEX('Faculties'!$O$26:$O$35,MATCH($F189,'Faculties'!$B$26:$B$35,0))="","Cell will autofill based on response",INDEX('Faculties'!$O$26:$O$35,MATCH($F189,'Faculties'!$B$26:$B$35,0))),"N/A")</f>
        <v/>
      </c>
      <c r="J189" s="52">
        <f>IFERROR(IF(INDEX('Faculties'!$O$42:$O$51,MATCH($F189,'Faculties'!$B$42:$B$51,0))="","Cell will autofill based on response",INDEX('Faculties'!$O$42:$O$51,MATCH($F189,'Faculties'!$B$42:$B$51,0))),"N/A")</f>
        <v/>
      </c>
      <c r="K189" s="52">
        <f>IFERROR(IF(INDEX('Faculties'!$O$58:$O$67,MATCH($F189,'Faculties'!$B$58:$B$67,0))="","Cell will autofill based on response",INDEX('Faculties'!$O$58:$O$67,MATCH($F189,'Faculties'!$B$58:$B$67,0))),"N/A")</f>
        <v/>
      </c>
      <c r="L189" s="52">
        <f>IFERROR(IF(INDEX('CI&amp;S'!$O$10:$O$15,MATCH($F189,'CI&amp;S'!$B$10:$B$15,0))="","Cell will autofill based on response",INDEX('CI&amp;S'!$O$10:$O$15,MATCH($F189,'CI&amp;S'!$B$10:$B$15,0))),"N/A")</f>
        <v/>
      </c>
      <c r="M189" s="52">
        <f>IFERROR(IF(INDEX('CI&amp;S'!$O$22:$O$36,MATCH($F189,'CI&amp;S'!$B$22:$B$36,0))="","Cell will autofill based on response",INDEX('CI&amp;S'!$O$22:$O$36,MATCH($F189,'CI&amp;S'!$B$22:$B$36,0))),"N/A")</f>
        <v/>
      </c>
      <c r="N189" s="52">
        <f>IFERROR(IF(INDEX('CFOG'!$O$10:$O$16,MATCH($F189,'CFOG'!$B$10:$B$16,0))="","Cell will autofill based on response",INDEX('CFOG'!$O$10:$O$16,MATCH($F189,'CFOG'!$B$10:$B$16,0))),"N/A")</f>
        <v/>
      </c>
      <c r="O189" s="52">
        <f>IFERROR(IF(INDEX('CFOG'!$O$23:$O$24,MATCH($F189,'CFOG'!$B$23:$B$24,0))="","Cell will autofill based on response",INDEX('CFOG'!$O$23:$O$24,MATCH($F189,'CFOG'!$B$23:$B$24,0))),"N/A")</f>
        <v/>
      </c>
      <c r="P189" s="52">
        <f>IFERROR(IF(INDEX('ESG'!$O$10:$O$17,MATCH($F189,'ESG'!$B$10:$B$17,0))="","Cell will autofill based on response",INDEX('ESG'!$O$10:$O$17,MATCH($F189,'ESG'!$B$10:$B$17,0))),"N/A")</f>
        <v/>
      </c>
      <c r="Q189" s="52">
        <f>IFERROR(IF(INDEX('CIOG'!$O$10:$O$14,MATCH($F189,'CIOG'!$B$10:$B$14,0))="","Cell will autofill based on response",INDEX('CIOG'!$O$10:$O$14,MATCH($F189,'CIOG'!$B$10:$B$14,0))),"N/A")</f>
        <v/>
      </c>
      <c r="R189" s="52">
        <f>IFERROR(IF(INDEX('MRE'!$O$10:$O$18,MATCH($F189,'MRE'!$B$10:$B$18,0))="","Cell will autofill based on response",INDEX('MRE'!$O$10:$O$18,MATCH($F189,'MRE'!$B$10:$B$18,0))),"N/A")</f>
        <v/>
      </c>
      <c r="S189" s="52">
        <f>IFERROR(IF(INDEX('AC&amp;M'!$O$10:$O$14,MATCH($F189,'AC&amp;M'!$B$10:$B$14,0))="","Cell will autofill based on response",INDEX('AC&amp;M'!$O$10:$O$14,MATCH($F189,'AC&amp;M'!$B$10:$B$14,0))),"N/A")</f>
        <v/>
      </c>
      <c r="T189" s="52">
        <f>IFERROR(IF(INDEX('GCE'!$O$10:$O$12,MATCH($F189,'GCE'!$B$10:$B$12,0))="","Cell will autofill based on response",INDEX('GCE'!$O$10:$O$12,MATCH($F189,'GCE'!$B$10:$B$12,0))),"N/A")</f>
        <v/>
      </c>
      <c r="U189" s="52">
        <f>IFERROR(IF(INDEX('Education'!$O$10:$O$13,MATCH($F189,'Education'!$B$10:$B$13,0))="","Cell will autofill based on response",INDEX('Education'!$O$10:$O$13,MATCH($F189,'Education'!$B$10:$B$13,0))),"N/A")</f>
        <v/>
      </c>
      <c r="V189" s="52">
        <f>IFERROR(IF(INDEX('SaSS'!$O$10:$O$12,MATCH($F189,'SaSS'!$B$10:$B$12,0))="","Cell will autofill based on response",INDEX('SaSS'!$O$10:$O$12,MATCH($F189,'SaSS'!$B$10:$B$12,0))),"N/A")</f>
        <v/>
      </c>
      <c r="W189" s="52">
        <f>IFERROR(IF(INDEX('Indigenous'!$O$10:$O$11,MATCH($F189,'Indigenous'!$B$10:$B$11,0))="","Cell will autofill based on response",INDEX('Indigenous'!$O$10:$O$11,MATCH($F189,'Indigenous'!$B$10:$B$11,0))),"N/A")</f>
        <v/>
      </c>
      <c r="X189" s="52">
        <f>IFERROR(IF(INDEX('L&amp;R'!$O$10:$O$11,MATCH($F189,'L&amp;R'!$B$10:$B$11,0))="","Cell will autofill based on response",INDEX('L&amp;R'!$O$10:$O$11,MATCH($F189,'L&amp;R'!$B$10:$B$11,0))),"N/A")</f>
        <v/>
      </c>
    </row>
    <row r="190">
      <c r="A190">
        <f>F190&amp;"|"&amp;G190</f>
        <v/>
      </c>
      <c r="B190" s="13" t="inlineStr"/>
      <c r="C190" s="8" t="inlineStr"/>
      <c r="D190" s="8" t="inlineStr"/>
      <c r="E190" s="8" t="inlineStr"/>
      <c r="F190" s="8" t="inlineStr">
        <is>
          <t>EN1(b)</t>
        </is>
      </c>
      <c r="G190" s="8" t="inlineStr">
        <is>
          <t>Data owner confirms</t>
        </is>
      </c>
      <c r="H190" s="52">
        <f>IFERROR(IF(INDEX('Faculties'!$P$10:$P$19,MATCH($F190,'Faculties'!$B$10:$B$19,0))="","Cell will autofill based on response",INDEX('Faculties'!$P$10:$P$19,MATCH($F190,'Faculties'!$B$10:$B$19,0))),"N/A")</f>
        <v/>
      </c>
      <c r="I190" s="52">
        <f>IFERROR(IF(INDEX('Faculties'!$P$26:$P$35,MATCH($F190,'Faculties'!$B$26:$B$35,0))="","Cell will autofill based on response",INDEX('Faculties'!$P$26:$P$35,MATCH($F190,'Faculties'!$B$26:$B$35,0))),"N/A")</f>
        <v/>
      </c>
      <c r="J190" s="52">
        <f>IFERROR(IF(INDEX('Faculties'!$P$42:$P$51,MATCH($F190,'Faculties'!$B$42:$B$51,0))="","Cell will autofill based on response",INDEX('Faculties'!$P$42:$P$51,MATCH($F190,'Faculties'!$B$42:$B$51,0))),"N/A")</f>
        <v/>
      </c>
      <c r="K190" s="52">
        <f>IFERROR(IF(INDEX('Faculties'!$P$58:$P$67,MATCH($F190,'Faculties'!$B$58:$B$67,0))="","Cell will autofill based on response",INDEX('Faculties'!$P$58:$P$67,MATCH($F190,'Faculties'!$B$58:$B$67,0))),"N/A")</f>
        <v/>
      </c>
      <c r="L190" s="52">
        <f>IFERROR(IF(INDEX('CI&amp;S'!$P$10:$P$15,MATCH($F190,'CI&amp;S'!$B$10:$B$15,0))="","Cell will autofill based on response",INDEX('CI&amp;S'!$P$10:$P$15,MATCH($F190,'CI&amp;S'!$B$10:$B$15,0))),"N/A")</f>
        <v/>
      </c>
      <c r="M190" s="52">
        <f>IFERROR(IF(INDEX('CI&amp;S'!$P$22:$P$36,MATCH($F190,'CI&amp;S'!$B$22:$B$36,0))="","Cell will autofill based on response",INDEX('CI&amp;S'!$P$22:$P$36,MATCH($F190,'CI&amp;S'!$B$22:$B$36,0))),"N/A")</f>
        <v/>
      </c>
      <c r="N190" s="52">
        <f>IFERROR(IF(INDEX('CFOG'!$P$10:$P$16,MATCH($F190,'CFOG'!$B$10:$B$16,0))="","Cell will autofill based on response",INDEX('CFOG'!$P$10:$P$16,MATCH($F190,'CFOG'!$B$10:$B$16,0))),"N/A")</f>
        <v/>
      </c>
      <c r="O190" s="52">
        <f>IFERROR(IF(INDEX('CFOG'!$P$23:$P$24,MATCH($F190,'CFOG'!$B$23:$B$24,0))="","Cell will autofill based on response",INDEX('CFOG'!$P$23:$P$24,MATCH($F190,'CFOG'!$B$23:$B$24,0))),"N/A")</f>
        <v/>
      </c>
      <c r="P190" s="52">
        <f>IFERROR(IF(INDEX('ESG'!$P$10:$P$17,MATCH($F190,'ESG'!$B$10:$B$17,0))="","Cell will autofill based on response",INDEX('ESG'!$P$10:$P$17,MATCH($F190,'ESG'!$B$10:$B$17,0))),"N/A")</f>
        <v/>
      </c>
      <c r="Q190" s="52">
        <f>IFERROR(IF(INDEX('CIOG'!$P$10:$P$14,MATCH($F190,'CIOG'!$B$10:$B$14,0))="","Cell will autofill based on response",INDEX('CIOG'!$P$10:$P$14,MATCH($F190,'CIOG'!$B$10:$B$14,0))),"N/A")</f>
        <v/>
      </c>
      <c r="R190" s="52">
        <f>IFERROR(IF(INDEX('MRE'!$P$10:$P$18,MATCH($F190,'MRE'!$B$10:$B$18,0))="","Cell will autofill based on response",INDEX('MRE'!$P$10:$P$18,MATCH($F190,'MRE'!$B$10:$B$18,0))),"N/A")</f>
        <v/>
      </c>
      <c r="S190" s="52">
        <f>IFERROR(IF(INDEX('AC&amp;M'!$P$10:$P$14,MATCH($F190,'AC&amp;M'!$B$10:$B$14,0))="","Cell will autofill based on response",INDEX('AC&amp;M'!$P$10:$P$14,MATCH($F190,'AC&amp;M'!$B$10:$B$14,0))),"N/A")</f>
        <v/>
      </c>
      <c r="T190" s="52">
        <f>IFERROR(IF(INDEX('GCE'!$P$10:$P$12,MATCH($F190,'GCE'!$B$10:$B$12,0))="","Cell will autofill based on response",INDEX('GCE'!$P$10:$P$12,MATCH($F190,'GCE'!$B$10:$B$12,0))),"N/A")</f>
        <v/>
      </c>
      <c r="U190" s="52">
        <f>IFERROR(IF(INDEX('Education'!$P$10:$P$13,MATCH($F190,'Education'!$B$10:$B$13,0))="","Cell will autofill based on response",INDEX('Education'!$P$10:$P$13,MATCH($F190,'Education'!$B$10:$B$13,0))),"N/A")</f>
        <v/>
      </c>
      <c r="V190" s="52">
        <f>IFERROR(IF(INDEX('SaSS'!$P$10:$P$12,MATCH($F190,'SaSS'!$B$10:$B$12,0))="","Cell will autofill based on response",INDEX('SaSS'!$P$10:$P$12,MATCH($F190,'SaSS'!$B$10:$B$12,0))),"N/A")</f>
        <v/>
      </c>
      <c r="W190" s="52">
        <f>IFERROR(IF(INDEX('Indigenous'!$P$10:$P$11,MATCH($F190,'Indigenous'!$B$10:$B$11,0))="","Cell will autofill based on response",INDEX('Indigenous'!$P$10:$P$11,MATCH($F190,'Indigenous'!$B$10:$B$11,0))),"N/A")</f>
        <v/>
      </c>
      <c r="X190" s="52">
        <f>IFERROR(IF(INDEX('L&amp;R'!$P$10:$P$11,MATCH($F190,'L&amp;R'!$B$10:$B$11,0))="","Cell will autofill based on response",INDEX('L&amp;R'!$P$10:$P$11,MATCH($F190,'L&amp;R'!$B$10:$B$11,0))),"N/A")</f>
        <v/>
      </c>
    </row>
    <row r="191">
      <c r="A191">
        <f>F191&amp;"|"&amp;G191</f>
        <v/>
      </c>
      <c r="B191" s="7" t="inlineStr">
        <is>
          <t>EN1(c)</t>
        </is>
      </c>
      <c r="C191" s="50" t="inlineStr">
        <is>
          <t>Enablers</t>
        </is>
      </c>
      <c r="D191" s="50" t="inlineStr">
        <is>
          <t>Coordinated internal engagement and external partnerships contributing to delivery of sustainability outcomes across priority areas.</t>
        </is>
      </c>
      <c r="E191" s="50"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50" t="inlineStr">
        <is>
          <t>EN1(c)</t>
        </is>
      </c>
      <c r="G191" s="50" t="inlineStr">
        <is>
          <t>OPTION 1:  Target-level reporting</t>
        </is>
      </c>
      <c r="H191" s="52">
        <f>IFERROR(IF(INDEX('Faculties'!$L$10:$L$19,MATCH($F191,'Faculties'!$B$10:$B$19,0))="","Cell will autofill based on response",INDEX('Faculties'!$L$10:$L$19,MATCH($F191,'Faculties'!$B$10:$B$19,0))),"N/A")</f>
        <v/>
      </c>
      <c r="I191" s="52">
        <f>IFERROR(IF(INDEX('Faculties'!$L$26:$L$35,MATCH($F191,'Faculties'!$B$26:$B$35,0))="","Cell will autofill based on response",INDEX('Faculties'!$L$26:$L$35,MATCH($F191,'Faculties'!$B$26:$B$35,0))),"N/A")</f>
        <v/>
      </c>
      <c r="J191" s="52">
        <f>IFERROR(IF(INDEX('Faculties'!$L$42:$L$51,MATCH($F191,'Faculties'!$B$42:$B$51,0))="","Cell will autofill based on response",INDEX('Faculties'!$L$42:$L$51,MATCH($F191,'Faculties'!$B$42:$B$51,0))),"N/A")</f>
        <v/>
      </c>
      <c r="K191" s="52">
        <f>IFERROR(IF(INDEX('Faculties'!$L$58:$L$67,MATCH($F191,'Faculties'!$B$58:$B$67,0))="","Cell will autofill based on response",INDEX('Faculties'!$L$58:$L$67,MATCH($F191,'Faculties'!$B$58:$B$67,0))),"N/A")</f>
        <v/>
      </c>
      <c r="L191" s="52">
        <f>IFERROR(IF(INDEX('CI&amp;S'!$L$10:$L$15,MATCH($F191,'CI&amp;S'!$B$10:$B$15,0))="","Cell will autofill based on response",INDEX('CI&amp;S'!$L$10:$L$15,MATCH($F191,'CI&amp;S'!$B$10:$B$15,0))),"N/A")</f>
        <v/>
      </c>
      <c r="M191" s="52">
        <f>IFERROR(IF(INDEX('CI&amp;S'!$L$22:$L$36,MATCH($F191,'CI&amp;S'!$B$22:$B$36,0))="","Cell will autofill based on response",INDEX('CI&amp;S'!$L$22:$L$36,MATCH($F191,'CI&amp;S'!$B$22:$B$36,0))),"N/A")</f>
        <v/>
      </c>
      <c r="N191" s="52">
        <f>IFERROR(IF(INDEX('CFOG'!$L$10:$L$16,MATCH($F191,'CFOG'!$B$10:$B$16,0))="","Cell will autofill based on response",INDEX('CFOG'!$L$10:$L$16,MATCH($F191,'CFOG'!$B$10:$B$16,0))),"N/A")</f>
        <v/>
      </c>
      <c r="O191" s="52">
        <f>IFERROR(IF(INDEX('CFOG'!$L$23:$L$24,MATCH($F191,'CFOG'!$B$23:$B$24,0))="","Cell will autofill based on response",INDEX('CFOG'!$L$23:$L$24,MATCH($F191,'CFOG'!$B$23:$B$24,0))),"N/A")</f>
        <v/>
      </c>
      <c r="P191" s="52">
        <f>IFERROR(IF(INDEX('ESG'!$L$10:$L$17,MATCH($F191,'ESG'!$B$10:$B$17,0))="","Cell will autofill based on response",INDEX('ESG'!$L$10:$L$17,MATCH($F191,'ESG'!$B$10:$B$17,0))),"N/A")</f>
        <v/>
      </c>
      <c r="Q191" s="52">
        <f>IFERROR(IF(INDEX('CIOG'!$L$10:$L$14,MATCH($F191,'CIOG'!$B$10:$B$14,0))="","Cell will autofill based on response",INDEX('CIOG'!$L$10:$L$14,MATCH($F191,'CIOG'!$B$10:$B$14,0))),"N/A")</f>
        <v/>
      </c>
      <c r="R191" s="52">
        <f>IFERROR(IF(INDEX('MRE'!$L$10:$L$18,MATCH($F191,'MRE'!$B$10:$B$18,0))="","Cell will autofill based on response",INDEX('MRE'!$L$10:$L$18,MATCH($F191,'MRE'!$B$10:$B$18,0))),"N/A")</f>
        <v/>
      </c>
      <c r="S191" s="52">
        <f>IFERROR(IF(INDEX('AC&amp;M'!$L$10:$L$14,MATCH($F191,'AC&amp;M'!$B$10:$B$14,0))="","Cell will autofill based on response",INDEX('AC&amp;M'!$L$10:$L$14,MATCH($F191,'AC&amp;M'!$B$10:$B$14,0))),"N/A")</f>
        <v/>
      </c>
      <c r="T191" s="52">
        <f>IFERROR(IF(INDEX('GCE'!$L$10:$L$12,MATCH($F191,'GCE'!$B$10:$B$12,0))="","Cell will autofill based on response",INDEX('GCE'!$L$10:$L$12,MATCH($F191,'GCE'!$B$10:$B$12,0))),"N/A")</f>
        <v/>
      </c>
      <c r="U191" s="52">
        <f>IFERROR(IF(INDEX('Education'!$L$10:$L$13,MATCH($F191,'Education'!$B$10:$B$13,0))="","Cell will autofill based on response",INDEX('Education'!$L$10:$L$13,MATCH($F191,'Education'!$B$10:$B$13,0))),"N/A")</f>
        <v/>
      </c>
      <c r="V191" s="52">
        <f>IFERROR(IF(INDEX('SaSS'!$L$10:$L$12,MATCH($F191,'SaSS'!$B$10:$B$12,0))="","Cell will autofill based on response",INDEX('SaSS'!$L$10:$L$12,MATCH($F191,'SaSS'!$B$10:$B$12,0))),"N/A")</f>
        <v/>
      </c>
      <c r="W191" s="52">
        <f>IFERROR(IF(INDEX('Indigenous'!$L$10:$L$11,MATCH($F191,'Indigenous'!$B$10:$B$11,0))="","Cell will autofill based on response",INDEX('Indigenous'!$L$10:$L$11,MATCH($F191,'Indigenous'!$B$10:$B$11,0))),"N/A")</f>
        <v/>
      </c>
      <c r="X191" s="52">
        <f>IFERROR(IF(INDEX('L&amp;R'!$L$10:$L$11,MATCH($F191,'L&amp;R'!$B$10:$B$11,0))="","Cell will autofill based on response",INDEX('L&amp;R'!$L$10:$L$11,MATCH($F191,'L&amp;R'!$B$10:$B$11,0))),"N/A")</f>
        <v/>
      </c>
      <c r="Z191" s="10">
        <f>SUMPRODUCT(--($H191:$X191&lt;&gt;"N/A"))</f>
        <v/>
      </c>
      <c r="AA191" s="10">
        <f>SUMPRODUCT(--(((($H191:$X191&lt;&gt;"N/A")*($H191:$X191&lt;&gt;"Cell will autofill based on response"))+(($H192:$X192&lt;&gt;"N/A")*($H192:$X192&lt;&gt;"Cell will autofill based on response")))&gt;0))</f>
        <v/>
      </c>
      <c r="AB191" s="10">
        <f>Z191-AA191</f>
        <v/>
      </c>
      <c r="AC191" s="10">
        <f>COUNTIF($H195:$X195,"Yes")</f>
        <v/>
      </c>
    </row>
    <row r="192">
      <c r="A192">
        <f>F192&amp;"|"&amp;G192</f>
        <v/>
      </c>
      <c r="B192" s="13" t="inlineStr"/>
      <c r="C192" s="8" t="inlineStr"/>
      <c r="D192" s="8" t="inlineStr"/>
      <c r="E192" s="8" t="inlineStr"/>
      <c r="F192" s="8" t="inlineStr">
        <is>
          <t>EN1(c)</t>
        </is>
      </c>
      <c r="G192" s="8" t="inlineStr">
        <is>
          <t>OPTION 2:  Indicator level reporting</t>
        </is>
      </c>
      <c r="H192" s="52">
        <f>IFERROR(IF(INDEX('Faculties'!$M$10:$M$19,MATCH($F192,'Faculties'!$B$10:$B$19,0))="","Cell will autofill based on response",INDEX('Faculties'!$M$10:$M$19,MATCH($F192,'Faculties'!$B$10:$B$19,0))),"N/A")</f>
        <v/>
      </c>
      <c r="I192" s="52">
        <f>IFERROR(IF(INDEX('Faculties'!$M$26:$M$35,MATCH($F192,'Faculties'!$B$26:$B$35,0))="","Cell will autofill based on response",INDEX('Faculties'!$M$26:$M$35,MATCH($F192,'Faculties'!$B$26:$B$35,0))),"N/A")</f>
        <v/>
      </c>
      <c r="J192" s="52">
        <f>IFERROR(IF(INDEX('Faculties'!$M$42:$M$51,MATCH($F192,'Faculties'!$B$42:$B$51,0))="","Cell will autofill based on response",INDEX('Faculties'!$M$42:$M$51,MATCH($F192,'Faculties'!$B$42:$B$51,0))),"N/A")</f>
        <v/>
      </c>
      <c r="K192" s="52">
        <f>IFERROR(IF(INDEX('Faculties'!$M$58:$M$67,MATCH($F192,'Faculties'!$B$58:$B$67,0))="","Cell will autofill based on response",INDEX('Faculties'!$M$58:$M$67,MATCH($F192,'Faculties'!$B$58:$B$67,0))),"N/A")</f>
        <v/>
      </c>
      <c r="L192" s="52">
        <f>IFERROR(IF(INDEX('CI&amp;S'!$M$10:$M$15,MATCH($F192,'CI&amp;S'!$B$10:$B$15,0))="","Cell will autofill based on response",INDEX('CI&amp;S'!$M$10:$M$15,MATCH($F192,'CI&amp;S'!$B$10:$B$15,0))),"N/A")</f>
        <v/>
      </c>
      <c r="M192" s="52">
        <f>IFERROR(IF(INDEX('CI&amp;S'!$M$22:$M$36,MATCH($F192,'CI&amp;S'!$B$22:$B$36,0))="","Cell will autofill based on response",INDEX('CI&amp;S'!$M$22:$M$36,MATCH($F192,'CI&amp;S'!$B$22:$B$36,0))),"N/A")</f>
        <v/>
      </c>
      <c r="N192" s="52">
        <f>IFERROR(IF(INDEX('CFOG'!$M$10:$M$16,MATCH($F192,'CFOG'!$B$10:$B$16,0))="","Cell will autofill based on response",INDEX('CFOG'!$M$10:$M$16,MATCH($F192,'CFOG'!$B$10:$B$16,0))),"N/A")</f>
        <v/>
      </c>
      <c r="O192" s="52">
        <f>IFERROR(IF(INDEX('CFOG'!$M$23:$M$24,MATCH($F192,'CFOG'!$B$23:$B$24,0))="","Cell will autofill based on response",INDEX('CFOG'!$M$23:$M$24,MATCH($F192,'CFOG'!$B$23:$B$24,0))),"N/A")</f>
        <v/>
      </c>
      <c r="P192" s="52">
        <f>IFERROR(IF(INDEX('ESG'!$M$10:$M$17,MATCH($F192,'ESG'!$B$10:$B$17,0))="","Cell will autofill based on response",INDEX('ESG'!$M$10:$M$17,MATCH($F192,'ESG'!$B$10:$B$17,0))),"N/A")</f>
        <v/>
      </c>
      <c r="Q192" s="52">
        <f>IFERROR(IF(INDEX('CIOG'!$M$10:$M$14,MATCH($F192,'CIOG'!$B$10:$B$14,0))="","Cell will autofill based on response",INDEX('CIOG'!$M$10:$M$14,MATCH($F192,'CIOG'!$B$10:$B$14,0))),"N/A")</f>
        <v/>
      </c>
      <c r="R192" s="52">
        <f>IFERROR(IF(INDEX('MRE'!$M$10:$M$18,MATCH($F192,'MRE'!$B$10:$B$18,0))="","Cell will autofill based on response",INDEX('MRE'!$M$10:$M$18,MATCH($F192,'MRE'!$B$10:$B$18,0))),"N/A")</f>
        <v/>
      </c>
      <c r="S192" s="52">
        <f>IFERROR(IF(INDEX('AC&amp;M'!$M$10:$M$14,MATCH($F192,'AC&amp;M'!$B$10:$B$14,0))="","Cell will autofill based on response",INDEX('AC&amp;M'!$M$10:$M$14,MATCH($F192,'AC&amp;M'!$B$10:$B$14,0))),"N/A")</f>
        <v/>
      </c>
      <c r="T192" s="52">
        <f>IFERROR(IF(INDEX('GCE'!$M$10:$M$12,MATCH($F192,'GCE'!$B$10:$B$12,0))="","Cell will autofill based on response",INDEX('GCE'!$M$10:$M$12,MATCH($F192,'GCE'!$B$10:$B$12,0))),"N/A")</f>
        <v/>
      </c>
      <c r="U192" s="52">
        <f>IFERROR(IF(INDEX('Education'!$M$10:$M$13,MATCH($F192,'Education'!$B$10:$B$13,0))="","Cell will autofill based on response",INDEX('Education'!$M$10:$M$13,MATCH($F192,'Education'!$B$10:$B$13,0))),"N/A")</f>
        <v/>
      </c>
      <c r="V192" s="52">
        <f>IFERROR(IF(INDEX('SaSS'!$M$10:$M$12,MATCH($F192,'SaSS'!$B$10:$B$12,0))="","Cell will autofill based on response",INDEX('SaSS'!$M$10:$M$12,MATCH($F192,'SaSS'!$B$10:$B$12,0))),"N/A")</f>
        <v/>
      </c>
      <c r="W192" s="52">
        <f>IFERROR(IF(INDEX('Indigenous'!$M$10:$M$11,MATCH($F192,'Indigenous'!$B$10:$B$11,0))="","Cell will autofill based on response",INDEX('Indigenous'!$M$10:$M$11,MATCH($F192,'Indigenous'!$B$10:$B$11,0))),"N/A")</f>
        <v/>
      </c>
      <c r="X192" s="52">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EN1(c)</t>
        </is>
      </c>
      <c r="G193" s="8" t="inlineStr">
        <is>
          <t>Supporting information/comments</t>
        </is>
      </c>
      <c r="H193" s="52">
        <f>IFERROR(IF(INDEX('Faculties'!$N$10:$N$19,MATCH($F193,'Faculties'!$B$10:$B$19,0))="","Cell will autofill based on response",INDEX('Faculties'!$N$10:$N$19,MATCH($F193,'Faculties'!$B$10:$B$19,0))),"N/A")</f>
        <v/>
      </c>
      <c r="I193" s="52">
        <f>IFERROR(IF(INDEX('Faculties'!$N$26:$N$35,MATCH($F193,'Faculties'!$B$26:$B$35,0))="","Cell will autofill based on response",INDEX('Faculties'!$N$26:$N$35,MATCH($F193,'Faculties'!$B$26:$B$35,0))),"N/A")</f>
        <v/>
      </c>
      <c r="J193" s="52">
        <f>IFERROR(IF(INDEX('Faculties'!$N$42:$N$51,MATCH($F193,'Faculties'!$B$42:$B$51,0))="","Cell will autofill based on response",INDEX('Faculties'!$N$42:$N$51,MATCH($F193,'Faculties'!$B$42:$B$51,0))),"N/A")</f>
        <v/>
      </c>
      <c r="K193" s="52">
        <f>IFERROR(IF(INDEX('Faculties'!$N$58:$N$67,MATCH($F193,'Faculties'!$B$58:$B$67,0))="","Cell will autofill based on response",INDEX('Faculties'!$N$58:$N$67,MATCH($F193,'Faculties'!$B$58:$B$67,0))),"N/A")</f>
        <v/>
      </c>
      <c r="L193" s="52">
        <f>IFERROR(IF(INDEX('CI&amp;S'!$N$10:$N$15,MATCH($F193,'CI&amp;S'!$B$10:$B$15,0))="","Cell will autofill based on response",INDEX('CI&amp;S'!$N$10:$N$15,MATCH($F193,'CI&amp;S'!$B$10:$B$15,0))),"N/A")</f>
        <v/>
      </c>
      <c r="M193" s="52">
        <f>IFERROR(IF(INDEX('CI&amp;S'!$N$22:$N$36,MATCH($F193,'CI&amp;S'!$B$22:$B$36,0))="","Cell will autofill based on response",INDEX('CI&amp;S'!$N$22:$N$36,MATCH($F193,'CI&amp;S'!$B$22:$B$36,0))),"N/A")</f>
        <v/>
      </c>
      <c r="N193" s="52">
        <f>IFERROR(IF(INDEX('CFOG'!$N$10:$N$16,MATCH($F193,'CFOG'!$B$10:$B$16,0))="","Cell will autofill based on response",INDEX('CFOG'!$N$10:$N$16,MATCH($F193,'CFOG'!$B$10:$B$16,0))),"N/A")</f>
        <v/>
      </c>
      <c r="O193" s="52">
        <f>IFERROR(IF(INDEX('CFOG'!$N$23:$N$24,MATCH($F193,'CFOG'!$B$23:$B$24,0))="","Cell will autofill based on response",INDEX('CFOG'!$N$23:$N$24,MATCH($F193,'CFOG'!$B$23:$B$24,0))),"N/A")</f>
        <v/>
      </c>
      <c r="P193" s="52">
        <f>IFERROR(IF(INDEX('ESG'!$N$10:$N$17,MATCH($F193,'ESG'!$B$10:$B$17,0))="","Cell will autofill based on response",INDEX('ESG'!$N$10:$N$17,MATCH($F193,'ESG'!$B$10:$B$17,0))),"N/A")</f>
        <v/>
      </c>
      <c r="Q193" s="52">
        <f>IFERROR(IF(INDEX('CIOG'!$N$10:$N$14,MATCH($F193,'CIOG'!$B$10:$B$14,0))="","Cell will autofill based on response",INDEX('CIOG'!$N$10:$N$14,MATCH($F193,'CIOG'!$B$10:$B$14,0))),"N/A")</f>
        <v/>
      </c>
      <c r="R193" s="52">
        <f>IFERROR(IF(INDEX('MRE'!$N$10:$N$18,MATCH($F193,'MRE'!$B$10:$B$18,0))="","Cell will autofill based on response",INDEX('MRE'!$N$10:$N$18,MATCH($F193,'MRE'!$B$10:$B$18,0))),"N/A")</f>
        <v/>
      </c>
      <c r="S193" s="52">
        <f>IFERROR(IF(INDEX('AC&amp;M'!$N$10:$N$14,MATCH($F193,'AC&amp;M'!$B$10:$B$14,0))="","Cell will autofill based on response",INDEX('AC&amp;M'!$N$10:$N$14,MATCH($F193,'AC&amp;M'!$B$10:$B$14,0))),"N/A")</f>
        <v/>
      </c>
      <c r="T193" s="52">
        <f>IFERROR(IF(INDEX('GCE'!$N$10:$N$12,MATCH($F193,'GCE'!$B$10:$B$12,0))="","Cell will autofill based on response",INDEX('GCE'!$N$10:$N$12,MATCH($F193,'GCE'!$B$10:$B$12,0))),"N/A")</f>
        <v/>
      </c>
      <c r="U193" s="52">
        <f>IFERROR(IF(INDEX('Education'!$N$10:$N$13,MATCH($F193,'Education'!$B$10:$B$13,0))="","Cell will autofill based on response",INDEX('Education'!$N$10:$N$13,MATCH($F193,'Education'!$B$10:$B$13,0))),"N/A")</f>
        <v/>
      </c>
      <c r="V193" s="52">
        <f>IFERROR(IF(INDEX('SaSS'!$N$10:$N$12,MATCH($F193,'SaSS'!$B$10:$B$12,0))="","Cell will autofill based on response",INDEX('SaSS'!$N$10:$N$12,MATCH($F193,'SaSS'!$B$10:$B$12,0))),"N/A")</f>
        <v/>
      </c>
      <c r="W193" s="52">
        <f>IFERROR(IF(INDEX('Indigenous'!$N$10:$N$11,MATCH($F193,'Indigenous'!$B$10:$B$11,0))="","Cell will autofill based on response",INDEX('Indigenous'!$N$10:$N$11,MATCH($F193,'Indigenous'!$B$10:$B$11,0))),"N/A")</f>
        <v/>
      </c>
      <c r="X193" s="52">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EN1(c)</t>
        </is>
      </c>
      <c r="G194" s="8" t="inlineStr">
        <is>
          <t>Data source and limitations</t>
        </is>
      </c>
      <c r="H194" s="52">
        <f>IFERROR(IF(INDEX('Faculties'!$O$10:$O$19,MATCH($F194,'Faculties'!$B$10:$B$19,0))="","Cell will autofill based on response",INDEX('Faculties'!$O$10:$O$19,MATCH($F194,'Faculties'!$B$10:$B$19,0))),"N/A")</f>
        <v/>
      </c>
      <c r="I194" s="52">
        <f>IFERROR(IF(INDEX('Faculties'!$O$26:$O$35,MATCH($F194,'Faculties'!$B$26:$B$35,0))="","Cell will autofill based on response",INDEX('Faculties'!$O$26:$O$35,MATCH($F194,'Faculties'!$B$26:$B$35,0))),"N/A")</f>
        <v/>
      </c>
      <c r="J194" s="52">
        <f>IFERROR(IF(INDEX('Faculties'!$O$42:$O$51,MATCH($F194,'Faculties'!$B$42:$B$51,0))="","Cell will autofill based on response",INDEX('Faculties'!$O$42:$O$51,MATCH($F194,'Faculties'!$B$42:$B$51,0))),"N/A")</f>
        <v/>
      </c>
      <c r="K194" s="52">
        <f>IFERROR(IF(INDEX('Faculties'!$O$58:$O$67,MATCH($F194,'Faculties'!$B$58:$B$67,0))="","Cell will autofill based on response",INDEX('Faculties'!$O$58:$O$67,MATCH($F194,'Faculties'!$B$58:$B$67,0))),"N/A")</f>
        <v/>
      </c>
      <c r="L194" s="52">
        <f>IFERROR(IF(INDEX('CI&amp;S'!$O$10:$O$15,MATCH($F194,'CI&amp;S'!$B$10:$B$15,0))="","Cell will autofill based on response",INDEX('CI&amp;S'!$O$10:$O$15,MATCH($F194,'CI&amp;S'!$B$10:$B$15,0))),"N/A")</f>
        <v/>
      </c>
      <c r="M194" s="52">
        <f>IFERROR(IF(INDEX('CI&amp;S'!$O$22:$O$36,MATCH($F194,'CI&amp;S'!$B$22:$B$36,0))="","Cell will autofill based on response",INDEX('CI&amp;S'!$O$22:$O$36,MATCH($F194,'CI&amp;S'!$B$22:$B$36,0))),"N/A")</f>
        <v/>
      </c>
      <c r="N194" s="52">
        <f>IFERROR(IF(INDEX('CFOG'!$O$10:$O$16,MATCH($F194,'CFOG'!$B$10:$B$16,0))="","Cell will autofill based on response",INDEX('CFOG'!$O$10:$O$16,MATCH($F194,'CFOG'!$B$10:$B$16,0))),"N/A")</f>
        <v/>
      </c>
      <c r="O194" s="52">
        <f>IFERROR(IF(INDEX('CFOG'!$O$23:$O$24,MATCH($F194,'CFOG'!$B$23:$B$24,0))="","Cell will autofill based on response",INDEX('CFOG'!$O$23:$O$24,MATCH($F194,'CFOG'!$B$23:$B$24,0))),"N/A")</f>
        <v/>
      </c>
      <c r="P194" s="52">
        <f>IFERROR(IF(INDEX('ESG'!$O$10:$O$17,MATCH($F194,'ESG'!$B$10:$B$17,0))="","Cell will autofill based on response",INDEX('ESG'!$O$10:$O$17,MATCH($F194,'ESG'!$B$10:$B$17,0))),"N/A")</f>
        <v/>
      </c>
      <c r="Q194" s="52">
        <f>IFERROR(IF(INDEX('CIOG'!$O$10:$O$14,MATCH($F194,'CIOG'!$B$10:$B$14,0))="","Cell will autofill based on response",INDEX('CIOG'!$O$10:$O$14,MATCH($F194,'CIOG'!$B$10:$B$14,0))),"N/A")</f>
        <v/>
      </c>
      <c r="R194" s="52">
        <f>IFERROR(IF(INDEX('MRE'!$O$10:$O$18,MATCH($F194,'MRE'!$B$10:$B$18,0))="","Cell will autofill based on response",INDEX('MRE'!$O$10:$O$18,MATCH($F194,'MRE'!$B$10:$B$18,0))),"N/A")</f>
        <v/>
      </c>
      <c r="S194" s="52">
        <f>IFERROR(IF(INDEX('AC&amp;M'!$O$10:$O$14,MATCH($F194,'AC&amp;M'!$B$10:$B$14,0))="","Cell will autofill based on response",INDEX('AC&amp;M'!$O$10:$O$14,MATCH($F194,'AC&amp;M'!$B$10:$B$14,0))),"N/A")</f>
        <v/>
      </c>
      <c r="T194" s="52">
        <f>IFERROR(IF(INDEX('GCE'!$O$10:$O$12,MATCH($F194,'GCE'!$B$10:$B$12,0))="","Cell will autofill based on response",INDEX('GCE'!$O$10:$O$12,MATCH($F194,'GCE'!$B$10:$B$12,0))),"N/A")</f>
        <v/>
      </c>
      <c r="U194" s="52">
        <f>IFERROR(IF(INDEX('Education'!$O$10:$O$13,MATCH($F194,'Education'!$B$10:$B$13,0))="","Cell will autofill based on response",INDEX('Education'!$O$10:$O$13,MATCH($F194,'Education'!$B$10:$B$13,0))),"N/A")</f>
        <v/>
      </c>
      <c r="V194" s="52">
        <f>IFERROR(IF(INDEX('SaSS'!$O$10:$O$12,MATCH($F194,'SaSS'!$B$10:$B$12,0))="","Cell will autofill based on response",INDEX('SaSS'!$O$10:$O$12,MATCH($F194,'SaSS'!$B$10:$B$12,0))),"N/A")</f>
        <v/>
      </c>
      <c r="W194" s="52">
        <f>IFERROR(IF(INDEX('Indigenous'!$O$10:$O$11,MATCH($F194,'Indigenous'!$B$10:$B$11,0))="","Cell will autofill based on response",INDEX('Indigenous'!$O$10:$O$11,MATCH($F194,'Indigenous'!$B$10:$B$11,0))),"N/A")</f>
        <v/>
      </c>
      <c r="X194" s="52">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EN1(c)</t>
        </is>
      </c>
      <c r="G195" s="8" t="inlineStr">
        <is>
          <t>Data owner confirms</t>
        </is>
      </c>
      <c r="H195" s="52">
        <f>IFERROR(IF(INDEX('Faculties'!$P$10:$P$19,MATCH($F195,'Faculties'!$B$10:$B$19,0))="","Cell will autofill based on response",INDEX('Faculties'!$P$10:$P$19,MATCH($F195,'Faculties'!$B$10:$B$19,0))),"N/A")</f>
        <v/>
      </c>
      <c r="I195" s="52">
        <f>IFERROR(IF(INDEX('Faculties'!$P$26:$P$35,MATCH($F195,'Faculties'!$B$26:$B$35,0))="","Cell will autofill based on response",INDEX('Faculties'!$P$26:$P$35,MATCH($F195,'Faculties'!$B$26:$B$35,0))),"N/A")</f>
        <v/>
      </c>
      <c r="J195" s="52">
        <f>IFERROR(IF(INDEX('Faculties'!$P$42:$P$51,MATCH($F195,'Faculties'!$B$42:$B$51,0))="","Cell will autofill based on response",INDEX('Faculties'!$P$42:$P$51,MATCH($F195,'Faculties'!$B$42:$B$51,0))),"N/A")</f>
        <v/>
      </c>
      <c r="K195" s="52">
        <f>IFERROR(IF(INDEX('Faculties'!$P$58:$P$67,MATCH($F195,'Faculties'!$B$58:$B$67,0))="","Cell will autofill based on response",INDEX('Faculties'!$P$58:$P$67,MATCH($F195,'Faculties'!$B$58:$B$67,0))),"N/A")</f>
        <v/>
      </c>
      <c r="L195" s="52">
        <f>IFERROR(IF(INDEX('CI&amp;S'!$P$10:$P$15,MATCH($F195,'CI&amp;S'!$B$10:$B$15,0))="","Cell will autofill based on response",INDEX('CI&amp;S'!$P$10:$P$15,MATCH($F195,'CI&amp;S'!$B$10:$B$15,0))),"N/A")</f>
        <v/>
      </c>
      <c r="M195" s="52">
        <f>IFERROR(IF(INDEX('CI&amp;S'!$P$22:$P$36,MATCH($F195,'CI&amp;S'!$B$22:$B$36,0))="","Cell will autofill based on response",INDEX('CI&amp;S'!$P$22:$P$36,MATCH($F195,'CI&amp;S'!$B$22:$B$36,0))),"N/A")</f>
        <v/>
      </c>
      <c r="N195" s="52">
        <f>IFERROR(IF(INDEX('CFOG'!$P$10:$P$16,MATCH($F195,'CFOG'!$B$10:$B$16,0))="","Cell will autofill based on response",INDEX('CFOG'!$P$10:$P$16,MATCH($F195,'CFOG'!$B$10:$B$16,0))),"N/A")</f>
        <v/>
      </c>
      <c r="O195" s="52">
        <f>IFERROR(IF(INDEX('CFOG'!$P$23:$P$24,MATCH($F195,'CFOG'!$B$23:$B$24,0))="","Cell will autofill based on response",INDEX('CFOG'!$P$23:$P$24,MATCH($F195,'CFOG'!$B$23:$B$24,0))),"N/A")</f>
        <v/>
      </c>
      <c r="P195" s="52">
        <f>IFERROR(IF(INDEX('ESG'!$P$10:$P$17,MATCH($F195,'ESG'!$B$10:$B$17,0))="","Cell will autofill based on response",INDEX('ESG'!$P$10:$P$17,MATCH($F195,'ESG'!$B$10:$B$17,0))),"N/A")</f>
        <v/>
      </c>
      <c r="Q195" s="52">
        <f>IFERROR(IF(INDEX('CIOG'!$P$10:$P$14,MATCH($F195,'CIOG'!$B$10:$B$14,0))="","Cell will autofill based on response",INDEX('CIOG'!$P$10:$P$14,MATCH($F195,'CIOG'!$B$10:$B$14,0))),"N/A")</f>
        <v/>
      </c>
      <c r="R195" s="52">
        <f>IFERROR(IF(INDEX('MRE'!$P$10:$P$18,MATCH($F195,'MRE'!$B$10:$B$18,0))="","Cell will autofill based on response",INDEX('MRE'!$P$10:$P$18,MATCH($F195,'MRE'!$B$10:$B$18,0))),"N/A")</f>
        <v/>
      </c>
      <c r="S195" s="52">
        <f>IFERROR(IF(INDEX('AC&amp;M'!$P$10:$P$14,MATCH($F195,'AC&amp;M'!$B$10:$B$14,0))="","Cell will autofill based on response",INDEX('AC&amp;M'!$P$10:$P$14,MATCH($F195,'AC&amp;M'!$B$10:$B$14,0))),"N/A")</f>
        <v/>
      </c>
      <c r="T195" s="52">
        <f>IFERROR(IF(INDEX('GCE'!$P$10:$P$12,MATCH($F195,'GCE'!$B$10:$B$12,0))="","Cell will autofill based on response",INDEX('GCE'!$P$10:$P$12,MATCH($F195,'GCE'!$B$10:$B$12,0))),"N/A")</f>
        <v/>
      </c>
      <c r="U195" s="52">
        <f>IFERROR(IF(INDEX('Education'!$P$10:$P$13,MATCH($F195,'Education'!$B$10:$B$13,0))="","Cell will autofill based on response",INDEX('Education'!$P$10:$P$13,MATCH($F195,'Education'!$B$10:$B$13,0))),"N/A")</f>
        <v/>
      </c>
      <c r="V195" s="52">
        <f>IFERROR(IF(INDEX('SaSS'!$P$10:$P$12,MATCH($F195,'SaSS'!$B$10:$B$12,0))="","Cell will autofill based on response",INDEX('SaSS'!$P$10:$P$12,MATCH($F195,'SaSS'!$B$10:$B$12,0))),"N/A")</f>
        <v/>
      </c>
      <c r="W195" s="52">
        <f>IFERROR(IF(INDEX('Indigenous'!$P$10:$P$11,MATCH($F195,'Indigenous'!$B$10:$B$11,0))="","Cell will autofill based on response",INDEX('Indigenous'!$P$10:$P$11,MATCH($F195,'Indigenous'!$B$10:$B$11,0))),"N/A")</f>
        <v/>
      </c>
      <c r="X195" s="52">
        <f>IFERROR(IF(INDEX('L&amp;R'!$P$10:$P$11,MATCH($F195,'L&amp;R'!$B$10:$B$11,0))="","Cell will autofill based on response",INDEX('L&amp;R'!$P$10:$P$11,MATCH($F195,'L&amp;R'!$B$10:$B$11,0))),"N/A")</f>
        <v/>
      </c>
    </row>
    <row r="196">
      <c r="A196">
        <f>F196&amp;"|"&amp;G196</f>
        <v/>
      </c>
      <c r="B196" s="7" t="inlineStr">
        <is>
          <t>EN1(d)</t>
        </is>
      </c>
      <c r="C196" s="50" t="inlineStr">
        <is>
          <t>Enablers</t>
        </is>
      </c>
      <c r="D196" s="50" t="inlineStr">
        <is>
          <t>Sustainability objectives integrated into governance and decision‑making processes, supported by transparent reporting.</t>
        </is>
      </c>
      <c r="E196" s="50"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50" t="inlineStr">
        <is>
          <t>EN1(d)</t>
        </is>
      </c>
      <c r="G196" s="50" t="inlineStr">
        <is>
          <t>OPTION 1:  Target-level reporting</t>
        </is>
      </c>
      <c r="H196" s="52">
        <f>IFERROR(IF(INDEX('Faculties'!$L$10:$L$19,MATCH($F196,'Faculties'!$B$10:$B$19,0))="","Cell will autofill based on response",INDEX('Faculties'!$L$10:$L$19,MATCH($F196,'Faculties'!$B$10:$B$19,0))),"N/A")</f>
        <v/>
      </c>
      <c r="I196" s="52">
        <f>IFERROR(IF(INDEX('Faculties'!$L$26:$L$35,MATCH($F196,'Faculties'!$B$26:$B$35,0))="","Cell will autofill based on response",INDEX('Faculties'!$L$26:$L$35,MATCH($F196,'Faculties'!$B$26:$B$35,0))),"N/A")</f>
        <v/>
      </c>
      <c r="J196" s="52">
        <f>IFERROR(IF(INDEX('Faculties'!$L$42:$L$51,MATCH($F196,'Faculties'!$B$42:$B$51,0))="","Cell will autofill based on response",INDEX('Faculties'!$L$42:$L$51,MATCH($F196,'Faculties'!$B$42:$B$51,0))),"N/A")</f>
        <v/>
      </c>
      <c r="K196" s="52">
        <f>IFERROR(IF(INDEX('Faculties'!$L$58:$L$67,MATCH($F196,'Faculties'!$B$58:$B$67,0))="","Cell will autofill based on response",INDEX('Faculties'!$L$58:$L$67,MATCH($F196,'Faculties'!$B$58:$B$67,0))),"N/A")</f>
        <v/>
      </c>
      <c r="L196" s="52">
        <f>IFERROR(IF(INDEX('CI&amp;S'!$L$10:$L$15,MATCH($F196,'CI&amp;S'!$B$10:$B$15,0))="","Cell will autofill based on response",INDEX('CI&amp;S'!$L$10:$L$15,MATCH($F196,'CI&amp;S'!$B$10:$B$15,0))),"N/A")</f>
        <v/>
      </c>
      <c r="M196" s="52">
        <f>IFERROR(IF(INDEX('CI&amp;S'!$L$22:$L$36,MATCH($F196,'CI&amp;S'!$B$22:$B$36,0))="","Cell will autofill based on response",INDEX('CI&amp;S'!$L$22:$L$36,MATCH($F196,'CI&amp;S'!$B$22:$B$36,0))),"N/A")</f>
        <v/>
      </c>
      <c r="N196" s="52">
        <f>IFERROR(IF(INDEX('CFOG'!$L$10:$L$16,MATCH($F196,'CFOG'!$B$10:$B$16,0))="","Cell will autofill based on response",INDEX('CFOG'!$L$10:$L$16,MATCH($F196,'CFOG'!$B$10:$B$16,0))),"N/A")</f>
        <v/>
      </c>
      <c r="O196" s="52">
        <f>IFERROR(IF(INDEX('CFOG'!$L$23:$L$24,MATCH($F196,'CFOG'!$B$23:$B$24,0))="","Cell will autofill based on response",INDEX('CFOG'!$L$23:$L$24,MATCH($F196,'CFOG'!$B$23:$B$24,0))),"N/A")</f>
        <v/>
      </c>
      <c r="P196" s="52">
        <f>IFERROR(IF(INDEX('ESG'!$L$10:$L$17,MATCH($F196,'ESG'!$B$10:$B$17,0))="","Cell will autofill based on response",INDEX('ESG'!$L$10:$L$17,MATCH($F196,'ESG'!$B$10:$B$17,0))),"N/A")</f>
        <v/>
      </c>
      <c r="Q196" s="52">
        <f>IFERROR(IF(INDEX('CIOG'!$L$10:$L$14,MATCH($F196,'CIOG'!$B$10:$B$14,0))="","Cell will autofill based on response",INDEX('CIOG'!$L$10:$L$14,MATCH($F196,'CIOG'!$B$10:$B$14,0))),"N/A")</f>
        <v/>
      </c>
      <c r="R196" s="52">
        <f>IFERROR(IF(INDEX('MRE'!$L$10:$L$18,MATCH($F196,'MRE'!$B$10:$B$18,0))="","Cell will autofill based on response",INDEX('MRE'!$L$10:$L$18,MATCH($F196,'MRE'!$B$10:$B$18,0))),"N/A")</f>
        <v/>
      </c>
      <c r="S196" s="52">
        <f>IFERROR(IF(INDEX('AC&amp;M'!$L$10:$L$14,MATCH($F196,'AC&amp;M'!$B$10:$B$14,0))="","Cell will autofill based on response",INDEX('AC&amp;M'!$L$10:$L$14,MATCH($F196,'AC&amp;M'!$B$10:$B$14,0))),"N/A")</f>
        <v/>
      </c>
      <c r="T196" s="52">
        <f>IFERROR(IF(INDEX('GCE'!$L$10:$L$12,MATCH($F196,'GCE'!$B$10:$B$12,0))="","Cell will autofill based on response",INDEX('GCE'!$L$10:$L$12,MATCH($F196,'GCE'!$B$10:$B$12,0))),"N/A")</f>
        <v/>
      </c>
      <c r="U196" s="52">
        <f>IFERROR(IF(INDEX('Education'!$L$10:$L$13,MATCH($F196,'Education'!$B$10:$B$13,0))="","Cell will autofill based on response",INDEX('Education'!$L$10:$L$13,MATCH($F196,'Education'!$B$10:$B$13,0))),"N/A")</f>
        <v/>
      </c>
      <c r="V196" s="52">
        <f>IFERROR(IF(INDEX('SaSS'!$L$10:$L$12,MATCH($F196,'SaSS'!$B$10:$B$12,0))="","Cell will autofill based on response",INDEX('SaSS'!$L$10:$L$12,MATCH($F196,'SaSS'!$B$10:$B$12,0))),"N/A")</f>
        <v/>
      </c>
      <c r="W196" s="52">
        <f>IFERROR(IF(INDEX('Indigenous'!$L$10:$L$11,MATCH($F196,'Indigenous'!$B$10:$B$11,0))="","Cell will autofill based on response",INDEX('Indigenous'!$L$10:$L$11,MATCH($F196,'Indigenous'!$B$10:$B$11,0))),"N/A")</f>
        <v/>
      </c>
      <c r="X196" s="52">
        <f>IFERROR(IF(INDEX('L&amp;R'!$L$10:$L$11,MATCH($F196,'L&amp;R'!$B$10:$B$11,0))="","Cell will autofill based on response",INDEX('L&amp;R'!$L$10:$L$11,MATCH($F196,'L&amp;R'!$B$10:$B$11,0))),"N/A")</f>
        <v/>
      </c>
      <c r="Z196" s="10">
        <f>SUMPRODUCT(--($H196:$X196&lt;&gt;"N/A"))</f>
        <v/>
      </c>
      <c r="AA196" s="10">
        <f>SUMPRODUCT(--(((($H196:$X196&lt;&gt;"N/A")*($H196:$X196&lt;&gt;"Cell will autofill based on response"))+(($H197:$X197&lt;&gt;"N/A")*($H197:$X197&lt;&gt;"Cell will autofill based on response")))&gt;0))</f>
        <v/>
      </c>
      <c r="AB196" s="10">
        <f>Z196-AA196</f>
        <v/>
      </c>
      <c r="AC196" s="10">
        <f>COUNTIF($H200:$X200,"Yes")</f>
        <v/>
      </c>
    </row>
    <row r="197">
      <c r="A197">
        <f>F197&amp;"|"&amp;G197</f>
        <v/>
      </c>
      <c r="B197" s="13" t="inlineStr"/>
      <c r="C197" s="8" t="inlineStr"/>
      <c r="D197" s="8" t="inlineStr"/>
      <c r="E197" s="8" t="inlineStr"/>
      <c r="F197" s="8" t="inlineStr">
        <is>
          <t>EN1(d)</t>
        </is>
      </c>
      <c r="G197" s="8" t="inlineStr">
        <is>
          <t>OPTION 2:  Indicator level reporting</t>
        </is>
      </c>
      <c r="H197" s="52">
        <f>IFERROR(IF(INDEX('Faculties'!$M$10:$M$19,MATCH($F197,'Faculties'!$B$10:$B$19,0))="","Cell will autofill based on response",INDEX('Faculties'!$M$10:$M$19,MATCH($F197,'Faculties'!$B$10:$B$19,0))),"N/A")</f>
        <v/>
      </c>
      <c r="I197" s="52">
        <f>IFERROR(IF(INDEX('Faculties'!$M$26:$M$35,MATCH($F197,'Faculties'!$B$26:$B$35,0))="","Cell will autofill based on response",INDEX('Faculties'!$M$26:$M$35,MATCH($F197,'Faculties'!$B$26:$B$35,0))),"N/A")</f>
        <v/>
      </c>
      <c r="J197" s="52">
        <f>IFERROR(IF(INDEX('Faculties'!$M$42:$M$51,MATCH($F197,'Faculties'!$B$42:$B$51,0))="","Cell will autofill based on response",INDEX('Faculties'!$M$42:$M$51,MATCH($F197,'Faculties'!$B$42:$B$51,0))),"N/A")</f>
        <v/>
      </c>
      <c r="K197" s="52">
        <f>IFERROR(IF(INDEX('Faculties'!$M$58:$M$67,MATCH($F197,'Faculties'!$B$58:$B$67,0))="","Cell will autofill based on response",INDEX('Faculties'!$M$58:$M$67,MATCH($F197,'Faculties'!$B$58:$B$67,0))),"N/A")</f>
        <v/>
      </c>
      <c r="L197" s="52">
        <f>IFERROR(IF(INDEX('CI&amp;S'!$M$10:$M$15,MATCH($F197,'CI&amp;S'!$B$10:$B$15,0))="","Cell will autofill based on response",INDEX('CI&amp;S'!$M$10:$M$15,MATCH($F197,'CI&amp;S'!$B$10:$B$15,0))),"N/A")</f>
        <v/>
      </c>
      <c r="M197" s="52">
        <f>IFERROR(IF(INDEX('CI&amp;S'!$M$22:$M$36,MATCH($F197,'CI&amp;S'!$B$22:$B$36,0))="","Cell will autofill based on response",INDEX('CI&amp;S'!$M$22:$M$36,MATCH($F197,'CI&amp;S'!$B$22:$B$36,0))),"N/A")</f>
        <v/>
      </c>
      <c r="N197" s="52">
        <f>IFERROR(IF(INDEX('CFOG'!$M$10:$M$16,MATCH($F197,'CFOG'!$B$10:$B$16,0))="","Cell will autofill based on response",INDEX('CFOG'!$M$10:$M$16,MATCH($F197,'CFOG'!$B$10:$B$16,0))),"N/A")</f>
        <v/>
      </c>
      <c r="O197" s="52">
        <f>IFERROR(IF(INDEX('CFOG'!$M$23:$M$24,MATCH($F197,'CFOG'!$B$23:$B$24,0))="","Cell will autofill based on response",INDEX('CFOG'!$M$23:$M$24,MATCH($F197,'CFOG'!$B$23:$B$24,0))),"N/A")</f>
        <v/>
      </c>
      <c r="P197" s="52">
        <f>IFERROR(IF(INDEX('ESG'!$M$10:$M$17,MATCH($F197,'ESG'!$B$10:$B$17,0))="","Cell will autofill based on response",INDEX('ESG'!$M$10:$M$17,MATCH($F197,'ESG'!$B$10:$B$17,0))),"N/A")</f>
        <v/>
      </c>
      <c r="Q197" s="52">
        <f>IFERROR(IF(INDEX('CIOG'!$M$10:$M$14,MATCH($F197,'CIOG'!$B$10:$B$14,0))="","Cell will autofill based on response",INDEX('CIOG'!$M$10:$M$14,MATCH($F197,'CIOG'!$B$10:$B$14,0))),"N/A")</f>
        <v/>
      </c>
      <c r="R197" s="52">
        <f>IFERROR(IF(INDEX('MRE'!$M$10:$M$18,MATCH($F197,'MRE'!$B$10:$B$18,0))="","Cell will autofill based on response",INDEX('MRE'!$M$10:$M$18,MATCH($F197,'MRE'!$B$10:$B$18,0))),"N/A")</f>
        <v/>
      </c>
      <c r="S197" s="52">
        <f>IFERROR(IF(INDEX('AC&amp;M'!$M$10:$M$14,MATCH($F197,'AC&amp;M'!$B$10:$B$14,0))="","Cell will autofill based on response",INDEX('AC&amp;M'!$M$10:$M$14,MATCH($F197,'AC&amp;M'!$B$10:$B$14,0))),"N/A")</f>
        <v/>
      </c>
      <c r="T197" s="52">
        <f>IFERROR(IF(INDEX('GCE'!$M$10:$M$12,MATCH($F197,'GCE'!$B$10:$B$12,0))="","Cell will autofill based on response",INDEX('GCE'!$M$10:$M$12,MATCH($F197,'GCE'!$B$10:$B$12,0))),"N/A")</f>
        <v/>
      </c>
      <c r="U197" s="52">
        <f>IFERROR(IF(INDEX('Education'!$M$10:$M$13,MATCH($F197,'Education'!$B$10:$B$13,0))="","Cell will autofill based on response",INDEX('Education'!$M$10:$M$13,MATCH($F197,'Education'!$B$10:$B$13,0))),"N/A")</f>
        <v/>
      </c>
      <c r="V197" s="52">
        <f>IFERROR(IF(INDEX('SaSS'!$M$10:$M$12,MATCH($F197,'SaSS'!$B$10:$B$12,0))="","Cell will autofill based on response",INDEX('SaSS'!$M$10:$M$12,MATCH($F197,'SaSS'!$B$10:$B$12,0))),"N/A")</f>
        <v/>
      </c>
      <c r="W197" s="52">
        <f>IFERROR(IF(INDEX('Indigenous'!$M$10:$M$11,MATCH($F197,'Indigenous'!$B$10:$B$11,0))="","Cell will autofill based on response",INDEX('Indigenous'!$M$10:$M$11,MATCH($F197,'Indigenous'!$B$10:$B$11,0))),"N/A")</f>
        <v/>
      </c>
      <c r="X197" s="52">
        <f>IFERROR(IF(INDEX('L&amp;R'!$M$10:$M$11,MATCH($F197,'L&amp;R'!$B$10:$B$11,0))="","Cell will autofill based on response",INDEX('L&amp;R'!$M$10:$M$11,MATCH($F197,'L&amp;R'!$B$10:$B$11,0))),"N/A")</f>
        <v/>
      </c>
    </row>
    <row r="198">
      <c r="A198">
        <f>F198&amp;"|"&amp;G198</f>
        <v/>
      </c>
      <c r="B198" s="13" t="inlineStr"/>
      <c r="C198" s="8" t="inlineStr"/>
      <c r="D198" s="8" t="inlineStr"/>
      <c r="E198" s="8" t="inlineStr"/>
      <c r="F198" s="8" t="inlineStr">
        <is>
          <t>EN1(d)</t>
        </is>
      </c>
      <c r="G198" s="8" t="inlineStr">
        <is>
          <t>Supporting information/comments</t>
        </is>
      </c>
      <c r="H198" s="52">
        <f>IFERROR(IF(INDEX('Faculties'!$N$10:$N$19,MATCH($F198,'Faculties'!$B$10:$B$19,0))="","Cell will autofill based on response",INDEX('Faculties'!$N$10:$N$19,MATCH($F198,'Faculties'!$B$10:$B$19,0))),"N/A")</f>
        <v/>
      </c>
      <c r="I198" s="52">
        <f>IFERROR(IF(INDEX('Faculties'!$N$26:$N$35,MATCH($F198,'Faculties'!$B$26:$B$35,0))="","Cell will autofill based on response",INDEX('Faculties'!$N$26:$N$35,MATCH($F198,'Faculties'!$B$26:$B$35,0))),"N/A")</f>
        <v/>
      </c>
      <c r="J198" s="52">
        <f>IFERROR(IF(INDEX('Faculties'!$N$42:$N$51,MATCH($F198,'Faculties'!$B$42:$B$51,0))="","Cell will autofill based on response",INDEX('Faculties'!$N$42:$N$51,MATCH($F198,'Faculties'!$B$42:$B$51,0))),"N/A")</f>
        <v/>
      </c>
      <c r="K198" s="52">
        <f>IFERROR(IF(INDEX('Faculties'!$N$58:$N$67,MATCH($F198,'Faculties'!$B$58:$B$67,0))="","Cell will autofill based on response",INDEX('Faculties'!$N$58:$N$67,MATCH($F198,'Faculties'!$B$58:$B$67,0))),"N/A")</f>
        <v/>
      </c>
      <c r="L198" s="52">
        <f>IFERROR(IF(INDEX('CI&amp;S'!$N$10:$N$15,MATCH($F198,'CI&amp;S'!$B$10:$B$15,0))="","Cell will autofill based on response",INDEX('CI&amp;S'!$N$10:$N$15,MATCH($F198,'CI&amp;S'!$B$10:$B$15,0))),"N/A")</f>
        <v/>
      </c>
      <c r="M198" s="52">
        <f>IFERROR(IF(INDEX('CI&amp;S'!$N$22:$N$36,MATCH($F198,'CI&amp;S'!$B$22:$B$36,0))="","Cell will autofill based on response",INDEX('CI&amp;S'!$N$22:$N$36,MATCH($F198,'CI&amp;S'!$B$22:$B$36,0))),"N/A")</f>
        <v/>
      </c>
      <c r="N198" s="52">
        <f>IFERROR(IF(INDEX('CFOG'!$N$10:$N$16,MATCH($F198,'CFOG'!$B$10:$B$16,0))="","Cell will autofill based on response",INDEX('CFOG'!$N$10:$N$16,MATCH($F198,'CFOG'!$B$10:$B$16,0))),"N/A")</f>
        <v/>
      </c>
      <c r="O198" s="52">
        <f>IFERROR(IF(INDEX('CFOG'!$N$23:$N$24,MATCH($F198,'CFOG'!$B$23:$B$24,0))="","Cell will autofill based on response",INDEX('CFOG'!$N$23:$N$24,MATCH($F198,'CFOG'!$B$23:$B$24,0))),"N/A")</f>
        <v/>
      </c>
      <c r="P198" s="52">
        <f>IFERROR(IF(INDEX('ESG'!$N$10:$N$17,MATCH($F198,'ESG'!$B$10:$B$17,0))="","Cell will autofill based on response",INDEX('ESG'!$N$10:$N$17,MATCH($F198,'ESG'!$B$10:$B$17,0))),"N/A")</f>
        <v/>
      </c>
      <c r="Q198" s="52">
        <f>IFERROR(IF(INDEX('CIOG'!$N$10:$N$14,MATCH($F198,'CIOG'!$B$10:$B$14,0))="","Cell will autofill based on response",INDEX('CIOG'!$N$10:$N$14,MATCH($F198,'CIOG'!$B$10:$B$14,0))),"N/A")</f>
        <v/>
      </c>
      <c r="R198" s="52">
        <f>IFERROR(IF(INDEX('MRE'!$N$10:$N$18,MATCH($F198,'MRE'!$B$10:$B$18,0))="","Cell will autofill based on response",INDEX('MRE'!$N$10:$N$18,MATCH($F198,'MRE'!$B$10:$B$18,0))),"N/A")</f>
        <v/>
      </c>
      <c r="S198" s="52">
        <f>IFERROR(IF(INDEX('AC&amp;M'!$N$10:$N$14,MATCH($F198,'AC&amp;M'!$B$10:$B$14,0))="","Cell will autofill based on response",INDEX('AC&amp;M'!$N$10:$N$14,MATCH($F198,'AC&amp;M'!$B$10:$B$14,0))),"N/A")</f>
        <v/>
      </c>
      <c r="T198" s="52">
        <f>IFERROR(IF(INDEX('GCE'!$N$10:$N$12,MATCH($F198,'GCE'!$B$10:$B$12,0))="","Cell will autofill based on response",INDEX('GCE'!$N$10:$N$12,MATCH($F198,'GCE'!$B$10:$B$12,0))),"N/A")</f>
        <v/>
      </c>
      <c r="U198" s="52">
        <f>IFERROR(IF(INDEX('Education'!$N$10:$N$13,MATCH($F198,'Education'!$B$10:$B$13,0))="","Cell will autofill based on response",INDEX('Education'!$N$10:$N$13,MATCH($F198,'Education'!$B$10:$B$13,0))),"N/A")</f>
        <v/>
      </c>
      <c r="V198" s="52">
        <f>IFERROR(IF(INDEX('SaSS'!$N$10:$N$12,MATCH($F198,'SaSS'!$B$10:$B$12,0))="","Cell will autofill based on response",INDEX('SaSS'!$N$10:$N$12,MATCH($F198,'SaSS'!$B$10:$B$12,0))),"N/A")</f>
        <v/>
      </c>
      <c r="W198" s="52">
        <f>IFERROR(IF(INDEX('Indigenous'!$N$10:$N$11,MATCH($F198,'Indigenous'!$B$10:$B$11,0))="","Cell will autofill based on response",INDEX('Indigenous'!$N$10:$N$11,MATCH($F198,'Indigenous'!$B$10:$B$11,0))),"N/A")</f>
        <v/>
      </c>
      <c r="X198" s="52">
        <f>IFERROR(IF(INDEX('L&amp;R'!$N$10:$N$11,MATCH($F198,'L&amp;R'!$B$10:$B$11,0))="","Cell will autofill based on response",INDEX('L&amp;R'!$N$10:$N$11,MATCH($F198,'L&amp;R'!$B$10:$B$11,0))),"N/A")</f>
        <v/>
      </c>
    </row>
    <row r="199">
      <c r="A199">
        <f>F199&amp;"|"&amp;G199</f>
        <v/>
      </c>
      <c r="B199" s="13" t="inlineStr"/>
      <c r="C199" s="8" t="inlineStr"/>
      <c r="D199" s="8" t="inlineStr"/>
      <c r="E199" s="8" t="inlineStr"/>
      <c r="F199" s="8" t="inlineStr">
        <is>
          <t>EN1(d)</t>
        </is>
      </c>
      <c r="G199" s="8" t="inlineStr">
        <is>
          <t>Data source and limitations</t>
        </is>
      </c>
      <c r="H199" s="52">
        <f>IFERROR(IF(INDEX('Faculties'!$O$10:$O$19,MATCH($F199,'Faculties'!$B$10:$B$19,0))="","Cell will autofill based on response",INDEX('Faculties'!$O$10:$O$19,MATCH($F199,'Faculties'!$B$10:$B$19,0))),"N/A")</f>
        <v/>
      </c>
      <c r="I199" s="52">
        <f>IFERROR(IF(INDEX('Faculties'!$O$26:$O$35,MATCH($F199,'Faculties'!$B$26:$B$35,0))="","Cell will autofill based on response",INDEX('Faculties'!$O$26:$O$35,MATCH($F199,'Faculties'!$B$26:$B$35,0))),"N/A")</f>
        <v/>
      </c>
      <c r="J199" s="52">
        <f>IFERROR(IF(INDEX('Faculties'!$O$42:$O$51,MATCH($F199,'Faculties'!$B$42:$B$51,0))="","Cell will autofill based on response",INDEX('Faculties'!$O$42:$O$51,MATCH($F199,'Faculties'!$B$42:$B$51,0))),"N/A")</f>
        <v/>
      </c>
      <c r="K199" s="52">
        <f>IFERROR(IF(INDEX('Faculties'!$O$58:$O$67,MATCH($F199,'Faculties'!$B$58:$B$67,0))="","Cell will autofill based on response",INDEX('Faculties'!$O$58:$O$67,MATCH($F199,'Faculties'!$B$58:$B$67,0))),"N/A")</f>
        <v/>
      </c>
      <c r="L199" s="52">
        <f>IFERROR(IF(INDEX('CI&amp;S'!$O$10:$O$15,MATCH($F199,'CI&amp;S'!$B$10:$B$15,0))="","Cell will autofill based on response",INDEX('CI&amp;S'!$O$10:$O$15,MATCH($F199,'CI&amp;S'!$B$10:$B$15,0))),"N/A")</f>
        <v/>
      </c>
      <c r="M199" s="52">
        <f>IFERROR(IF(INDEX('CI&amp;S'!$O$22:$O$36,MATCH($F199,'CI&amp;S'!$B$22:$B$36,0))="","Cell will autofill based on response",INDEX('CI&amp;S'!$O$22:$O$36,MATCH($F199,'CI&amp;S'!$B$22:$B$36,0))),"N/A")</f>
        <v/>
      </c>
      <c r="N199" s="52">
        <f>IFERROR(IF(INDEX('CFOG'!$O$10:$O$16,MATCH($F199,'CFOG'!$B$10:$B$16,0))="","Cell will autofill based on response",INDEX('CFOG'!$O$10:$O$16,MATCH($F199,'CFOG'!$B$10:$B$16,0))),"N/A")</f>
        <v/>
      </c>
      <c r="O199" s="52">
        <f>IFERROR(IF(INDEX('CFOG'!$O$23:$O$24,MATCH($F199,'CFOG'!$B$23:$B$24,0))="","Cell will autofill based on response",INDEX('CFOG'!$O$23:$O$24,MATCH($F199,'CFOG'!$B$23:$B$24,0))),"N/A")</f>
        <v/>
      </c>
      <c r="P199" s="52">
        <f>IFERROR(IF(INDEX('ESG'!$O$10:$O$17,MATCH($F199,'ESG'!$B$10:$B$17,0))="","Cell will autofill based on response",INDEX('ESG'!$O$10:$O$17,MATCH($F199,'ESG'!$B$10:$B$17,0))),"N/A")</f>
        <v/>
      </c>
      <c r="Q199" s="52">
        <f>IFERROR(IF(INDEX('CIOG'!$O$10:$O$14,MATCH($F199,'CIOG'!$B$10:$B$14,0))="","Cell will autofill based on response",INDEX('CIOG'!$O$10:$O$14,MATCH($F199,'CIOG'!$B$10:$B$14,0))),"N/A")</f>
        <v/>
      </c>
      <c r="R199" s="52">
        <f>IFERROR(IF(INDEX('MRE'!$O$10:$O$18,MATCH($F199,'MRE'!$B$10:$B$18,0))="","Cell will autofill based on response",INDEX('MRE'!$O$10:$O$18,MATCH($F199,'MRE'!$B$10:$B$18,0))),"N/A")</f>
        <v/>
      </c>
      <c r="S199" s="52">
        <f>IFERROR(IF(INDEX('AC&amp;M'!$O$10:$O$14,MATCH($F199,'AC&amp;M'!$B$10:$B$14,0))="","Cell will autofill based on response",INDEX('AC&amp;M'!$O$10:$O$14,MATCH($F199,'AC&amp;M'!$B$10:$B$14,0))),"N/A")</f>
        <v/>
      </c>
      <c r="T199" s="52">
        <f>IFERROR(IF(INDEX('GCE'!$O$10:$O$12,MATCH($F199,'GCE'!$B$10:$B$12,0))="","Cell will autofill based on response",INDEX('GCE'!$O$10:$O$12,MATCH($F199,'GCE'!$B$10:$B$12,0))),"N/A")</f>
        <v/>
      </c>
      <c r="U199" s="52">
        <f>IFERROR(IF(INDEX('Education'!$O$10:$O$13,MATCH($F199,'Education'!$B$10:$B$13,0))="","Cell will autofill based on response",INDEX('Education'!$O$10:$O$13,MATCH($F199,'Education'!$B$10:$B$13,0))),"N/A")</f>
        <v/>
      </c>
      <c r="V199" s="52">
        <f>IFERROR(IF(INDEX('SaSS'!$O$10:$O$12,MATCH($F199,'SaSS'!$B$10:$B$12,0))="","Cell will autofill based on response",INDEX('SaSS'!$O$10:$O$12,MATCH($F199,'SaSS'!$B$10:$B$12,0))),"N/A")</f>
        <v/>
      </c>
      <c r="W199" s="52">
        <f>IFERROR(IF(INDEX('Indigenous'!$O$10:$O$11,MATCH($F199,'Indigenous'!$B$10:$B$11,0))="","Cell will autofill based on response",INDEX('Indigenous'!$O$10:$O$11,MATCH($F199,'Indigenous'!$B$10:$B$11,0))),"N/A")</f>
        <v/>
      </c>
      <c r="X199" s="52">
        <f>IFERROR(IF(INDEX('L&amp;R'!$O$10:$O$11,MATCH($F199,'L&amp;R'!$B$10:$B$11,0))="","Cell will autofill based on response",INDEX('L&amp;R'!$O$10:$O$11,MATCH($F199,'L&amp;R'!$B$10:$B$11,0))),"N/A")</f>
        <v/>
      </c>
    </row>
    <row r="200">
      <c r="A200">
        <f>F200&amp;"|"&amp;G200</f>
        <v/>
      </c>
      <c r="B200" s="13" t="inlineStr"/>
      <c r="C200" s="8" t="inlineStr"/>
      <c r="D200" s="8" t="inlineStr"/>
      <c r="E200" s="8" t="inlineStr"/>
      <c r="F200" s="8" t="inlineStr">
        <is>
          <t>EN1(d)</t>
        </is>
      </c>
      <c r="G200" s="8" t="inlineStr">
        <is>
          <t>Data owner confirms</t>
        </is>
      </c>
      <c r="H200" s="52">
        <f>IFERROR(IF(INDEX('Faculties'!$P$10:$P$19,MATCH($F200,'Faculties'!$B$10:$B$19,0))="","Cell will autofill based on response",INDEX('Faculties'!$P$10:$P$19,MATCH($F200,'Faculties'!$B$10:$B$19,0))),"N/A")</f>
        <v/>
      </c>
      <c r="I200" s="52">
        <f>IFERROR(IF(INDEX('Faculties'!$P$26:$P$35,MATCH($F200,'Faculties'!$B$26:$B$35,0))="","Cell will autofill based on response",INDEX('Faculties'!$P$26:$P$35,MATCH($F200,'Faculties'!$B$26:$B$35,0))),"N/A")</f>
        <v/>
      </c>
      <c r="J200" s="52">
        <f>IFERROR(IF(INDEX('Faculties'!$P$42:$P$51,MATCH($F200,'Faculties'!$B$42:$B$51,0))="","Cell will autofill based on response",INDEX('Faculties'!$P$42:$P$51,MATCH($F200,'Faculties'!$B$42:$B$51,0))),"N/A")</f>
        <v/>
      </c>
      <c r="K200" s="52">
        <f>IFERROR(IF(INDEX('Faculties'!$P$58:$P$67,MATCH($F200,'Faculties'!$B$58:$B$67,0))="","Cell will autofill based on response",INDEX('Faculties'!$P$58:$P$67,MATCH($F200,'Faculties'!$B$58:$B$67,0))),"N/A")</f>
        <v/>
      </c>
      <c r="L200" s="52">
        <f>IFERROR(IF(INDEX('CI&amp;S'!$P$10:$P$15,MATCH($F200,'CI&amp;S'!$B$10:$B$15,0))="","Cell will autofill based on response",INDEX('CI&amp;S'!$P$10:$P$15,MATCH($F200,'CI&amp;S'!$B$10:$B$15,0))),"N/A")</f>
        <v/>
      </c>
      <c r="M200" s="52">
        <f>IFERROR(IF(INDEX('CI&amp;S'!$P$22:$P$36,MATCH($F200,'CI&amp;S'!$B$22:$B$36,0))="","Cell will autofill based on response",INDEX('CI&amp;S'!$P$22:$P$36,MATCH($F200,'CI&amp;S'!$B$22:$B$36,0))),"N/A")</f>
        <v/>
      </c>
      <c r="N200" s="52">
        <f>IFERROR(IF(INDEX('CFOG'!$P$10:$P$16,MATCH($F200,'CFOG'!$B$10:$B$16,0))="","Cell will autofill based on response",INDEX('CFOG'!$P$10:$P$16,MATCH($F200,'CFOG'!$B$10:$B$16,0))),"N/A")</f>
        <v/>
      </c>
      <c r="O200" s="52">
        <f>IFERROR(IF(INDEX('CFOG'!$P$23:$P$24,MATCH($F200,'CFOG'!$B$23:$B$24,0))="","Cell will autofill based on response",INDEX('CFOG'!$P$23:$P$24,MATCH($F200,'CFOG'!$B$23:$B$24,0))),"N/A")</f>
        <v/>
      </c>
      <c r="P200" s="52">
        <f>IFERROR(IF(INDEX('ESG'!$P$10:$P$17,MATCH($F200,'ESG'!$B$10:$B$17,0))="","Cell will autofill based on response",INDEX('ESG'!$P$10:$P$17,MATCH($F200,'ESG'!$B$10:$B$17,0))),"N/A")</f>
        <v/>
      </c>
      <c r="Q200" s="52">
        <f>IFERROR(IF(INDEX('CIOG'!$P$10:$P$14,MATCH($F200,'CIOG'!$B$10:$B$14,0))="","Cell will autofill based on response",INDEX('CIOG'!$P$10:$P$14,MATCH($F200,'CIOG'!$B$10:$B$14,0))),"N/A")</f>
        <v/>
      </c>
      <c r="R200" s="52">
        <f>IFERROR(IF(INDEX('MRE'!$P$10:$P$18,MATCH($F200,'MRE'!$B$10:$B$18,0))="","Cell will autofill based on response",INDEX('MRE'!$P$10:$P$18,MATCH($F200,'MRE'!$B$10:$B$18,0))),"N/A")</f>
        <v/>
      </c>
      <c r="S200" s="52">
        <f>IFERROR(IF(INDEX('AC&amp;M'!$P$10:$P$14,MATCH($F200,'AC&amp;M'!$B$10:$B$14,0))="","Cell will autofill based on response",INDEX('AC&amp;M'!$P$10:$P$14,MATCH($F200,'AC&amp;M'!$B$10:$B$14,0))),"N/A")</f>
        <v/>
      </c>
      <c r="T200" s="52">
        <f>IFERROR(IF(INDEX('GCE'!$P$10:$P$12,MATCH($F200,'GCE'!$B$10:$B$12,0))="","Cell will autofill based on response",INDEX('GCE'!$P$10:$P$12,MATCH($F200,'GCE'!$B$10:$B$12,0))),"N/A")</f>
        <v/>
      </c>
      <c r="U200" s="52">
        <f>IFERROR(IF(INDEX('Education'!$P$10:$P$13,MATCH($F200,'Education'!$B$10:$B$13,0))="","Cell will autofill based on response",INDEX('Education'!$P$10:$P$13,MATCH($F200,'Education'!$B$10:$B$13,0))),"N/A")</f>
        <v/>
      </c>
      <c r="V200" s="52">
        <f>IFERROR(IF(INDEX('SaSS'!$P$10:$P$12,MATCH($F200,'SaSS'!$B$10:$B$12,0))="","Cell will autofill based on response",INDEX('SaSS'!$P$10:$P$12,MATCH($F200,'SaSS'!$B$10:$B$12,0))),"N/A")</f>
        <v/>
      </c>
      <c r="W200" s="52">
        <f>IFERROR(IF(INDEX('Indigenous'!$P$10:$P$11,MATCH($F200,'Indigenous'!$B$10:$B$11,0))="","Cell will autofill based on response",INDEX('Indigenous'!$P$10:$P$11,MATCH($F200,'Indigenous'!$B$10:$B$11,0))),"N/A")</f>
        <v/>
      </c>
      <c r="X200" s="52">
        <f>IFERROR(IF(INDEX('L&amp;R'!$P$10:$P$11,MATCH($F200,'L&amp;R'!$B$10:$B$11,0))="","Cell will autofill based on response",INDEX('L&amp;R'!$P$10:$P$11,MATCH($F200,'L&amp;R'!$B$10:$B$11,0))),"N/A")</f>
        <v/>
      </c>
    </row>
  </sheetData>
  <autoFilter ref="B10:AC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72"/>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SR26 sustainability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Responses received</t>
        </is>
      </c>
      <c r="Q7" s="6" t="inlineStr">
        <is>
          <t>Owner confirmed</t>
        </is>
      </c>
      <c r="R7" s="6" t="inlineStr">
        <is>
          <t>Reviewer notes</t>
        </is>
      </c>
    </row>
    <row r="8">
      <c r="B8" s="7" t="inlineStr">
        <is>
          <t>EE1(a)</t>
        </is>
      </c>
      <c r="C8" s="50" t="inlineStr">
        <is>
          <t>Evidence of innovative approaches to sustainability teaching and learning</t>
        </is>
      </c>
      <c r="D8" s="53" t="inlineStr">
        <is>
          <t>Unit</t>
        </is>
      </c>
      <c r="E8" s="53" t="inlineStr">
        <is>
          <t>ABP</t>
        </is>
      </c>
      <c r="F8" s="53" t="inlineStr">
        <is>
          <t>ARTS</t>
        </is>
      </c>
      <c r="G8" s="53" t="inlineStr">
        <is>
          <t>FBE</t>
        </is>
      </c>
      <c r="H8" s="53" t="inlineStr">
        <is>
          <t>SCI</t>
        </is>
      </c>
      <c r="I8" s="53" t="inlineStr">
        <is>
          <t>CI&amp;S – Sustainability Strategy</t>
        </is>
      </c>
      <c r="J8" s="53" t="inlineStr">
        <is>
          <t>Education – Chancellery Education</t>
        </is>
      </c>
      <c r="P8" s="54">
        <f>'A1. Response summary'!AA11</f>
        <v/>
      </c>
      <c r="Q8" s="54">
        <f>'A1. Response summary'!AC11</f>
        <v/>
      </c>
      <c r="R8" s="8" t="n"/>
    </row>
    <row r="9" ht="18" customHeight="1">
      <c r="B9" s="55" t="inlineStr">
        <is>
          <t>EE1(a)</t>
        </is>
      </c>
      <c r="D9" s="13" t="inlineStr">
        <is>
          <t>OPTION 1:  Target-level reporting</t>
        </is>
      </c>
      <c r="E9" s="56">
        <f>'A1. Response summary'!H11</f>
        <v/>
      </c>
      <c r="F9" s="56">
        <f>'A1. Response summary'!I11</f>
        <v/>
      </c>
      <c r="G9" s="56">
        <f>'A1. Response summary'!J11</f>
        <v/>
      </c>
      <c r="H9" s="56">
        <f>'A1. Response summary'!K11</f>
        <v/>
      </c>
      <c r="I9" s="56">
        <f>'A1. Response summary'!M11</f>
        <v/>
      </c>
      <c r="J9" s="56">
        <f>'A1. Response summary'!U11</f>
        <v/>
      </c>
      <c r="R9" s="57" t="n"/>
    </row>
    <row r="10" ht="60" customHeight="1">
      <c r="B10" s="55" t="inlineStr">
        <is>
          <t>EE1(a)</t>
        </is>
      </c>
      <c r="D10" s="13" t="inlineStr">
        <is>
          <t>OPTION 2:  Indicator level reporting</t>
        </is>
      </c>
      <c r="E10" s="56">
        <f>'A1. Response summary'!H12</f>
        <v/>
      </c>
      <c r="F10" s="56">
        <f>'A1. Response summary'!I12</f>
        <v/>
      </c>
      <c r="G10" s="56">
        <f>'A1. Response summary'!J12</f>
        <v/>
      </c>
      <c r="H10" s="56">
        <f>'A1. Response summary'!K12</f>
        <v/>
      </c>
      <c r="I10" s="56">
        <f>'A1. Response summary'!M12</f>
        <v/>
      </c>
      <c r="J10" s="56">
        <f>'A1. Response summary'!U12</f>
        <v/>
      </c>
      <c r="R10" s="57" t="n"/>
    </row>
    <row r="11" ht="60" customHeight="1">
      <c r="B11" s="55" t="inlineStr">
        <is>
          <t>EE1(a)</t>
        </is>
      </c>
      <c r="D11" s="13" t="inlineStr">
        <is>
          <t>Supporting information/comments</t>
        </is>
      </c>
      <c r="E11" s="56">
        <f>'A1. Response summary'!H13</f>
        <v/>
      </c>
      <c r="F11" s="56">
        <f>'A1. Response summary'!I13</f>
        <v/>
      </c>
      <c r="G11" s="56">
        <f>'A1. Response summary'!J13</f>
        <v/>
      </c>
      <c r="H11" s="56">
        <f>'A1. Response summary'!K13</f>
        <v/>
      </c>
      <c r="I11" s="56">
        <f>'A1. Response summary'!M13</f>
        <v/>
      </c>
      <c r="J11" s="56">
        <f>'A1. Response summary'!U13</f>
        <v/>
      </c>
      <c r="R11" s="57" t="n"/>
    </row>
    <row r="12" ht="18" customHeight="1">
      <c r="B12" s="55" t="inlineStr">
        <is>
          <t>EE1(a)</t>
        </is>
      </c>
      <c r="D12" s="13" t="inlineStr">
        <is>
          <t>Data source and limitations</t>
        </is>
      </c>
      <c r="E12" s="56">
        <f>'A1. Response summary'!H14</f>
        <v/>
      </c>
      <c r="F12" s="56">
        <f>'A1. Response summary'!I14</f>
        <v/>
      </c>
      <c r="G12" s="56">
        <f>'A1. Response summary'!J14</f>
        <v/>
      </c>
      <c r="H12" s="56">
        <f>'A1. Response summary'!K14</f>
        <v/>
      </c>
      <c r="I12" s="56">
        <f>'A1. Response summary'!M14</f>
        <v/>
      </c>
      <c r="J12" s="56">
        <f>'A1. Response summary'!U14</f>
        <v/>
      </c>
      <c r="R12" s="57" t="n"/>
    </row>
    <row r="13" ht="18" customHeight="1">
      <c r="B13" s="55" t="inlineStr">
        <is>
          <t>EE1(a)</t>
        </is>
      </c>
      <c r="D13" s="13" t="inlineStr">
        <is>
          <t>Data owner confirms</t>
        </is>
      </c>
      <c r="E13" s="56">
        <f>'A1. Response summary'!H15</f>
        <v/>
      </c>
      <c r="F13" s="56">
        <f>'A1. Response summary'!I15</f>
        <v/>
      </c>
      <c r="G13" s="56">
        <f>'A1. Response summary'!J15</f>
        <v/>
      </c>
      <c r="H13" s="56">
        <f>'A1. Response summary'!K15</f>
        <v/>
      </c>
      <c r="I13" s="56">
        <f>'A1. Response summary'!M15</f>
        <v/>
      </c>
      <c r="J13" s="56">
        <f>'A1. Response summary'!U15</f>
        <v/>
      </c>
      <c r="R13" s="58" t="n"/>
    </row>
    <row r="15">
      <c r="B15" s="7" t="inlineStr">
        <is>
          <t>EE1(b)</t>
        </is>
      </c>
      <c r="C15" s="50" t="inlineStr">
        <is>
          <t>Pilots of possible approaches for understanding and developing students’ sustainability self-efficacy</t>
        </is>
      </c>
      <c r="D15" s="53" t="inlineStr">
        <is>
          <t>Unit</t>
        </is>
      </c>
      <c r="E15" s="53" t="inlineStr">
        <is>
          <t>ABP</t>
        </is>
      </c>
      <c r="F15" s="53" t="inlineStr">
        <is>
          <t>ARTS</t>
        </is>
      </c>
      <c r="G15" s="53" t="inlineStr">
        <is>
          <t>FBE</t>
        </is>
      </c>
      <c r="H15" s="53" t="inlineStr">
        <is>
          <t>SCI</t>
        </is>
      </c>
      <c r="I15" s="53" t="inlineStr">
        <is>
          <t>CI&amp;S – Sustainability Strategy</t>
        </is>
      </c>
      <c r="J15" s="53" t="inlineStr">
        <is>
          <t>Education – Chancellery Education</t>
        </is>
      </c>
      <c r="P15" s="54">
        <f>'A1. Response summary'!AA16</f>
        <v/>
      </c>
      <c r="Q15" s="54">
        <f>'A1. Response summary'!AC16</f>
        <v/>
      </c>
      <c r="R15" s="8" t="n"/>
    </row>
    <row r="16" ht="18" customHeight="1">
      <c r="B16" s="55" t="inlineStr">
        <is>
          <t>EE1(b)</t>
        </is>
      </c>
      <c r="D16" s="13" t="inlineStr">
        <is>
          <t>OPTION 1:  Target-level reporting</t>
        </is>
      </c>
      <c r="E16" s="56">
        <f>'A1. Response summary'!H16</f>
        <v/>
      </c>
      <c r="F16" s="56">
        <f>'A1. Response summary'!I16</f>
        <v/>
      </c>
      <c r="G16" s="56">
        <f>'A1. Response summary'!J16</f>
        <v/>
      </c>
      <c r="H16" s="56">
        <f>'A1. Response summary'!K16</f>
        <v/>
      </c>
      <c r="I16" s="56">
        <f>'A1. Response summary'!M16</f>
        <v/>
      </c>
      <c r="J16" s="56">
        <f>'A1. Response summary'!U16</f>
        <v/>
      </c>
      <c r="R16" s="57" t="n"/>
    </row>
    <row r="17" ht="60" customHeight="1">
      <c r="B17" s="55" t="inlineStr">
        <is>
          <t>EE1(b)</t>
        </is>
      </c>
      <c r="D17" s="13" t="inlineStr">
        <is>
          <t>OPTION 2:  Indicator level reporting</t>
        </is>
      </c>
      <c r="E17" s="56">
        <f>'A1. Response summary'!H17</f>
        <v/>
      </c>
      <c r="F17" s="56">
        <f>'A1. Response summary'!I17</f>
        <v/>
      </c>
      <c r="G17" s="56">
        <f>'A1. Response summary'!J17</f>
        <v/>
      </c>
      <c r="H17" s="56">
        <f>'A1. Response summary'!K17</f>
        <v/>
      </c>
      <c r="I17" s="56">
        <f>'A1. Response summary'!M17</f>
        <v/>
      </c>
      <c r="J17" s="56">
        <f>'A1. Response summary'!U17</f>
        <v/>
      </c>
      <c r="R17" s="57" t="n"/>
    </row>
    <row r="18" ht="60" customHeight="1">
      <c r="B18" s="55" t="inlineStr">
        <is>
          <t>EE1(b)</t>
        </is>
      </c>
      <c r="D18" s="13" t="inlineStr">
        <is>
          <t>Supporting information/comments</t>
        </is>
      </c>
      <c r="E18" s="56">
        <f>'A1. Response summary'!H18</f>
        <v/>
      </c>
      <c r="F18" s="56">
        <f>'A1. Response summary'!I18</f>
        <v/>
      </c>
      <c r="G18" s="56">
        <f>'A1. Response summary'!J18</f>
        <v/>
      </c>
      <c r="H18" s="56">
        <f>'A1. Response summary'!K18</f>
        <v/>
      </c>
      <c r="I18" s="56">
        <f>'A1. Response summary'!M18</f>
        <v/>
      </c>
      <c r="J18" s="56">
        <f>'A1. Response summary'!U18</f>
        <v/>
      </c>
      <c r="R18" s="57" t="n"/>
    </row>
    <row r="19" ht="18" customHeight="1">
      <c r="B19" s="55" t="inlineStr">
        <is>
          <t>EE1(b)</t>
        </is>
      </c>
      <c r="D19" s="13" t="inlineStr">
        <is>
          <t>Data source and limitations</t>
        </is>
      </c>
      <c r="E19" s="56">
        <f>'A1. Response summary'!H19</f>
        <v/>
      </c>
      <c r="F19" s="56">
        <f>'A1. Response summary'!I19</f>
        <v/>
      </c>
      <c r="G19" s="56">
        <f>'A1. Response summary'!J19</f>
        <v/>
      </c>
      <c r="H19" s="56">
        <f>'A1. Response summary'!K19</f>
        <v/>
      </c>
      <c r="I19" s="56">
        <f>'A1. Response summary'!M19</f>
        <v/>
      </c>
      <c r="J19" s="56">
        <f>'A1. Response summary'!U19</f>
        <v/>
      </c>
      <c r="R19" s="57" t="n"/>
    </row>
    <row r="20" ht="18" customHeight="1">
      <c r="B20" s="55" t="inlineStr">
        <is>
          <t>EE1(b)</t>
        </is>
      </c>
      <c r="D20" s="13" t="inlineStr">
        <is>
          <t>Data owner confirms</t>
        </is>
      </c>
      <c r="E20" s="56">
        <f>'A1. Response summary'!H20</f>
        <v/>
      </c>
      <c r="F20" s="56">
        <f>'A1. Response summary'!I20</f>
        <v/>
      </c>
      <c r="G20" s="56">
        <f>'A1. Response summary'!J20</f>
        <v/>
      </c>
      <c r="H20" s="56">
        <f>'A1. Response summary'!K20</f>
        <v/>
      </c>
      <c r="I20" s="56">
        <f>'A1. Response summary'!M20</f>
        <v/>
      </c>
      <c r="J20" s="56">
        <f>'A1. Response summary'!U20</f>
        <v/>
      </c>
      <c r="R20" s="58" t="n"/>
    </row>
    <row r="22">
      <c r="B22" s="7" t="inlineStr">
        <is>
          <t>EE1(c)</t>
        </is>
      </c>
      <c r="C22" s="50" t="inlineStr">
        <is>
          <t>Evidence of sustainability focused experiential and co curricular learning (eg Wattle Fellowship; Melbourne Plus)</t>
        </is>
      </c>
      <c r="D22" s="53" t="inlineStr">
        <is>
          <t>Unit</t>
        </is>
      </c>
      <c r="E22" s="53" t="inlineStr">
        <is>
          <t>CI&amp;S – Sustainability Strategy</t>
        </is>
      </c>
      <c r="F22" s="53" t="inlineStr">
        <is>
          <t>SaSS – Student and Scholarly Services</t>
        </is>
      </c>
      <c r="P22" s="54">
        <f>'A1. Response summary'!AA21</f>
        <v/>
      </c>
      <c r="Q22" s="54">
        <f>'A1. Response summary'!AC21</f>
        <v/>
      </c>
      <c r="R22" s="8" t="inlineStr">
        <is>
          <t>Faculties answer this indicator in their EE1(a) response (merged question) – review both.</t>
        </is>
      </c>
    </row>
    <row r="23" ht="18" customHeight="1">
      <c r="B23" s="55" t="inlineStr">
        <is>
          <t>EE1(c)</t>
        </is>
      </c>
      <c r="D23" s="13" t="inlineStr">
        <is>
          <t>OPTION 1:  Target-level reporting</t>
        </is>
      </c>
      <c r="E23" s="56">
        <f>'A1. Response summary'!M21</f>
        <v/>
      </c>
      <c r="F23" s="56">
        <f>'A1. Response summary'!V21</f>
        <v/>
      </c>
      <c r="R23" s="57" t="n"/>
    </row>
    <row r="24" ht="60" customHeight="1">
      <c r="B24" s="55" t="inlineStr">
        <is>
          <t>EE1(c)</t>
        </is>
      </c>
      <c r="D24" s="13" t="inlineStr">
        <is>
          <t>OPTION 2:  Indicator level reporting</t>
        </is>
      </c>
      <c r="E24" s="56">
        <f>'A1. Response summary'!M22</f>
        <v/>
      </c>
      <c r="F24" s="56">
        <f>'A1. Response summary'!V22</f>
        <v/>
      </c>
      <c r="R24" s="57" t="n"/>
    </row>
    <row r="25" ht="60" customHeight="1">
      <c r="B25" s="55" t="inlineStr">
        <is>
          <t>EE1(c)</t>
        </is>
      </c>
      <c r="D25" s="13" t="inlineStr">
        <is>
          <t>Supporting information/comments</t>
        </is>
      </c>
      <c r="E25" s="56">
        <f>'A1. Response summary'!M23</f>
        <v/>
      </c>
      <c r="F25" s="56">
        <f>'A1. Response summary'!V23</f>
        <v/>
      </c>
      <c r="R25" s="57" t="n"/>
    </row>
    <row r="26" ht="18" customHeight="1">
      <c r="B26" s="55" t="inlineStr">
        <is>
          <t>EE1(c)</t>
        </is>
      </c>
      <c r="D26" s="13" t="inlineStr">
        <is>
          <t>Data source and limitations</t>
        </is>
      </c>
      <c r="E26" s="56">
        <f>'A1. Response summary'!M24</f>
        <v/>
      </c>
      <c r="F26" s="56">
        <f>'A1. Response summary'!V24</f>
        <v/>
      </c>
      <c r="R26" s="57" t="n"/>
    </row>
    <row r="27" ht="18" customHeight="1">
      <c r="B27" s="55" t="inlineStr">
        <is>
          <t>EE1(c)</t>
        </is>
      </c>
      <c r="D27" s="13" t="inlineStr">
        <is>
          <t>Data owner confirms</t>
        </is>
      </c>
      <c r="E27" s="56">
        <f>'A1. Response summary'!M25</f>
        <v/>
      </c>
      <c r="F27" s="56">
        <f>'A1. Response summary'!V25</f>
        <v/>
      </c>
      <c r="R27" s="58" t="n"/>
    </row>
    <row r="29">
      <c r="B29" s="7" t="inlineStr">
        <is>
          <t>EE1(d)</t>
        </is>
      </c>
      <c r="C29" s="50" t="inlineStr">
        <is>
          <t>Alumni profiles demonstrating how graduates contribute to sustainability through their careers or communities.</t>
        </is>
      </c>
      <c r="D29" s="53" t="inlineStr">
        <is>
          <t>Unit</t>
        </is>
      </c>
      <c r="E29" s="53" t="inlineStr">
        <is>
          <t>SaSS – Student and Scholarly Services</t>
        </is>
      </c>
      <c r="P29" s="54">
        <f>'A1. Response summary'!AA26</f>
        <v/>
      </c>
      <c r="Q29" s="54">
        <f>'A1. Response summary'!AC26</f>
        <v/>
      </c>
      <c r="R29" s="8" t="n"/>
    </row>
    <row r="30" ht="18" customHeight="1">
      <c r="B30" s="55" t="inlineStr">
        <is>
          <t>EE1(d)</t>
        </is>
      </c>
      <c r="D30" s="13" t="inlineStr">
        <is>
          <t>OPTION 1:  Target-level reporting</t>
        </is>
      </c>
      <c r="E30" s="56">
        <f>'A1. Response summary'!V26</f>
        <v/>
      </c>
      <c r="R30" s="57" t="n"/>
    </row>
    <row r="31" ht="60" customHeight="1">
      <c r="B31" s="55" t="inlineStr">
        <is>
          <t>EE1(d)</t>
        </is>
      </c>
      <c r="D31" s="13" t="inlineStr">
        <is>
          <t>OPTION 2:  Indicator level reporting</t>
        </is>
      </c>
      <c r="E31" s="56">
        <f>'A1. Response summary'!V27</f>
        <v/>
      </c>
      <c r="R31" s="57" t="n"/>
    </row>
    <row r="32" ht="60" customHeight="1">
      <c r="B32" s="55" t="inlineStr">
        <is>
          <t>EE1(d)</t>
        </is>
      </c>
      <c r="D32" s="13" t="inlineStr">
        <is>
          <t>Supporting information/comments</t>
        </is>
      </c>
      <c r="E32" s="56">
        <f>'A1. Response summary'!V28</f>
        <v/>
      </c>
      <c r="R32" s="57" t="n"/>
    </row>
    <row r="33" ht="18" customHeight="1">
      <c r="B33" s="55" t="inlineStr">
        <is>
          <t>EE1(d)</t>
        </is>
      </c>
      <c r="D33" s="13" t="inlineStr">
        <is>
          <t>Data source and limitations</t>
        </is>
      </c>
      <c r="E33" s="56">
        <f>'A1. Response summary'!V29</f>
        <v/>
      </c>
      <c r="R33" s="57" t="n"/>
    </row>
    <row r="34" ht="18" customHeight="1">
      <c r="B34" s="55" t="inlineStr">
        <is>
          <t>EE1(d)</t>
        </is>
      </c>
      <c r="D34" s="13" t="inlineStr">
        <is>
          <t>Data owner confirms</t>
        </is>
      </c>
      <c r="E34" s="56">
        <f>'A1. Response summary'!V30</f>
        <v/>
      </c>
      <c r="R34" s="58" t="n"/>
    </row>
    <row r="36">
      <c r="B36" s="7" t="inlineStr">
        <is>
          <t>TR1(a)</t>
        </is>
      </c>
      <c r="C36" s="50" t="inlineStr">
        <is>
          <t>Expert-reviewed evidence of researchers contributing to operational sustainability priorities through partnerships, advisory input, living labs, applied projects or decision-support</t>
        </is>
      </c>
      <c r="D36" s="53" t="inlineStr">
        <is>
          <t>Unit</t>
        </is>
      </c>
      <c r="E36" s="53" t="inlineStr">
        <is>
          <t>ABP</t>
        </is>
      </c>
      <c r="F36" s="53" t="inlineStr">
        <is>
          <t>ARTS</t>
        </is>
      </c>
      <c r="G36" s="53" t="inlineStr">
        <is>
          <t>FBE</t>
        </is>
      </c>
      <c r="H36" s="53" t="inlineStr">
        <is>
          <t>SCI</t>
        </is>
      </c>
      <c r="I36" s="53" t="inlineStr">
        <is>
          <t>CI&amp;S – Sustainability Strategy</t>
        </is>
      </c>
      <c r="P36" s="54">
        <f>'A1. Response summary'!AA31</f>
        <v/>
      </c>
      <c r="Q36" s="54">
        <f>'A1. Response summary'!AC31</f>
        <v/>
      </c>
      <c r="R36" s="8" t="n"/>
    </row>
    <row r="37" ht="18" customHeight="1">
      <c r="B37" s="55" t="inlineStr">
        <is>
          <t>TR1(a)</t>
        </is>
      </c>
      <c r="D37" s="13" t="inlineStr">
        <is>
          <t>OPTION 1:  Target-level reporting</t>
        </is>
      </c>
      <c r="E37" s="56">
        <f>'A1. Response summary'!H31</f>
        <v/>
      </c>
      <c r="F37" s="56">
        <f>'A1. Response summary'!I31</f>
        <v/>
      </c>
      <c r="G37" s="56">
        <f>'A1. Response summary'!J31</f>
        <v/>
      </c>
      <c r="H37" s="56">
        <f>'A1. Response summary'!K31</f>
        <v/>
      </c>
      <c r="I37" s="56">
        <f>'A1. Response summary'!M31</f>
        <v/>
      </c>
      <c r="R37" s="57" t="n"/>
    </row>
    <row r="38" ht="60" customHeight="1">
      <c r="B38" s="55" t="inlineStr">
        <is>
          <t>TR1(a)</t>
        </is>
      </c>
      <c r="D38" s="13" t="inlineStr">
        <is>
          <t>OPTION 2:  Indicator level reporting</t>
        </is>
      </c>
      <c r="E38" s="56">
        <f>'A1. Response summary'!H32</f>
        <v/>
      </c>
      <c r="F38" s="56">
        <f>'A1. Response summary'!I32</f>
        <v/>
      </c>
      <c r="G38" s="56">
        <f>'A1. Response summary'!J32</f>
        <v/>
      </c>
      <c r="H38" s="56">
        <f>'A1. Response summary'!K32</f>
        <v/>
      </c>
      <c r="I38" s="56">
        <f>'A1. Response summary'!M32</f>
        <v/>
      </c>
      <c r="R38" s="57" t="n"/>
    </row>
    <row r="39" ht="60" customHeight="1">
      <c r="B39" s="55" t="inlineStr">
        <is>
          <t>TR1(a)</t>
        </is>
      </c>
      <c r="D39" s="13" t="inlineStr">
        <is>
          <t>Supporting information/comments</t>
        </is>
      </c>
      <c r="E39" s="56">
        <f>'A1. Response summary'!H33</f>
        <v/>
      </c>
      <c r="F39" s="56">
        <f>'A1. Response summary'!I33</f>
        <v/>
      </c>
      <c r="G39" s="56">
        <f>'A1. Response summary'!J33</f>
        <v/>
      </c>
      <c r="H39" s="56">
        <f>'A1. Response summary'!K33</f>
        <v/>
      </c>
      <c r="I39" s="56">
        <f>'A1. Response summary'!M33</f>
        <v/>
      </c>
      <c r="R39" s="57" t="n"/>
    </row>
    <row r="40" ht="18" customHeight="1">
      <c r="B40" s="55" t="inlineStr">
        <is>
          <t>TR1(a)</t>
        </is>
      </c>
      <c r="D40" s="13" t="inlineStr">
        <is>
          <t>Data source and limitations</t>
        </is>
      </c>
      <c r="E40" s="56">
        <f>'A1. Response summary'!H34</f>
        <v/>
      </c>
      <c r="F40" s="56">
        <f>'A1. Response summary'!I34</f>
        <v/>
      </c>
      <c r="G40" s="56">
        <f>'A1. Response summary'!J34</f>
        <v/>
      </c>
      <c r="H40" s="56">
        <f>'A1. Response summary'!K34</f>
        <v/>
      </c>
      <c r="I40" s="56">
        <f>'A1. Response summary'!M34</f>
        <v/>
      </c>
      <c r="R40" s="57" t="n"/>
    </row>
    <row r="41" ht="18" customHeight="1">
      <c r="B41" s="55" t="inlineStr">
        <is>
          <t>TR1(a)</t>
        </is>
      </c>
      <c r="D41" s="13" t="inlineStr">
        <is>
          <t>Data owner confirms</t>
        </is>
      </c>
      <c r="E41" s="56">
        <f>'A1. Response summary'!H35</f>
        <v/>
      </c>
      <c r="F41" s="56">
        <f>'A1. Response summary'!I35</f>
        <v/>
      </c>
      <c r="G41" s="56">
        <f>'A1. Response summary'!J35</f>
        <v/>
      </c>
      <c r="H41" s="56">
        <f>'A1. Response summary'!K35</f>
        <v/>
      </c>
      <c r="I41" s="56">
        <f>'A1. Response summary'!M35</f>
        <v/>
      </c>
      <c r="R41" s="58" t="n"/>
    </row>
    <row r="43">
      <c r="B43" s="7" t="inlineStr">
        <is>
          <t>TR1(b)</t>
        </is>
      </c>
      <c r="C43" s="50" t="inlineStr">
        <is>
          <t>Evidence of institutional pathways that enable ongoing collaboration between academic and professional staff</t>
        </is>
      </c>
      <c r="D43" s="53" t="inlineStr">
        <is>
          <t>Unit</t>
        </is>
      </c>
      <c r="E43" s="53" t="inlineStr">
        <is>
          <t>MRE – Research</t>
        </is>
      </c>
      <c r="P43" s="54">
        <f>'A1. Response summary'!AA36</f>
        <v/>
      </c>
      <c r="Q43" s="54">
        <f>'A1. Response summary'!AC36</f>
        <v/>
      </c>
      <c r="R43" s="8" t="n"/>
    </row>
    <row r="44" ht="18" customHeight="1">
      <c r="B44" s="55" t="inlineStr">
        <is>
          <t>TR1(b)</t>
        </is>
      </c>
      <c r="D44" s="13" t="inlineStr">
        <is>
          <t>OPTION 1:  Target-level reporting</t>
        </is>
      </c>
      <c r="E44" s="56">
        <f>'A1. Response summary'!R36</f>
        <v/>
      </c>
      <c r="R44" s="57" t="n"/>
    </row>
    <row r="45" ht="60" customHeight="1">
      <c r="B45" s="55" t="inlineStr">
        <is>
          <t>TR1(b)</t>
        </is>
      </c>
      <c r="D45" s="13" t="inlineStr">
        <is>
          <t>OPTION 2:  Indicator level reporting</t>
        </is>
      </c>
      <c r="E45" s="56">
        <f>'A1. Response summary'!R37</f>
        <v/>
      </c>
      <c r="R45" s="57" t="n"/>
    </row>
    <row r="46" ht="60" customHeight="1">
      <c r="B46" s="55" t="inlineStr">
        <is>
          <t>TR1(b)</t>
        </is>
      </c>
      <c r="D46" s="13" t="inlineStr">
        <is>
          <t>Supporting information/comments</t>
        </is>
      </c>
      <c r="E46" s="56">
        <f>'A1. Response summary'!R38</f>
        <v/>
      </c>
      <c r="R46" s="57" t="n"/>
    </row>
    <row r="47" ht="18" customHeight="1">
      <c r="B47" s="55" t="inlineStr">
        <is>
          <t>TR1(b)</t>
        </is>
      </c>
      <c r="D47" s="13" t="inlineStr">
        <is>
          <t>Data source and limitations</t>
        </is>
      </c>
      <c r="E47" s="56">
        <f>'A1. Response summary'!R39</f>
        <v/>
      </c>
      <c r="R47" s="57" t="n"/>
    </row>
    <row r="48" ht="18" customHeight="1">
      <c r="B48" s="55" t="inlineStr">
        <is>
          <t>TR1(b)</t>
        </is>
      </c>
      <c r="D48" s="13" t="inlineStr">
        <is>
          <t>Data owner confirms</t>
        </is>
      </c>
      <c r="E48" s="56">
        <f>'A1. Response summary'!R40</f>
        <v/>
      </c>
      <c r="R48" s="58" t="n"/>
    </row>
    <row r="50">
      <c r="B50" s="7" t="inlineStr">
        <is>
          <t>TR1(c)</t>
        </is>
      </c>
      <c r="C50" s="50" t="inlineStr">
        <is>
          <t>Expert assessment of the quality, relevance and continuity of these collaborations</t>
        </is>
      </c>
      <c r="D50" s="53" t="inlineStr">
        <is>
          <t>Unit</t>
        </is>
      </c>
      <c r="E50" s="53" t="inlineStr">
        <is>
          <t>MRE – Research</t>
        </is>
      </c>
      <c r="P50" s="54">
        <f>'A1. Response summary'!AA41</f>
        <v/>
      </c>
      <c r="Q50" s="54">
        <f>'A1. Response summary'!AC41</f>
        <v/>
      </c>
      <c r="R50" s="8" t="n"/>
    </row>
    <row r="51" ht="18" customHeight="1">
      <c r="B51" s="55" t="inlineStr">
        <is>
          <t>TR1(c)</t>
        </is>
      </c>
      <c r="D51" s="13" t="inlineStr">
        <is>
          <t>OPTION 1:  Target-level reporting</t>
        </is>
      </c>
      <c r="E51" s="56">
        <f>'A1. Response summary'!R41</f>
        <v/>
      </c>
      <c r="R51" s="57" t="n"/>
    </row>
    <row r="52" ht="60" customHeight="1">
      <c r="B52" s="55" t="inlineStr">
        <is>
          <t>TR1(c)</t>
        </is>
      </c>
      <c r="D52" s="13" t="inlineStr">
        <is>
          <t>OPTION 2:  Indicator level reporting</t>
        </is>
      </c>
      <c r="E52" s="56">
        <f>'A1. Response summary'!R42</f>
        <v/>
      </c>
      <c r="R52" s="57" t="n"/>
    </row>
    <row r="53" ht="60" customHeight="1">
      <c r="B53" s="55" t="inlineStr">
        <is>
          <t>TR1(c)</t>
        </is>
      </c>
      <c r="D53" s="13" t="inlineStr">
        <is>
          <t>Supporting information/comments</t>
        </is>
      </c>
      <c r="E53" s="56">
        <f>'A1. Response summary'!R43</f>
        <v/>
      </c>
      <c r="R53" s="57" t="n"/>
    </row>
    <row r="54" ht="18" customHeight="1">
      <c r="B54" s="55" t="inlineStr">
        <is>
          <t>TR1(c)</t>
        </is>
      </c>
      <c r="D54" s="13" t="inlineStr">
        <is>
          <t>Data source and limitations</t>
        </is>
      </c>
      <c r="E54" s="56">
        <f>'A1. Response summary'!R44</f>
        <v/>
      </c>
      <c r="R54" s="57" t="n"/>
    </row>
    <row r="55" ht="18" customHeight="1">
      <c r="B55" s="55" t="inlineStr">
        <is>
          <t>TR1(c)</t>
        </is>
      </c>
      <c r="D55" s="13" t="inlineStr">
        <is>
          <t>Data owner confirms</t>
        </is>
      </c>
      <c r="E55" s="56">
        <f>'A1. Response summary'!R45</f>
        <v/>
      </c>
      <c r="R55" s="58" t="n"/>
    </row>
    <row r="57">
      <c r="B57" s="7" t="inlineStr">
        <is>
          <t>TR1(d)</t>
        </is>
      </c>
      <c r="C57" s="50" t="inlineStr">
        <is>
          <t>Periodic feedback from participants on the effectiveness and mutual benefit of collaboration mechanisms.</t>
        </is>
      </c>
      <c r="D57" s="53" t="inlineStr">
        <is>
          <t>Unit</t>
        </is>
      </c>
      <c r="E57" s="53" t="inlineStr">
        <is>
          <t>MRE – Research</t>
        </is>
      </c>
      <c r="P57" s="54">
        <f>'A1. Response summary'!AA46</f>
        <v/>
      </c>
      <c r="Q57" s="54">
        <f>'A1. Response summary'!AC46</f>
        <v/>
      </c>
      <c r="R57" s="8" t="n"/>
    </row>
    <row r="58" ht="18" customHeight="1">
      <c r="B58" s="55" t="inlineStr">
        <is>
          <t>TR1(d)</t>
        </is>
      </c>
      <c r="D58" s="13" t="inlineStr">
        <is>
          <t>OPTION 1:  Target-level reporting</t>
        </is>
      </c>
      <c r="E58" s="56">
        <f>'A1. Response summary'!R46</f>
        <v/>
      </c>
      <c r="R58" s="57" t="n"/>
    </row>
    <row r="59" ht="60" customHeight="1">
      <c r="B59" s="55" t="inlineStr">
        <is>
          <t>TR1(d)</t>
        </is>
      </c>
      <c r="D59" s="13" t="inlineStr">
        <is>
          <t>OPTION 2:  Indicator level reporting</t>
        </is>
      </c>
      <c r="E59" s="56">
        <f>'A1. Response summary'!R47</f>
        <v/>
      </c>
      <c r="R59" s="57" t="n"/>
    </row>
    <row r="60" ht="60" customHeight="1">
      <c r="B60" s="55" t="inlineStr">
        <is>
          <t>TR1(d)</t>
        </is>
      </c>
      <c r="D60" s="13" t="inlineStr">
        <is>
          <t>Supporting information/comments</t>
        </is>
      </c>
      <c r="E60" s="56">
        <f>'A1. Response summary'!R48</f>
        <v/>
      </c>
      <c r="R60" s="57" t="n"/>
    </row>
    <row r="61" ht="18" customHeight="1">
      <c r="B61" s="55" t="inlineStr">
        <is>
          <t>TR1(d)</t>
        </is>
      </c>
      <c r="D61" s="13" t="inlineStr">
        <is>
          <t>Data source and limitations</t>
        </is>
      </c>
      <c r="E61" s="56">
        <f>'A1. Response summary'!R49</f>
        <v/>
      </c>
      <c r="R61" s="57" t="n"/>
    </row>
    <row r="62" ht="18" customHeight="1">
      <c r="B62" s="55" t="inlineStr">
        <is>
          <t>TR1(d)</t>
        </is>
      </c>
      <c r="D62" s="13" t="inlineStr">
        <is>
          <t>Data owner confirms</t>
        </is>
      </c>
      <c r="E62" s="56">
        <f>'A1. Response summary'!R50</f>
        <v/>
      </c>
      <c r="R62" s="58" t="n"/>
    </row>
    <row r="64">
      <c r="B64" s="7" t="inlineStr">
        <is>
          <t>TR2(a)</t>
        </is>
      </c>
      <c r="C64" s="50" t="inlineStr">
        <is>
          <t>Evidence of sustainability-related research impact across diverse pathways, could include policy, industry, community, practice, cultural and institutional outcomes</t>
        </is>
      </c>
      <c r="D64" s="53" t="inlineStr">
        <is>
          <t>Unit</t>
        </is>
      </c>
      <c r="E64" s="53" t="inlineStr">
        <is>
          <t>ABP</t>
        </is>
      </c>
      <c r="F64" s="53" t="inlineStr">
        <is>
          <t>ARTS</t>
        </is>
      </c>
      <c r="G64" s="53" t="inlineStr">
        <is>
          <t>FBE</t>
        </is>
      </c>
      <c r="H64" s="53" t="inlineStr">
        <is>
          <t>SCI</t>
        </is>
      </c>
      <c r="I64" s="53" t="inlineStr">
        <is>
          <t>AC&amp;M – Advancement, Communication and Marketing</t>
        </is>
      </c>
      <c r="P64" s="54">
        <f>'A1. Response summary'!AA51</f>
        <v/>
      </c>
      <c r="Q64" s="54">
        <f>'A1. Response summary'!AC51</f>
        <v/>
      </c>
      <c r="R64" s="8" t="n"/>
    </row>
    <row r="65" ht="18" customHeight="1">
      <c r="B65" s="55" t="inlineStr">
        <is>
          <t>TR2(a)</t>
        </is>
      </c>
      <c r="D65" s="13" t="inlineStr">
        <is>
          <t>OPTION 1:  Target-level reporting</t>
        </is>
      </c>
      <c r="E65" s="56">
        <f>'A1. Response summary'!H51</f>
        <v/>
      </c>
      <c r="F65" s="56">
        <f>'A1. Response summary'!I51</f>
        <v/>
      </c>
      <c r="G65" s="56">
        <f>'A1. Response summary'!J51</f>
        <v/>
      </c>
      <c r="H65" s="56">
        <f>'A1. Response summary'!K51</f>
        <v/>
      </c>
      <c r="I65" s="56">
        <f>'A1. Response summary'!S51</f>
        <v/>
      </c>
      <c r="R65" s="57" t="n"/>
    </row>
    <row r="66" ht="60" customHeight="1">
      <c r="B66" s="55" t="inlineStr">
        <is>
          <t>TR2(a)</t>
        </is>
      </c>
      <c r="D66" s="13" t="inlineStr">
        <is>
          <t>OPTION 2:  Indicator level reporting</t>
        </is>
      </c>
      <c r="E66" s="56">
        <f>'A1. Response summary'!H52</f>
        <v/>
      </c>
      <c r="F66" s="56">
        <f>'A1. Response summary'!I52</f>
        <v/>
      </c>
      <c r="G66" s="56">
        <f>'A1. Response summary'!J52</f>
        <v/>
      </c>
      <c r="H66" s="56">
        <f>'A1. Response summary'!K52</f>
        <v/>
      </c>
      <c r="I66" s="56">
        <f>'A1. Response summary'!S52</f>
        <v/>
      </c>
      <c r="R66" s="57" t="n"/>
    </row>
    <row r="67" ht="60" customHeight="1">
      <c r="B67" s="55" t="inlineStr">
        <is>
          <t>TR2(a)</t>
        </is>
      </c>
      <c r="D67" s="13" t="inlineStr">
        <is>
          <t>Supporting information/comments</t>
        </is>
      </c>
      <c r="E67" s="56">
        <f>'A1. Response summary'!H53</f>
        <v/>
      </c>
      <c r="F67" s="56">
        <f>'A1. Response summary'!I53</f>
        <v/>
      </c>
      <c r="G67" s="56">
        <f>'A1. Response summary'!J53</f>
        <v/>
      </c>
      <c r="H67" s="56">
        <f>'A1. Response summary'!K53</f>
        <v/>
      </c>
      <c r="I67" s="56">
        <f>'A1. Response summary'!S53</f>
        <v/>
      </c>
      <c r="R67" s="57" t="n"/>
    </row>
    <row r="68" ht="18" customHeight="1">
      <c r="B68" s="55" t="inlineStr">
        <is>
          <t>TR2(a)</t>
        </is>
      </c>
      <c r="D68" s="13" t="inlineStr">
        <is>
          <t>Data source and limitations</t>
        </is>
      </c>
      <c r="E68" s="56">
        <f>'A1. Response summary'!H54</f>
        <v/>
      </c>
      <c r="F68" s="56">
        <f>'A1. Response summary'!I54</f>
        <v/>
      </c>
      <c r="G68" s="56">
        <f>'A1. Response summary'!J54</f>
        <v/>
      </c>
      <c r="H68" s="56">
        <f>'A1. Response summary'!K54</f>
        <v/>
      </c>
      <c r="I68" s="56">
        <f>'A1. Response summary'!S54</f>
        <v/>
      </c>
      <c r="R68" s="57" t="n"/>
    </row>
    <row r="69" ht="18" customHeight="1">
      <c r="B69" s="55" t="inlineStr">
        <is>
          <t>TR2(a)</t>
        </is>
      </c>
      <c r="D69" s="13" t="inlineStr">
        <is>
          <t>Data owner confirms</t>
        </is>
      </c>
      <c r="E69" s="56">
        <f>'A1. Response summary'!H55</f>
        <v/>
      </c>
      <c r="F69" s="56">
        <f>'A1. Response summary'!I55</f>
        <v/>
      </c>
      <c r="G69" s="56">
        <f>'A1. Response summary'!J55</f>
        <v/>
      </c>
      <c r="H69" s="56">
        <f>'A1. Response summary'!K55</f>
        <v/>
      </c>
      <c r="I69" s="56">
        <f>'A1. Response summary'!S55</f>
        <v/>
      </c>
      <c r="R69" s="58" t="n"/>
    </row>
    <row r="71">
      <c r="B71" s="7" t="inlineStr">
        <is>
          <t>TR2(c)</t>
        </is>
      </c>
      <c r="C71" s="50" t="inlineStr">
        <is>
          <t>Expert-reviewed summary of sustainability-related research outputs, outcomes and influence using available institutional evidence sources</t>
        </is>
      </c>
      <c r="D71" s="53" t="inlineStr">
        <is>
          <t>Unit</t>
        </is>
      </c>
      <c r="E71" s="53" t="inlineStr">
        <is>
          <t>MRE – Research</t>
        </is>
      </c>
      <c r="P71" s="54">
        <f>'A1. Response summary'!AA56</f>
        <v/>
      </c>
      <c r="Q71" s="54">
        <f>'A1. Response summary'!AC56</f>
        <v/>
      </c>
      <c r="R71" s="8" t="n"/>
    </row>
    <row r="72" ht="18" customHeight="1">
      <c r="B72" s="55" t="inlineStr">
        <is>
          <t>TR2(c)</t>
        </is>
      </c>
      <c r="D72" s="13" t="inlineStr">
        <is>
          <t>OPTION 1:  Target-level reporting</t>
        </is>
      </c>
      <c r="E72" s="56">
        <f>'A1. Response summary'!R56</f>
        <v/>
      </c>
      <c r="R72" s="57" t="n"/>
    </row>
    <row r="73" ht="60" customHeight="1">
      <c r="B73" s="55" t="inlineStr">
        <is>
          <t>TR2(c)</t>
        </is>
      </c>
      <c r="D73" s="13" t="inlineStr">
        <is>
          <t>OPTION 2:  Indicator level reporting</t>
        </is>
      </c>
      <c r="E73" s="56">
        <f>'A1. Response summary'!R57</f>
        <v/>
      </c>
      <c r="R73" s="57" t="n"/>
    </row>
    <row r="74" ht="60" customHeight="1">
      <c r="B74" s="55" t="inlineStr">
        <is>
          <t>TR2(c)</t>
        </is>
      </c>
      <c r="D74" s="13" t="inlineStr">
        <is>
          <t>Supporting information/comments</t>
        </is>
      </c>
      <c r="E74" s="56">
        <f>'A1. Response summary'!R58</f>
        <v/>
      </c>
      <c r="R74" s="57" t="n"/>
    </row>
    <row r="75" ht="18" customHeight="1">
      <c r="B75" s="55" t="inlineStr">
        <is>
          <t>TR2(c)</t>
        </is>
      </c>
      <c r="D75" s="13" t="inlineStr">
        <is>
          <t>Data source and limitations</t>
        </is>
      </c>
      <c r="E75" s="56">
        <f>'A1. Response summary'!R59</f>
        <v/>
      </c>
      <c r="R75" s="57" t="n"/>
    </row>
    <row r="76" ht="18" customHeight="1">
      <c r="B76" s="55" t="inlineStr">
        <is>
          <t>TR2(c)</t>
        </is>
      </c>
      <c r="D76" s="13" t="inlineStr">
        <is>
          <t>Data owner confirms</t>
        </is>
      </c>
      <c r="E76" s="56">
        <f>'A1. Response summary'!R60</f>
        <v/>
      </c>
      <c r="R76" s="58" t="n"/>
    </row>
    <row r="78">
      <c r="B78" s="7" t="inlineStr">
        <is>
          <t>TR2(d)</t>
        </is>
      </c>
      <c r="C78" s="50" t="inlineStr">
        <is>
          <t>Case-based evidence demonstrating how research has contributed to meaningful sustainability outcomes.</t>
        </is>
      </c>
      <c r="D78" s="53" t="inlineStr">
        <is>
          <t>Unit</t>
        </is>
      </c>
      <c r="E78" s="53" t="inlineStr">
        <is>
          <t>ABP</t>
        </is>
      </c>
      <c r="F78" s="53" t="inlineStr">
        <is>
          <t>ARTS</t>
        </is>
      </c>
      <c r="G78" s="53" t="inlineStr">
        <is>
          <t>FBE</t>
        </is>
      </c>
      <c r="H78" s="53" t="inlineStr">
        <is>
          <t>SCI</t>
        </is>
      </c>
      <c r="I78" s="53" t="inlineStr">
        <is>
          <t>CI&amp;S – Sustainability Strategy</t>
        </is>
      </c>
      <c r="P78" s="54">
        <f>'A1. Response summary'!AA61</f>
        <v/>
      </c>
      <c r="Q78" s="54">
        <f>'A1. Response summary'!AC61</f>
        <v/>
      </c>
      <c r="R78" s="8" t="n"/>
    </row>
    <row r="79" ht="18" customHeight="1">
      <c r="B79" s="55" t="inlineStr">
        <is>
          <t>TR2(d)</t>
        </is>
      </c>
      <c r="D79" s="13" t="inlineStr">
        <is>
          <t>OPTION 1:  Target-level reporting</t>
        </is>
      </c>
      <c r="E79" s="56">
        <f>'A1. Response summary'!H61</f>
        <v/>
      </c>
      <c r="F79" s="56">
        <f>'A1. Response summary'!I61</f>
        <v/>
      </c>
      <c r="G79" s="56">
        <f>'A1. Response summary'!J61</f>
        <v/>
      </c>
      <c r="H79" s="56">
        <f>'A1. Response summary'!K61</f>
        <v/>
      </c>
      <c r="I79" s="56">
        <f>'A1. Response summary'!M61</f>
        <v/>
      </c>
      <c r="R79" s="57" t="n"/>
    </row>
    <row r="80" ht="60" customHeight="1">
      <c r="B80" s="55" t="inlineStr">
        <is>
          <t>TR2(d)</t>
        </is>
      </c>
      <c r="D80" s="13" t="inlineStr">
        <is>
          <t>OPTION 2:  Indicator level reporting</t>
        </is>
      </c>
      <c r="E80" s="56">
        <f>'A1. Response summary'!H62</f>
        <v/>
      </c>
      <c r="F80" s="56">
        <f>'A1. Response summary'!I62</f>
        <v/>
      </c>
      <c r="G80" s="56">
        <f>'A1. Response summary'!J62</f>
        <v/>
      </c>
      <c r="H80" s="56">
        <f>'A1. Response summary'!K62</f>
        <v/>
      </c>
      <c r="I80" s="56">
        <f>'A1. Response summary'!M62</f>
        <v/>
      </c>
      <c r="R80" s="57" t="n"/>
    </row>
    <row r="81" ht="60" customHeight="1">
      <c r="B81" s="55" t="inlineStr">
        <is>
          <t>TR2(d)</t>
        </is>
      </c>
      <c r="D81" s="13" t="inlineStr">
        <is>
          <t>Supporting information/comments</t>
        </is>
      </c>
      <c r="E81" s="56">
        <f>'A1. Response summary'!H63</f>
        <v/>
      </c>
      <c r="F81" s="56">
        <f>'A1. Response summary'!I63</f>
        <v/>
      </c>
      <c r="G81" s="56">
        <f>'A1. Response summary'!J63</f>
        <v/>
      </c>
      <c r="H81" s="56">
        <f>'A1. Response summary'!K63</f>
        <v/>
      </c>
      <c r="I81" s="56">
        <f>'A1. Response summary'!M63</f>
        <v/>
      </c>
      <c r="R81" s="57" t="n"/>
    </row>
    <row r="82" ht="18" customHeight="1">
      <c r="B82" s="55" t="inlineStr">
        <is>
          <t>TR2(d)</t>
        </is>
      </c>
      <c r="D82" s="13" t="inlineStr">
        <is>
          <t>Data source and limitations</t>
        </is>
      </c>
      <c r="E82" s="56">
        <f>'A1. Response summary'!H64</f>
        <v/>
      </c>
      <c r="F82" s="56">
        <f>'A1. Response summary'!I64</f>
        <v/>
      </c>
      <c r="G82" s="56">
        <f>'A1. Response summary'!J64</f>
        <v/>
      </c>
      <c r="H82" s="56">
        <f>'A1. Response summary'!K64</f>
        <v/>
      </c>
      <c r="I82" s="56">
        <f>'A1. Response summary'!M64</f>
        <v/>
      </c>
      <c r="R82" s="57" t="n"/>
    </row>
    <row r="83" ht="18" customHeight="1">
      <c r="B83" s="55" t="inlineStr">
        <is>
          <t>TR2(d)</t>
        </is>
      </c>
      <c r="D83" s="13" t="inlineStr">
        <is>
          <t>Data owner confirms</t>
        </is>
      </c>
      <c r="E83" s="56">
        <f>'A1. Response summary'!H65</f>
        <v/>
      </c>
      <c r="F83" s="56">
        <f>'A1. Response summary'!I65</f>
        <v/>
      </c>
      <c r="G83" s="56">
        <f>'A1. Response summary'!J65</f>
        <v/>
      </c>
      <c r="H83" s="56">
        <f>'A1. Response summary'!K65</f>
        <v/>
      </c>
      <c r="I83" s="56">
        <f>'A1. Response summary'!M65</f>
        <v/>
      </c>
      <c r="R83" s="58" t="n"/>
    </row>
    <row r="85">
      <c r="B85" s="7" t="inlineStr">
        <is>
          <t>TR3(a)</t>
        </is>
      </c>
      <c r="C85" s="50" t="inlineStr">
        <is>
          <t>Evidence that sustainability considerations are integrated into relevant research systems, planning processes, guidance, training, induction or support services</t>
        </is>
      </c>
      <c r="D85" s="53" t="inlineStr">
        <is>
          <t>Unit</t>
        </is>
      </c>
      <c r="E85" s="53" t="inlineStr">
        <is>
          <t>MRE – Research</t>
        </is>
      </c>
      <c r="P85" s="54">
        <f>'A1. Response summary'!AA66</f>
        <v/>
      </c>
      <c r="Q85" s="54">
        <f>'A1. Response summary'!AC66</f>
        <v/>
      </c>
      <c r="R85" s="8" t="n"/>
    </row>
    <row r="86" ht="18" customHeight="1">
      <c r="B86" s="55" t="inlineStr">
        <is>
          <t>TR3(a)</t>
        </is>
      </c>
      <c r="D86" s="13" t="inlineStr">
        <is>
          <t>OPTION 1:  Target-level reporting</t>
        </is>
      </c>
      <c r="E86" s="56">
        <f>'A1. Response summary'!R66</f>
        <v/>
      </c>
      <c r="R86" s="57" t="n"/>
    </row>
    <row r="87" ht="60" customHeight="1">
      <c r="B87" s="55" t="inlineStr">
        <is>
          <t>TR3(a)</t>
        </is>
      </c>
      <c r="D87" s="13" t="inlineStr">
        <is>
          <t>OPTION 2:  Indicator level reporting</t>
        </is>
      </c>
      <c r="E87" s="56">
        <f>'A1. Response summary'!R67</f>
        <v/>
      </c>
      <c r="R87" s="57" t="n"/>
    </row>
    <row r="88" ht="60" customHeight="1">
      <c r="B88" s="55" t="inlineStr">
        <is>
          <t>TR3(a)</t>
        </is>
      </c>
      <c r="D88" s="13" t="inlineStr">
        <is>
          <t>Supporting information/comments</t>
        </is>
      </c>
      <c r="E88" s="56">
        <f>'A1. Response summary'!R68</f>
        <v/>
      </c>
      <c r="R88" s="57" t="n"/>
    </row>
    <row r="89" ht="18" customHeight="1">
      <c r="B89" s="55" t="inlineStr">
        <is>
          <t>TR3(a)</t>
        </is>
      </c>
      <c r="D89" s="13" t="inlineStr">
        <is>
          <t>Data source and limitations</t>
        </is>
      </c>
      <c r="E89" s="56">
        <f>'A1. Response summary'!R69</f>
        <v/>
      </c>
      <c r="R89" s="57" t="n"/>
    </row>
    <row r="90" ht="18" customHeight="1">
      <c r="B90" s="55" t="inlineStr">
        <is>
          <t>TR3(a)</t>
        </is>
      </c>
      <c r="D90" s="13" t="inlineStr">
        <is>
          <t>Data owner confirms</t>
        </is>
      </c>
      <c r="E90" s="56">
        <f>'A1. Response summary'!R70</f>
        <v/>
      </c>
      <c r="R90" s="58" t="n"/>
    </row>
    <row r="92">
      <c r="B92" s="7" t="inlineStr">
        <is>
          <t>TR3(b)</t>
        </is>
      </c>
      <c r="C92" s="50" t="inlineStr">
        <is>
          <t>Demonstrated examples of more sustainable research practices in laboratories, fieldwork, procurement, travel or infrastructure use</t>
        </is>
      </c>
      <c r="D92" s="53" t="inlineStr">
        <is>
          <t>Unit</t>
        </is>
      </c>
      <c r="E92" s="53" t="inlineStr">
        <is>
          <t>ABP</t>
        </is>
      </c>
      <c r="F92" s="53" t="inlineStr">
        <is>
          <t>ARTS</t>
        </is>
      </c>
      <c r="G92" s="53" t="inlineStr">
        <is>
          <t>FBE</t>
        </is>
      </c>
      <c r="H92" s="53" t="inlineStr">
        <is>
          <t>SCI</t>
        </is>
      </c>
      <c r="I92" s="53" t="inlineStr">
        <is>
          <t>CI&amp;S – Sustainability Strategy</t>
        </is>
      </c>
      <c r="J92" s="53" t="inlineStr">
        <is>
          <t>CFOG – Procurement</t>
        </is>
      </c>
      <c r="P92" s="54">
        <f>'A1. Response summary'!AA71</f>
        <v/>
      </c>
      <c r="Q92" s="54">
        <f>'A1. Response summary'!AC71</f>
        <v/>
      </c>
      <c r="R92" s="8" t="n"/>
    </row>
    <row r="93" ht="18" customHeight="1">
      <c r="B93" s="55" t="inlineStr">
        <is>
          <t>TR3(b)</t>
        </is>
      </c>
      <c r="D93" s="13" t="inlineStr">
        <is>
          <t>OPTION 1:  Target-level reporting</t>
        </is>
      </c>
      <c r="E93" s="56">
        <f>'A1. Response summary'!H71</f>
        <v/>
      </c>
      <c r="F93" s="56">
        <f>'A1. Response summary'!I71</f>
        <v/>
      </c>
      <c r="G93" s="56">
        <f>'A1. Response summary'!J71</f>
        <v/>
      </c>
      <c r="H93" s="56">
        <f>'A1. Response summary'!K71</f>
        <v/>
      </c>
      <c r="I93" s="56">
        <f>'A1. Response summary'!M71</f>
        <v/>
      </c>
      <c r="J93" s="56">
        <f>'A1. Response summary'!N71</f>
        <v/>
      </c>
      <c r="R93" s="57" t="n"/>
    </row>
    <row r="94" ht="60" customHeight="1">
      <c r="B94" s="55" t="inlineStr">
        <is>
          <t>TR3(b)</t>
        </is>
      </c>
      <c r="D94" s="13" t="inlineStr">
        <is>
          <t>OPTION 2:  Indicator level reporting</t>
        </is>
      </c>
      <c r="E94" s="56">
        <f>'A1. Response summary'!H72</f>
        <v/>
      </c>
      <c r="F94" s="56">
        <f>'A1. Response summary'!I72</f>
        <v/>
      </c>
      <c r="G94" s="56">
        <f>'A1. Response summary'!J72</f>
        <v/>
      </c>
      <c r="H94" s="56">
        <f>'A1. Response summary'!K72</f>
        <v/>
      </c>
      <c r="I94" s="56">
        <f>'A1. Response summary'!M72</f>
        <v/>
      </c>
      <c r="J94" s="56">
        <f>'A1. Response summary'!N72</f>
        <v/>
      </c>
      <c r="R94" s="57" t="n"/>
    </row>
    <row r="95" ht="60" customHeight="1">
      <c r="B95" s="55" t="inlineStr">
        <is>
          <t>TR3(b)</t>
        </is>
      </c>
      <c r="D95" s="13" t="inlineStr">
        <is>
          <t>Supporting information/comments</t>
        </is>
      </c>
      <c r="E95" s="56">
        <f>'A1. Response summary'!H73</f>
        <v/>
      </c>
      <c r="F95" s="56">
        <f>'A1. Response summary'!I73</f>
        <v/>
      </c>
      <c r="G95" s="56">
        <f>'A1. Response summary'!J73</f>
        <v/>
      </c>
      <c r="H95" s="56">
        <f>'A1. Response summary'!K73</f>
        <v/>
      </c>
      <c r="I95" s="56">
        <f>'A1. Response summary'!M73</f>
        <v/>
      </c>
      <c r="J95" s="56">
        <f>'A1. Response summary'!N73</f>
        <v/>
      </c>
      <c r="R95" s="57" t="n"/>
    </row>
    <row r="96" ht="18" customHeight="1">
      <c r="B96" s="55" t="inlineStr">
        <is>
          <t>TR3(b)</t>
        </is>
      </c>
      <c r="D96" s="13" t="inlineStr">
        <is>
          <t>Data source and limitations</t>
        </is>
      </c>
      <c r="E96" s="56">
        <f>'A1. Response summary'!H74</f>
        <v/>
      </c>
      <c r="F96" s="56">
        <f>'A1. Response summary'!I74</f>
        <v/>
      </c>
      <c r="G96" s="56">
        <f>'A1. Response summary'!J74</f>
        <v/>
      </c>
      <c r="H96" s="56">
        <f>'A1. Response summary'!K74</f>
        <v/>
      </c>
      <c r="I96" s="56">
        <f>'A1. Response summary'!M74</f>
        <v/>
      </c>
      <c r="J96" s="56">
        <f>'A1. Response summary'!N74</f>
        <v/>
      </c>
      <c r="R96" s="57" t="n"/>
    </row>
    <row r="97" ht="18" customHeight="1">
      <c r="B97" s="55" t="inlineStr">
        <is>
          <t>TR3(b)</t>
        </is>
      </c>
      <c r="D97" s="13" t="inlineStr">
        <is>
          <t>Data owner confirms</t>
        </is>
      </c>
      <c r="E97" s="56">
        <f>'A1. Response summary'!H75</f>
        <v/>
      </c>
      <c r="F97" s="56">
        <f>'A1. Response summary'!I75</f>
        <v/>
      </c>
      <c r="G97" s="56">
        <f>'A1. Response summary'!J75</f>
        <v/>
      </c>
      <c r="H97" s="56">
        <f>'A1. Response summary'!K75</f>
        <v/>
      </c>
      <c r="I97" s="56">
        <f>'A1. Response summary'!M75</f>
        <v/>
      </c>
      <c r="J97" s="56">
        <f>'A1. Response summary'!N75</f>
        <v/>
      </c>
      <c r="R97" s="58" t="n"/>
    </row>
    <row r="99">
      <c r="B99" s="7" t="inlineStr">
        <is>
          <t>TR3(c)</t>
        </is>
      </c>
      <c r="C99" s="50" t="inlineStr">
        <is>
          <t>Evidence of progress in sustainability-related research culture, capability and awareness, informed by periodic staff and graduate researcher surveys</t>
        </is>
      </c>
      <c r="D99" s="53" t="inlineStr">
        <is>
          <t>Unit</t>
        </is>
      </c>
      <c r="E99" s="53" t="inlineStr">
        <is>
          <t>MRE – Research</t>
        </is>
      </c>
      <c r="P99" s="54">
        <f>'A1. Response summary'!AA76</f>
        <v/>
      </c>
      <c r="Q99" s="54">
        <f>'A1. Response summary'!AC76</f>
        <v/>
      </c>
      <c r="R99" s="8" t="n"/>
    </row>
    <row r="100" ht="18" customHeight="1">
      <c r="B100" s="55" t="inlineStr">
        <is>
          <t>TR3(c)</t>
        </is>
      </c>
      <c r="D100" s="13" t="inlineStr">
        <is>
          <t>OPTION 1:  Target-level reporting</t>
        </is>
      </c>
      <c r="E100" s="56">
        <f>'A1. Response summary'!R76</f>
        <v/>
      </c>
      <c r="R100" s="57" t="n"/>
    </row>
    <row r="101" ht="60" customHeight="1">
      <c r="B101" s="55" t="inlineStr">
        <is>
          <t>TR3(c)</t>
        </is>
      </c>
      <c r="D101" s="13" t="inlineStr">
        <is>
          <t>OPTION 2:  Indicator level reporting</t>
        </is>
      </c>
      <c r="E101" s="56">
        <f>'A1. Response summary'!R77</f>
        <v/>
      </c>
      <c r="R101" s="57" t="n"/>
    </row>
    <row r="102" ht="60" customHeight="1">
      <c r="B102" s="55" t="inlineStr">
        <is>
          <t>TR3(c)</t>
        </is>
      </c>
      <c r="D102" s="13" t="inlineStr">
        <is>
          <t>Supporting information/comments</t>
        </is>
      </c>
      <c r="E102" s="56">
        <f>'A1. Response summary'!R78</f>
        <v/>
      </c>
      <c r="R102" s="57" t="n"/>
    </row>
    <row r="103" ht="18" customHeight="1">
      <c r="B103" s="55" t="inlineStr">
        <is>
          <t>TR3(c)</t>
        </is>
      </c>
      <c r="D103" s="13" t="inlineStr">
        <is>
          <t>Data source and limitations</t>
        </is>
      </c>
      <c r="E103" s="56">
        <f>'A1. Response summary'!R79</f>
        <v/>
      </c>
      <c r="R103" s="57" t="n"/>
    </row>
    <row r="104" ht="18" customHeight="1">
      <c r="B104" s="55" t="inlineStr">
        <is>
          <t>TR3(c)</t>
        </is>
      </c>
      <c r="D104" s="13" t="inlineStr">
        <is>
          <t>Data owner confirms</t>
        </is>
      </c>
      <c r="E104" s="56">
        <f>'A1. Response summary'!R80</f>
        <v/>
      </c>
      <c r="R104" s="58" t="n"/>
    </row>
    <row r="106">
      <c r="B106" s="7" t="inlineStr">
        <is>
          <t>TR3(d)</t>
        </is>
      </c>
      <c r="C106" s="50" t="inlineStr">
        <is>
          <t>Expert assessment of progress in embedding sustainable research practices across the institution.</t>
        </is>
      </c>
      <c r="D106" s="53" t="inlineStr">
        <is>
          <t>Unit</t>
        </is>
      </c>
      <c r="E106" s="53" t="inlineStr">
        <is>
          <t>MRE – Research</t>
        </is>
      </c>
      <c r="P106" s="54">
        <f>'A1. Response summary'!AA81</f>
        <v/>
      </c>
      <c r="Q106" s="54">
        <f>'A1. Response summary'!AC81</f>
        <v/>
      </c>
      <c r="R106" s="8" t="n"/>
    </row>
    <row r="107" ht="18" customHeight="1">
      <c r="B107" s="55" t="inlineStr">
        <is>
          <t>TR3(d)</t>
        </is>
      </c>
      <c r="D107" s="13" t="inlineStr">
        <is>
          <t>OPTION 1:  Target-level reporting</t>
        </is>
      </c>
      <c r="E107" s="56">
        <f>'A1. Response summary'!R81</f>
        <v/>
      </c>
      <c r="R107" s="57" t="n"/>
    </row>
    <row r="108" ht="60" customHeight="1">
      <c r="B108" s="55" t="inlineStr">
        <is>
          <t>TR3(d)</t>
        </is>
      </c>
      <c r="D108" s="13" t="inlineStr">
        <is>
          <t>OPTION 2:  Indicator level reporting</t>
        </is>
      </c>
      <c r="E108" s="56">
        <f>'A1. Response summary'!R82</f>
        <v/>
      </c>
      <c r="R108" s="57" t="n"/>
    </row>
    <row r="109" ht="60" customHeight="1">
      <c r="B109" s="55" t="inlineStr">
        <is>
          <t>TR3(d)</t>
        </is>
      </c>
      <c r="D109" s="13" t="inlineStr">
        <is>
          <t>Supporting information/comments</t>
        </is>
      </c>
      <c r="E109" s="56">
        <f>'A1. Response summary'!R83</f>
        <v/>
      </c>
      <c r="R109" s="57" t="n"/>
    </row>
    <row r="110" ht="18" customHeight="1">
      <c r="B110" s="55" t="inlineStr">
        <is>
          <t>TR3(d)</t>
        </is>
      </c>
      <c r="D110" s="13" t="inlineStr">
        <is>
          <t>Data source and limitations</t>
        </is>
      </c>
      <c r="E110" s="56">
        <f>'A1. Response summary'!R84</f>
        <v/>
      </c>
      <c r="R110" s="57" t="n"/>
    </row>
    <row r="111" ht="18" customHeight="1">
      <c r="B111" s="55" t="inlineStr">
        <is>
          <t>TR3(d)</t>
        </is>
      </c>
      <c r="D111" s="13" t="inlineStr">
        <is>
          <t>Data owner confirms</t>
        </is>
      </c>
      <c r="E111" s="56">
        <f>'A1. Response summary'!R85</f>
        <v/>
      </c>
      <c r="R111" s="58" t="n"/>
    </row>
    <row r="113">
      <c r="B113" s="7" t="inlineStr">
        <is>
          <t>CL1(c)</t>
        </is>
      </c>
      <c r="C113" s="50" t="inlineStr">
        <is>
          <t>Review of Climate Leadership targets by 2030.[2]</t>
        </is>
      </c>
      <c r="D113" s="53" t="inlineStr">
        <is>
          <t>Unit</t>
        </is>
      </c>
      <c r="E113" s="53" t="inlineStr">
        <is>
          <t>CI&amp;S – Sustainability Strategy</t>
        </is>
      </c>
      <c r="P113" s="54">
        <f>'A1. Response summary'!AA86</f>
        <v/>
      </c>
      <c r="Q113" s="54">
        <f>'A1. Response summary'!AC86</f>
        <v/>
      </c>
      <c r="R113" s="8" t="n"/>
    </row>
    <row r="114" ht="18" customHeight="1">
      <c r="B114" s="55" t="inlineStr">
        <is>
          <t>CL1(c)</t>
        </is>
      </c>
      <c r="D114" s="13" t="inlineStr">
        <is>
          <t>OPTION 1:  Target-level reporting</t>
        </is>
      </c>
      <c r="E114" s="56">
        <f>'A1. Response summary'!M86</f>
        <v/>
      </c>
      <c r="R114" s="57" t="n"/>
    </row>
    <row r="115" ht="60" customHeight="1">
      <c r="B115" s="55" t="inlineStr">
        <is>
          <t>CL1(c)</t>
        </is>
      </c>
      <c r="D115" s="13" t="inlineStr">
        <is>
          <t>OPTION 2:  Indicator level reporting</t>
        </is>
      </c>
      <c r="E115" s="56">
        <f>'A1. Response summary'!M87</f>
        <v/>
      </c>
      <c r="R115" s="57" t="n"/>
    </row>
    <row r="116" ht="60" customHeight="1">
      <c r="B116" s="55" t="inlineStr">
        <is>
          <t>CL1(c)</t>
        </is>
      </c>
      <c r="D116" s="13" t="inlineStr">
        <is>
          <t>Supporting information/comments</t>
        </is>
      </c>
      <c r="E116" s="56">
        <f>'A1. Response summary'!M88</f>
        <v/>
      </c>
      <c r="R116" s="57" t="n"/>
    </row>
    <row r="117" ht="18" customHeight="1">
      <c r="B117" s="55" t="inlineStr">
        <is>
          <t>CL1(c)</t>
        </is>
      </c>
      <c r="D117" s="13" t="inlineStr">
        <is>
          <t>Data source and limitations</t>
        </is>
      </c>
      <c r="E117" s="56">
        <f>'A1. Response summary'!M89</f>
        <v/>
      </c>
      <c r="R117" s="57" t="n"/>
    </row>
    <row r="118" ht="18" customHeight="1">
      <c r="B118" s="55" t="inlineStr">
        <is>
          <t>CL1(c)</t>
        </is>
      </c>
      <c r="D118" s="13" t="inlineStr">
        <is>
          <t>Data owner confirms</t>
        </is>
      </c>
      <c r="E118" s="56">
        <f>'A1. Response summary'!M90</f>
        <v/>
      </c>
      <c r="R118" s="58" t="n"/>
    </row>
    <row r="120">
      <c r="B120" s="7" t="inlineStr">
        <is>
          <t>CL2(a)</t>
        </is>
      </c>
      <c r="C120" s="50" t="inlineStr">
        <is>
          <t>By 2028, develop and document institutional mapping of research and education activities that are designed to contribute to global decarbonisation</t>
        </is>
      </c>
      <c r="D120" s="53" t="inlineStr">
        <is>
          <t>Unit</t>
        </is>
      </c>
      <c r="E120" s="53" t="inlineStr">
        <is>
          <t>AC&amp;M – Advancement, Communication and Marketing</t>
        </is>
      </c>
      <c r="P120" s="54">
        <f>'A1. Response summary'!AA91</f>
        <v/>
      </c>
      <c r="Q120" s="54">
        <f>'A1. Response summary'!AC91</f>
        <v/>
      </c>
      <c r="R120" s="8" t="n"/>
    </row>
    <row r="121" ht="18" customHeight="1">
      <c r="B121" s="55" t="inlineStr">
        <is>
          <t>CL2(a)</t>
        </is>
      </c>
      <c r="D121" s="13" t="inlineStr">
        <is>
          <t>OPTION 1:  Target-level reporting</t>
        </is>
      </c>
      <c r="E121" s="56">
        <f>'A1. Response summary'!S91</f>
        <v/>
      </c>
      <c r="R121" s="57" t="n"/>
    </row>
    <row r="122" ht="60" customHeight="1">
      <c r="B122" s="55" t="inlineStr">
        <is>
          <t>CL2(a)</t>
        </is>
      </c>
      <c r="D122" s="13" t="inlineStr">
        <is>
          <t>OPTION 2:  Indicator level reporting</t>
        </is>
      </c>
      <c r="E122" s="56">
        <f>'A1. Response summary'!S92</f>
        <v/>
      </c>
      <c r="R122" s="57" t="n"/>
    </row>
    <row r="123" ht="60" customHeight="1">
      <c r="B123" s="55" t="inlineStr">
        <is>
          <t>CL2(a)</t>
        </is>
      </c>
      <c r="D123" s="13" t="inlineStr">
        <is>
          <t>Supporting information/comments</t>
        </is>
      </c>
      <c r="E123" s="56">
        <f>'A1. Response summary'!S93</f>
        <v/>
      </c>
      <c r="R123" s="57" t="n"/>
    </row>
    <row r="124" ht="18" customHeight="1">
      <c r="B124" s="55" t="inlineStr">
        <is>
          <t>CL2(a)</t>
        </is>
      </c>
      <c r="D124" s="13" t="inlineStr">
        <is>
          <t>Data source and limitations</t>
        </is>
      </c>
      <c r="E124" s="56">
        <f>'A1. Response summary'!S94</f>
        <v/>
      </c>
      <c r="R124" s="57" t="n"/>
    </row>
    <row r="125" ht="18" customHeight="1">
      <c r="B125" s="55" t="inlineStr">
        <is>
          <t>CL2(a)</t>
        </is>
      </c>
      <c r="D125" s="13" t="inlineStr">
        <is>
          <t>Data owner confirms</t>
        </is>
      </c>
      <c r="E125" s="56">
        <f>'A1. Response summary'!S95</f>
        <v/>
      </c>
      <c r="R125" s="58" t="n"/>
    </row>
    <row r="127">
      <c r="B127" s="7" t="inlineStr">
        <is>
          <t>CL2(c)</t>
        </is>
      </c>
      <c r="C127" s="50" t="inlineStr">
        <is>
          <t>Ongoing communications that evidence the University’s climate action, research and learning to inform policy, sector and community decarbonisation efforts.</t>
        </is>
      </c>
      <c r="D127" s="53" t="inlineStr">
        <is>
          <t>Unit</t>
        </is>
      </c>
      <c r="E127" s="53" t="inlineStr">
        <is>
          <t>AC&amp;M – Advancement, Communication and Marketing</t>
        </is>
      </c>
      <c r="P127" s="54">
        <f>'A1. Response summary'!AA96</f>
        <v/>
      </c>
      <c r="Q127" s="54">
        <f>'A1. Response summary'!AC96</f>
        <v/>
      </c>
      <c r="R127" s="8" t="n"/>
    </row>
    <row r="128" ht="18" customHeight="1">
      <c r="B128" s="55" t="inlineStr">
        <is>
          <t>CL2(c)</t>
        </is>
      </c>
      <c r="D128" s="13" t="inlineStr">
        <is>
          <t>OPTION 1:  Target-level reporting</t>
        </is>
      </c>
      <c r="E128" s="56">
        <f>'A1. Response summary'!S96</f>
        <v/>
      </c>
      <c r="R128" s="57" t="n"/>
    </row>
    <row r="129" ht="60" customHeight="1">
      <c r="B129" s="55" t="inlineStr">
        <is>
          <t>CL2(c)</t>
        </is>
      </c>
      <c r="D129" s="13" t="inlineStr">
        <is>
          <t>OPTION 2:  Indicator level reporting</t>
        </is>
      </c>
      <c r="E129" s="56">
        <f>'A1. Response summary'!S97</f>
        <v/>
      </c>
      <c r="R129" s="57" t="n"/>
    </row>
    <row r="130" ht="60" customHeight="1">
      <c r="B130" s="55" t="inlineStr">
        <is>
          <t>CL2(c)</t>
        </is>
      </c>
      <c r="D130" s="13" t="inlineStr">
        <is>
          <t>Supporting information/comments</t>
        </is>
      </c>
      <c r="E130" s="56">
        <f>'A1. Response summary'!S98</f>
        <v/>
      </c>
      <c r="R130" s="57" t="n"/>
    </row>
    <row r="131" ht="18" customHeight="1">
      <c r="B131" s="55" t="inlineStr">
        <is>
          <t>CL2(c)</t>
        </is>
      </c>
      <c r="D131" s="13" t="inlineStr">
        <is>
          <t>Data source and limitations</t>
        </is>
      </c>
      <c r="E131" s="56">
        <f>'A1. Response summary'!S99</f>
        <v/>
      </c>
      <c r="R131" s="57" t="n"/>
    </row>
    <row r="132" ht="18" customHeight="1">
      <c r="B132" s="55" t="inlineStr">
        <is>
          <t>CL2(c)</t>
        </is>
      </c>
      <c r="D132" s="13" t="inlineStr">
        <is>
          <t>Data owner confirms</t>
        </is>
      </c>
      <c r="E132" s="56">
        <f>'A1. Response summary'!S100</f>
        <v/>
      </c>
      <c r="R132" s="58" t="n"/>
    </row>
    <row r="134">
      <c r="B134" s="7" t="inlineStr">
        <is>
          <t>CL3(a)</t>
        </is>
      </c>
      <c r="C134"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3" t="inlineStr">
        <is>
          <t>Unit</t>
        </is>
      </c>
      <c r="E134" s="53" t="inlineStr">
        <is>
          <t>CI&amp;S – Estate Planning &amp; Development</t>
        </is>
      </c>
      <c r="F134" s="53" t="inlineStr">
        <is>
          <t>Legal &amp; Risk – Risk &amp; resilience</t>
        </is>
      </c>
      <c r="P134" s="54">
        <f>'A1. Response summary'!AA101</f>
        <v/>
      </c>
      <c r="Q134" s="54">
        <f>'A1. Response summary'!AC101</f>
        <v/>
      </c>
      <c r="R134" s="8" t="n"/>
    </row>
    <row r="135" ht="18" customHeight="1">
      <c r="B135" s="55" t="inlineStr">
        <is>
          <t>CL3(a)</t>
        </is>
      </c>
      <c r="D135" s="13" t="inlineStr">
        <is>
          <t>OPTION 1:  Target-level reporting</t>
        </is>
      </c>
      <c r="E135" s="56">
        <f>'A1. Response summary'!L101</f>
        <v/>
      </c>
      <c r="F135" s="56">
        <f>'A1. Response summary'!X101</f>
        <v/>
      </c>
      <c r="R135" s="57" t="n"/>
    </row>
    <row r="136" ht="60" customHeight="1">
      <c r="B136" s="55" t="inlineStr">
        <is>
          <t>CL3(a)</t>
        </is>
      </c>
      <c r="D136" s="13" t="inlineStr">
        <is>
          <t>OPTION 2:  Indicator level reporting</t>
        </is>
      </c>
      <c r="E136" s="56">
        <f>'A1. Response summary'!L102</f>
        <v/>
      </c>
      <c r="F136" s="56">
        <f>'A1. Response summary'!X102</f>
        <v/>
      </c>
      <c r="R136" s="57" t="n"/>
    </row>
    <row r="137" ht="60" customHeight="1">
      <c r="B137" s="55" t="inlineStr">
        <is>
          <t>CL3(a)</t>
        </is>
      </c>
      <c r="D137" s="13" t="inlineStr">
        <is>
          <t>Supporting information/comments</t>
        </is>
      </c>
      <c r="E137" s="56">
        <f>'A1. Response summary'!L103</f>
        <v/>
      </c>
      <c r="F137" s="56">
        <f>'A1. Response summary'!X103</f>
        <v/>
      </c>
      <c r="R137" s="57" t="n"/>
    </row>
    <row r="138" ht="18" customHeight="1">
      <c r="B138" s="55" t="inlineStr">
        <is>
          <t>CL3(a)</t>
        </is>
      </c>
      <c r="D138" s="13" t="inlineStr">
        <is>
          <t>Data source and limitations</t>
        </is>
      </c>
      <c r="E138" s="56">
        <f>'A1. Response summary'!L104</f>
        <v/>
      </c>
      <c r="F138" s="56">
        <f>'A1. Response summary'!X104</f>
        <v/>
      </c>
      <c r="R138" s="57" t="n"/>
    </row>
    <row r="139" ht="18" customHeight="1">
      <c r="B139" s="55" t="inlineStr">
        <is>
          <t>CL3(a)</t>
        </is>
      </c>
      <c r="D139" s="13" t="inlineStr">
        <is>
          <t>Data owner confirms</t>
        </is>
      </c>
      <c r="E139" s="56">
        <f>'A1. Response summary'!L105</f>
        <v/>
      </c>
      <c r="F139" s="56">
        <f>'A1. Response summary'!X105</f>
        <v/>
      </c>
      <c r="R139" s="58" t="n"/>
    </row>
    <row r="141">
      <c r="B141" s="7" t="inlineStr">
        <is>
          <t>NB1(b)</t>
        </is>
      </c>
      <c r="C141" s="50" t="inlineStr">
        <is>
          <t>Size, health and diversity of remnant vegetation at the Dookie and Creswick campuses</t>
        </is>
      </c>
      <c r="D141" s="53" t="inlineStr">
        <is>
          <t>Unit</t>
        </is>
      </c>
      <c r="E141" s="53" t="inlineStr">
        <is>
          <t>ESG – Campus Operations &amp; Sustainability Delivery</t>
        </is>
      </c>
      <c r="P141" s="54">
        <f>'A1. Response summary'!AA106</f>
        <v/>
      </c>
      <c r="Q141" s="54">
        <f>'A1. Response summary'!AC106</f>
        <v/>
      </c>
      <c r="R141" s="8" t="n"/>
    </row>
    <row r="142" ht="18" customHeight="1">
      <c r="B142" s="55" t="inlineStr">
        <is>
          <t>NB1(b)</t>
        </is>
      </c>
      <c r="D142" s="13" t="inlineStr">
        <is>
          <t>OPTION 1:  Target-level reporting</t>
        </is>
      </c>
      <c r="E142" s="56">
        <f>'A1. Response summary'!P106</f>
        <v/>
      </c>
      <c r="R142" s="57" t="n"/>
    </row>
    <row r="143" ht="60" customHeight="1">
      <c r="B143" s="55" t="inlineStr">
        <is>
          <t>NB1(b)</t>
        </is>
      </c>
      <c r="D143" s="13" t="inlineStr">
        <is>
          <t>OPTION 2:  Indicator level reporting</t>
        </is>
      </c>
      <c r="E143" s="56">
        <f>'A1. Response summary'!P107</f>
        <v/>
      </c>
      <c r="R143" s="57" t="n"/>
    </row>
    <row r="144" ht="60" customHeight="1">
      <c r="B144" s="55" t="inlineStr">
        <is>
          <t>NB1(b)</t>
        </is>
      </c>
      <c r="D144" s="13" t="inlineStr">
        <is>
          <t>Supporting information/comments</t>
        </is>
      </c>
      <c r="E144" s="56">
        <f>'A1. Response summary'!P108</f>
        <v/>
      </c>
      <c r="R144" s="57" t="n"/>
    </row>
    <row r="145" ht="18" customHeight="1">
      <c r="B145" s="55" t="inlineStr">
        <is>
          <t>NB1(b)</t>
        </is>
      </c>
      <c r="D145" s="13" t="inlineStr">
        <is>
          <t>Data source and limitations</t>
        </is>
      </c>
      <c r="E145" s="56">
        <f>'A1. Response summary'!P109</f>
        <v/>
      </c>
      <c r="R145" s="57" t="n"/>
    </row>
    <row r="146" ht="18" customHeight="1">
      <c r="B146" s="55" t="inlineStr">
        <is>
          <t>NB1(b)</t>
        </is>
      </c>
      <c r="D146" s="13" t="inlineStr">
        <is>
          <t>Data owner confirms</t>
        </is>
      </c>
      <c r="E146" s="56">
        <f>'A1. Response summary'!P110</f>
        <v/>
      </c>
      <c r="R146" s="58" t="n"/>
    </row>
    <row r="148">
      <c r="B148" s="7" t="inlineStr">
        <is>
          <t>NB1(c)</t>
        </is>
      </c>
      <c r="C148" s="50" t="inlineStr">
        <is>
          <t>Defined quality measurement framework</t>
        </is>
      </c>
      <c r="D148" s="53" t="inlineStr">
        <is>
          <t>Unit</t>
        </is>
      </c>
      <c r="E148" s="53" t="inlineStr">
        <is>
          <t>ESG – Campus Operations &amp; Sustainability Delivery</t>
        </is>
      </c>
      <c r="P148" s="54">
        <f>'A1. Response summary'!AA111</f>
        <v/>
      </c>
      <c r="Q148" s="54">
        <f>'A1. Response summary'!AC111</f>
        <v/>
      </c>
      <c r="R148" s="8" t="n"/>
    </row>
    <row r="149" ht="18" customHeight="1">
      <c r="B149" s="55" t="inlineStr">
        <is>
          <t>NB1(c)</t>
        </is>
      </c>
      <c r="D149" s="13" t="inlineStr">
        <is>
          <t>OPTION 1:  Target-level reporting</t>
        </is>
      </c>
      <c r="E149" s="56">
        <f>'A1. Response summary'!P111</f>
        <v/>
      </c>
      <c r="R149" s="57" t="n"/>
    </row>
    <row r="150" ht="60" customHeight="1">
      <c r="B150" s="55" t="inlineStr">
        <is>
          <t>NB1(c)</t>
        </is>
      </c>
      <c r="D150" s="13" t="inlineStr">
        <is>
          <t>OPTION 2:  Indicator level reporting</t>
        </is>
      </c>
      <c r="E150" s="56">
        <f>'A1. Response summary'!P112</f>
        <v/>
      </c>
      <c r="R150" s="57" t="n"/>
    </row>
    <row r="151" ht="60" customHeight="1">
      <c r="B151" s="55" t="inlineStr">
        <is>
          <t>NB1(c)</t>
        </is>
      </c>
      <c r="D151" s="13" t="inlineStr">
        <is>
          <t>Supporting information/comments</t>
        </is>
      </c>
      <c r="E151" s="56">
        <f>'A1. Response summary'!P113</f>
        <v/>
      </c>
      <c r="R151" s="57" t="n"/>
    </row>
    <row r="152" ht="18" customHeight="1">
      <c r="B152" s="55" t="inlineStr">
        <is>
          <t>NB1(c)</t>
        </is>
      </c>
      <c r="D152" s="13" t="inlineStr">
        <is>
          <t>Data source and limitations</t>
        </is>
      </c>
      <c r="E152" s="56">
        <f>'A1. Response summary'!P114</f>
        <v/>
      </c>
      <c r="R152" s="57" t="n"/>
    </row>
    <row r="153" ht="18" customHeight="1">
      <c r="B153" s="55" t="inlineStr">
        <is>
          <t>NB1(c)</t>
        </is>
      </c>
      <c r="D153" s="13" t="inlineStr">
        <is>
          <t>Data owner confirms</t>
        </is>
      </c>
      <c r="E153" s="56">
        <f>'A1. Response summary'!P115</f>
        <v/>
      </c>
      <c r="R153" s="58" t="n"/>
    </row>
    <row r="155">
      <c r="B155" s="7" t="inlineStr">
        <is>
          <t>NB1(d)</t>
        </is>
      </c>
      <c r="C155" s="50" t="inlineStr">
        <is>
          <t>Defined and quantified campus connectivity</t>
        </is>
      </c>
      <c r="D155" s="53" t="inlineStr">
        <is>
          <t>Unit</t>
        </is>
      </c>
      <c r="E155" s="53" t="inlineStr">
        <is>
          <t>ESG – Campus Operations &amp; Sustainability Delivery</t>
        </is>
      </c>
      <c r="P155" s="54">
        <f>'A1. Response summary'!AA116</f>
        <v/>
      </c>
      <c r="Q155" s="54">
        <f>'A1. Response summary'!AC116</f>
        <v/>
      </c>
      <c r="R155" s="8" t="n"/>
    </row>
    <row r="156" ht="18" customHeight="1">
      <c r="B156" s="55" t="inlineStr">
        <is>
          <t>NB1(d)</t>
        </is>
      </c>
      <c r="D156" s="13" t="inlineStr">
        <is>
          <t>OPTION 1:  Target-level reporting</t>
        </is>
      </c>
      <c r="E156" s="56">
        <f>'A1. Response summary'!P116</f>
        <v/>
      </c>
      <c r="R156" s="57" t="n"/>
    </row>
    <row r="157" ht="60" customHeight="1">
      <c r="B157" s="55" t="inlineStr">
        <is>
          <t>NB1(d)</t>
        </is>
      </c>
      <c r="D157" s="13" t="inlineStr">
        <is>
          <t>OPTION 2:  Indicator level reporting</t>
        </is>
      </c>
      <c r="E157" s="56">
        <f>'A1. Response summary'!P117</f>
        <v/>
      </c>
      <c r="R157" s="57" t="n"/>
    </row>
    <row r="158" ht="60" customHeight="1">
      <c r="B158" s="55" t="inlineStr">
        <is>
          <t>NB1(d)</t>
        </is>
      </c>
      <c r="D158" s="13" t="inlineStr">
        <is>
          <t>Supporting information/comments</t>
        </is>
      </c>
      <c r="E158" s="56">
        <f>'A1. Response summary'!P118</f>
        <v/>
      </c>
      <c r="R158" s="57" t="n"/>
    </row>
    <row r="159" ht="18" customHeight="1">
      <c r="B159" s="55" t="inlineStr">
        <is>
          <t>NB1(d)</t>
        </is>
      </c>
      <c r="D159" s="13" t="inlineStr">
        <is>
          <t>Data source and limitations</t>
        </is>
      </c>
      <c r="E159" s="56">
        <f>'A1. Response summary'!P119</f>
        <v/>
      </c>
      <c r="R159" s="57" t="n"/>
    </row>
    <row r="160" ht="18" customHeight="1">
      <c r="B160" s="55" t="inlineStr">
        <is>
          <t>NB1(d)</t>
        </is>
      </c>
      <c r="D160" s="13" t="inlineStr">
        <is>
          <t>Data owner confirms</t>
        </is>
      </c>
      <c r="E160" s="56">
        <f>'A1. Response summary'!P120</f>
        <v/>
      </c>
      <c r="R160" s="58" t="n"/>
    </row>
    <row r="162">
      <c r="B162" s="7" t="inlineStr">
        <is>
          <t>NB2(a)</t>
        </is>
      </c>
      <c r="C162" s="50" t="inlineStr">
        <is>
          <t>Documented baseline nature footprint analysis</t>
        </is>
      </c>
      <c r="D162" s="53" t="inlineStr">
        <is>
          <t>Unit</t>
        </is>
      </c>
      <c r="E162" s="53" t="inlineStr">
        <is>
          <t>MRE – Research</t>
        </is>
      </c>
      <c r="P162" s="54">
        <f>'A1. Response summary'!AA121</f>
        <v/>
      </c>
      <c r="Q162" s="54">
        <f>'A1. Response summary'!AC121</f>
        <v/>
      </c>
      <c r="R162" s="8" t="n"/>
    </row>
    <row r="163" ht="18" customHeight="1">
      <c r="B163" s="55" t="inlineStr">
        <is>
          <t>NB2(a)</t>
        </is>
      </c>
      <c r="D163" s="13" t="inlineStr">
        <is>
          <t>OPTION 1:  Target-level reporting</t>
        </is>
      </c>
      <c r="E163" s="56">
        <f>'A1. Response summary'!R121</f>
        <v/>
      </c>
      <c r="R163" s="57" t="n"/>
    </row>
    <row r="164" ht="60" customHeight="1">
      <c r="B164" s="55" t="inlineStr">
        <is>
          <t>NB2(a)</t>
        </is>
      </c>
      <c r="D164" s="13" t="inlineStr">
        <is>
          <t>OPTION 2:  Indicator level reporting</t>
        </is>
      </c>
      <c r="E164" s="56">
        <f>'A1. Response summary'!R122</f>
        <v/>
      </c>
      <c r="R164" s="57" t="n"/>
    </row>
    <row r="165" ht="60" customHeight="1">
      <c r="B165" s="55" t="inlineStr">
        <is>
          <t>NB2(a)</t>
        </is>
      </c>
      <c r="D165" s="13" t="inlineStr">
        <is>
          <t>Supporting information/comments</t>
        </is>
      </c>
      <c r="E165" s="56">
        <f>'A1. Response summary'!R123</f>
        <v/>
      </c>
      <c r="R165" s="57" t="n"/>
    </row>
    <row r="166" ht="18" customHeight="1">
      <c r="B166" s="55" t="inlineStr">
        <is>
          <t>NB2(a)</t>
        </is>
      </c>
      <c r="D166" s="13" t="inlineStr">
        <is>
          <t>Data source and limitations</t>
        </is>
      </c>
      <c r="E166" s="56">
        <f>'A1. Response summary'!R124</f>
        <v/>
      </c>
      <c r="R166" s="57" t="n"/>
    </row>
    <row r="167" ht="18" customHeight="1">
      <c r="B167" s="55" t="inlineStr">
        <is>
          <t>NB2(a)</t>
        </is>
      </c>
      <c r="D167" s="13" t="inlineStr">
        <is>
          <t>Data owner confirms</t>
        </is>
      </c>
      <c r="E167" s="56">
        <f>'A1. Response summary'!R125</f>
        <v/>
      </c>
      <c r="R167" s="58" t="n"/>
    </row>
    <row r="169">
      <c r="B169" s="7" t="inlineStr">
        <is>
          <t>NB2(b)</t>
        </is>
      </c>
      <c r="C169" s="50" t="inlineStr">
        <is>
          <t>Evidence of established framework to monitor and track supply-chain nature impacts over time</t>
        </is>
      </c>
      <c r="D169" s="53" t="inlineStr">
        <is>
          <t>Unit</t>
        </is>
      </c>
      <c r="E169" s="53" t="inlineStr">
        <is>
          <t>ESG – Campus Operations &amp; Sustainability Delivery</t>
        </is>
      </c>
      <c r="P169" s="54">
        <f>'A1. Response summary'!AA126</f>
        <v/>
      </c>
      <c r="Q169" s="54">
        <f>'A1. Response summary'!AC126</f>
        <v/>
      </c>
      <c r="R169" s="8" t="n"/>
    </row>
    <row r="170" ht="18" customHeight="1">
      <c r="B170" s="55" t="inlineStr">
        <is>
          <t>NB2(b)</t>
        </is>
      </c>
      <c r="D170" s="13" t="inlineStr">
        <is>
          <t>OPTION 1:  Target-level reporting</t>
        </is>
      </c>
      <c r="E170" s="56">
        <f>'A1. Response summary'!P126</f>
        <v/>
      </c>
      <c r="R170" s="57" t="n"/>
    </row>
    <row r="171" ht="60" customHeight="1">
      <c r="B171" s="55" t="inlineStr">
        <is>
          <t>NB2(b)</t>
        </is>
      </c>
      <c r="D171" s="13" t="inlineStr">
        <is>
          <t>OPTION 2:  Indicator level reporting</t>
        </is>
      </c>
      <c r="E171" s="56">
        <f>'A1. Response summary'!P127</f>
        <v/>
      </c>
      <c r="R171" s="57" t="n"/>
    </row>
    <row r="172" ht="60" customHeight="1">
      <c r="B172" s="55" t="inlineStr">
        <is>
          <t>NB2(b)</t>
        </is>
      </c>
      <c r="D172" s="13" t="inlineStr">
        <is>
          <t>Supporting information/comments</t>
        </is>
      </c>
      <c r="E172" s="56">
        <f>'A1. Response summary'!P128</f>
        <v/>
      </c>
      <c r="R172" s="57" t="n"/>
    </row>
    <row r="173" ht="18" customHeight="1">
      <c r="B173" s="55" t="inlineStr">
        <is>
          <t>NB2(b)</t>
        </is>
      </c>
      <c r="D173" s="13" t="inlineStr">
        <is>
          <t>Data source and limitations</t>
        </is>
      </c>
      <c r="E173" s="56">
        <f>'A1. Response summary'!P129</f>
        <v/>
      </c>
      <c r="R173" s="57" t="n"/>
    </row>
    <row r="174" ht="18" customHeight="1">
      <c r="B174" s="55" t="inlineStr">
        <is>
          <t>NB2(b)</t>
        </is>
      </c>
      <c r="D174" s="13" t="inlineStr">
        <is>
          <t>Data owner confirms</t>
        </is>
      </c>
      <c r="E174" s="56">
        <f>'A1. Response summary'!P130</f>
        <v/>
      </c>
      <c r="R174" s="58" t="n"/>
    </row>
    <row r="176">
      <c r="B176" s="7" t="inlineStr">
        <is>
          <t>NB2(c)</t>
        </is>
      </c>
      <c r="C176" s="50" t="inlineStr">
        <is>
          <t>Evidence of prioritised high risk procurement categories or suppliers for nature impact management</t>
        </is>
      </c>
      <c r="D176" s="53" t="inlineStr">
        <is>
          <t>Unit</t>
        </is>
      </c>
      <c r="E176" s="53" t="inlineStr">
        <is>
          <t>CFOG – Procurement</t>
        </is>
      </c>
      <c r="F176" s="53" t="inlineStr">
        <is>
          <t>ESG – Campus Operations &amp; Sustainability Delivery</t>
        </is>
      </c>
      <c r="P176" s="54">
        <f>'A1. Response summary'!AA131</f>
        <v/>
      </c>
      <c r="Q176" s="54">
        <f>'A1. Response summary'!AC131</f>
        <v/>
      </c>
      <c r="R176" s="8" t="n"/>
    </row>
    <row r="177" ht="18" customHeight="1">
      <c r="B177" s="55" t="inlineStr">
        <is>
          <t>NB2(c)</t>
        </is>
      </c>
      <c r="D177" s="13" t="inlineStr">
        <is>
          <t>OPTION 1:  Target-level reporting</t>
        </is>
      </c>
      <c r="E177" s="56">
        <f>'A1. Response summary'!N131</f>
        <v/>
      </c>
      <c r="F177" s="56">
        <f>'A1. Response summary'!P131</f>
        <v/>
      </c>
      <c r="R177" s="57" t="n"/>
    </row>
    <row r="178" ht="60" customHeight="1">
      <c r="B178" s="55" t="inlineStr">
        <is>
          <t>NB2(c)</t>
        </is>
      </c>
      <c r="D178" s="13" t="inlineStr">
        <is>
          <t>OPTION 2:  Indicator level reporting</t>
        </is>
      </c>
      <c r="E178" s="56">
        <f>'A1. Response summary'!N132</f>
        <v/>
      </c>
      <c r="F178" s="56">
        <f>'A1. Response summary'!P132</f>
        <v/>
      </c>
      <c r="R178" s="57" t="n"/>
    </row>
    <row r="179" ht="60" customHeight="1">
      <c r="B179" s="55" t="inlineStr">
        <is>
          <t>NB2(c)</t>
        </is>
      </c>
      <c r="D179" s="13" t="inlineStr">
        <is>
          <t>Supporting information/comments</t>
        </is>
      </c>
      <c r="E179" s="56">
        <f>'A1. Response summary'!N133</f>
        <v/>
      </c>
      <c r="F179" s="56">
        <f>'A1. Response summary'!P133</f>
        <v/>
      </c>
      <c r="R179" s="57" t="n"/>
    </row>
    <row r="180" ht="18" customHeight="1">
      <c r="B180" s="55" t="inlineStr">
        <is>
          <t>NB2(c)</t>
        </is>
      </c>
      <c r="D180" s="13" t="inlineStr">
        <is>
          <t>Data source and limitations</t>
        </is>
      </c>
      <c r="E180" s="56">
        <f>'A1. Response summary'!N134</f>
        <v/>
      </c>
      <c r="F180" s="56">
        <f>'A1. Response summary'!P134</f>
        <v/>
      </c>
      <c r="R180" s="57" t="n"/>
    </row>
    <row r="181" ht="18" customHeight="1">
      <c r="B181" s="55" t="inlineStr">
        <is>
          <t>NB2(c)</t>
        </is>
      </c>
      <c r="D181" s="13" t="inlineStr">
        <is>
          <t>Data owner confirms</t>
        </is>
      </c>
      <c r="E181" s="56">
        <f>'A1. Response summary'!N135</f>
        <v/>
      </c>
      <c r="F181" s="56">
        <f>'A1. Response summary'!P135</f>
        <v/>
      </c>
      <c r="R181" s="58" t="n"/>
    </row>
    <row r="183">
      <c r="B183" s="7" t="inlineStr">
        <is>
          <t>AI1(a)</t>
        </is>
      </c>
      <c r="C183" s="50" t="inlineStr">
        <is>
          <t>Established measurement of estimated operational impacts and opportunities (eg operational impacts could include energy, water, emissions and intensity measures)</t>
        </is>
      </c>
      <c r="D183" s="53" t="inlineStr">
        <is>
          <t>Unit</t>
        </is>
      </c>
      <c r="E183" s="53" t="inlineStr">
        <is>
          <t>CI&amp;S – Sustainability Strategy</t>
        </is>
      </c>
      <c r="F183" s="53" t="inlineStr">
        <is>
          <t>CIOG – Responsible AI &amp; digital</t>
        </is>
      </c>
      <c r="P183" s="54">
        <f>'A1. Response summary'!AA136</f>
        <v/>
      </c>
      <c r="Q183" s="54">
        <f>'A1. Response summary'!AC136</f>
        <v/>
      </c>
      <c r="R183" s="8" t="n"/>
    </row>
    <row r="184" ht="18" customHeight="1">
      <c r="B184" s="55" t="inlineStr">
        <is>
          <t>AI1(a)</t>
        </is>
      </c>
      <c r="D184" s="13" t="inlineStr">
        <is>
          <t>OPTION 1:  Target-level reporting</t>
        </is>
      </c>
      <c r="E184" s="56">
        <f>'A1. Response summary'!M136</f>
        <v/>
      </c>
      <c r="F184" s="56">
        <f>'A1. Response summary'!Q136</f>
        <v/>
      </c>
      <c r="R184" s="57" t="n"/>
    </row>
    <row r="185" ht="60" customHeight="1">
      <c r="B185" s="55" t="inlineStr">
        <is>
          <t>AI1(a)</t>
        </is>
      </c>
      <c r="D185" s="13" t="inlineStr">
        <is>
          <t>OPTION 2:  Indicator level reporting</t>
        </is>
      </c>
      <c r="E185" s="56">
        <f>'A1. Response summary'!M137</f>
        <v/>
      </c>
      <c r="F185" s="56">
        <f>'A1. Response summary'!Q137</f>
        <v/>
      </c>
      <c r="R185" s="57" t="n"/>
    </row>
    <row r="186" ht="60" customHeight="1">
      <c r="B186" s="55" t="inlineStr">
        <is>
          <t>AI1(a)</t>
        </is>
      </c>
      <c r="D186" s="13" t="inlineStr">
        <is>
          <t>Supporting information/comments</t>
        </is>
      </c>
      <c r="E186" s="56">
        <f>'A1. Response summary'!M138</f>
        <v/>
      </c>
      <c r="F186" s="56">
        <f>'A1. Response summary'!Q138</f>
        <v/>
      </c>
      <c r="R186" s="57" t="n"/>
    </row>
    <row r="187" ht="18" customHeight="1">
      <c r="B187" s="55" t="inlineStr">
        <is>
          <t>AI1(a)</t>
        </is>
      </c>
      <c r="D187" s="13" t="inlineStr">
        <is>
          <t>Data source and limitations</t>
        </is>
      </c>
      <c r="E187" s="56">
        <f>'A1. Response summary'!M139</f>
        <v/>
      </c>
      <c r="F187" s="56">
        <f>'A1. Response summary'!Q139</f>
        <v/>
      </c>
      <c r="R187" s="57" t="n"/>
    </row>
    <row r="188" ht="18" customHeight="1">
      <c r="B188" s="55" t="inlineStr">
        <is>
          <t>AI1(a)</t>
        </is>
      </c>
      <c r="D188" s="13" t="inlineStr">
        <is>
          <t>Data owner confirms</t>
        </is>
      </c>
      <c r="E188" s="56">
        <f>'A1. Response summary'!M140</f>
        <v/>
      </c>
      <c r="F188" s="56">
        <f>'A1. Response summary'!Q140</f>
        <v/>
      </c>
      <c r="R188" s="58" t="n"/>
    </row>
    <row r="190">
      <c r="B190" s="7" t="inlineStr">
        <is>
          <t>AI1(b)</t>
        </is>
      </c>
      <c r="C190" s="50" t="inlineStr">
        <is>
          <t>Case studies of sustainability and AI-related education, research and collaboration activities.</t>
        </is>
      </c>
      <c r="D190" s="53" t="inlineStr">
        <is>
          <t>Unit</t>
        </is>
      </c>
      <c r="E190" s="53" t="inlineStr">
        <is>
          <t>CI&amp;S – Sustainability Strategy</t>
        </is>
      </c>
      <c r="F190" s="53" t="inlineStr">
        <is>
          <t>CIOG – Responsible AI &amp; digital</t>
        </is>
      </c>
      <c r="P190" s="54">
        <f>'A1. Response summary'!AA141</f>
        <v/>
      </c>
      <c r="Q190" s="54">
        <f>'A1. Response summary'!AC141</f>
        <v/>
      </c>
      <c r="R190" s="8" t="n"/>
    </row>
    <row r="191" ht="18" customHeight="1">
      <c r="B191" s="55" t="inlineStr">
        <is>
          <t>AI1(b)</t>
        </is>
      </c>
      <c r="D191" s="13" t="inlineStr">
        <is>
          <t>OPTION 1:  Target-level reporting</t>
        </is>
      </c>
      <c r="E191" s="56">
        <f>'A1. Response summary'!M141</f>
        <v/>
      </c>
      <c r="F191" s="56">
        <f>'A1. Response summary'!Q141</f>
        <v/>
      </c>
      <c r="R191" s="57" t="n"/>
    </row>
    <row r="192" ht="60" customHeight="1">
      <c r="B192" s="55" t="inlineStr">
        <is>
          <t>AI1(b)</t>
        </is>
      </c>
      <c r="D192" s="13" t="inlineStr">
        <is>
          <t>OPTION 2:  Indicator level reporting</t>
        </is>
      </c>
      <c r="E192" s="56">
        <f>'A1. Response summary'!M142</f>
        <v/>
      </c>
      <c r="F192" s="56">
        <f>'A1. Response summary'!Q142</f>
        <v/>
      </c>
      <c r="R192" s="57" t="n"/>
    </row>
    <row r="193" ht="60" customHeight="1">
      <c r="B193" s="55" t="inlineStr">
        <is>
          <t>AI1(b)</t>
        </is>
      </c>
      <c r="D193" s="13" t="inlineStr">
        <is>
          <t>Supporting information/comments</t>
        </is>
      </c>
      <c r="E193" s="56">
        <f>'A1. Response summary'!M143</f>
        <v/>
      </c>
      <c r="F193" s="56">
        <f>'A1. Response summary'!Q143</f>
        <v/>
      </c>
      <c r="R193" s="57" t="n"/>
    </row>
    <row r="194" ht="18" customHeight="1">
      <c r="B194" s="55" t="inlineStr">
        <is>
          <t>AI1(b)</t>
        </is>
      </c>
      <c r="D194" s="13" t="inlineStr">
        <is>
          <t>Data source and limitations</t>
        </is>
      </c>
      <c r="E194" s="56">
        <f>'A1. Response summary'!M144</f>
        <v/>
      </c>
      <c r="F194" s="56">
        <f>'A1. Response summary'!Q144</f>
        <v/>
      </c>
      <c r="R194" s="57" t="n"/>
    </row>
    <row r="195" ht="18" customHeight="1">
      <c r="B195" s="55" t="inlineStr">
        <is>
          <t>AI1(b)</t>
        </is>
      </c>
      <c r="D195" s="13" t="inlineStr">
        <is>
          <t>Data owner confirms</t>
        </is>
      </c>
      <c r="E195" s="56">
        <f>'A1. Response summary'!M145</f>
        <v/>
      </c>
      <c r="F195" s="56">
        <f>'A1. Response summary'!Q145</f>
        <v/>
      </c>
      <c r="R195" s="58" t="n"/>
    </row>
    <row r="197">
      <c r="B197" s="7" t="inlineStr">
        <is>
          <t>EI1(a)</t>
        </is>
      </c>
      <c r="C197" s="50" t="inlineStr">
        <is>
          <t>Evidence of increased maturity of estate and infrastructure planning, development and operations to support the other priority areas in Sustainability 2030</t>
        </is>
      </c>
      <c r="D197" s="53" t="inlineStr">
        <is>
          <t>Unit</t>
        </is>
      </c>
      <c r="E197" s="53" t="inlineStr">
        <is>
          <t>CI&amp;S – Estate Planning &amp; Development</t>
        </is>
      </c>
      <c r="P197" s="54">
        <f>'A1. Response summary'!AA146</f>
        <v/>
      </c>
      <c r="Q197" s="54">
        <f>'A1. Response summary'!AC146</f>
        <v/>
      </c>
      <c r="R197" s="8" t="n"/>
    </row>
    <row r="198" ht="18" customHeight="1">
      <c r="B198" s="55" t="inlineStr">
        <is>
          <t>EI1(a)</t>
        </is>
      </c>
      <c r="D198" s="13" t="inlineStr">
        <is>
          <t>OPTION 1:  Target-level reporting</t>
        </is>
      </c>
      <c r="E198" s="56">
        <f>'A1. Response summary'!L146</f>
        <v/>
      </c>
      <c r="R198" s="57" t="n"/>
    </row>
    <row r="199" ht="60" customHeight="1">
      <c r="B199" s="55" t="inlineStr">
        <is>
          <t>EI1(a)</t>
        </is>
      </c>
      <c r="D199" s="13" t="inlineStr">
        <is>
          <t>OPTION 2:  Indicator level reporting</t>
        </is>
      </c>
      <c r="E199" s="56">
        <f>'A1. Response summary'!L147</f>
        <v/>
      </c>
      <c r="R199" s="57" t="n"/>
    </row>
    <row r="200" ht="60" customHeight="1">
      <c r="B200" s="55" t="inlineStr">
        <is>
          <t>EI1(a)</t>
        </is>
      </c>
      <c r="D200" s="13" t="inlineStr">
        <is>
          <t>Supporting information/comments</t>
        </is>
      </c>
      <c r="E200" s="56">
        <f>'A1. Response summary'!L148</f>
        <v/>
      </c>
      <c r="R200" s="57" t="n"/>
    </row>
    <row r="201" ht="18" customHeight="1">
      <c r="B201" s="55" t="inlineStr">
        <is>
          <t>EI1(a)</t>
        </is>
      </c>
      <c r="D201" s="13" t="inlineStr">
        <is>
          <t>Data source and limitations</t>
        </is>
      </c>
      <c r="E201" s="56">
        <f>'A1. Response summary'!L149</f>
        <v/>
      </c>
      <c r="R201" s="57" t="n"/>
    </row>
    <row r="202" ht="18" customHeight="1">
      <c r="B202" s="55" t="inlineStr">
        <is>
          <t>EI1(a)</t>
        </is>
      </c>
      <c r="D202" s="13" t="inlineStr">
        <is>
          <t>Data owner confirms</t>
        </is>
      </c>
      <c r="E202" s="56">
        <f>'A1. Response summary'!L150</f>
        <v/>
      </c>
      <c r="R202" s="58" t="n"/>
    </row>
    <row r="204">
      <c r="B204" s="7" t="inlineStr">
        <is>
          <t>EI1(b)</t>
        </is>
      </c>
      <c r="C204" s="50" t="inlineStr">
        <is>
          <t>Estimated sustainability impacts of the University’s estate and infrastructure capital plan to inform progress towards emissions reduction targets and other priority areas (to the extent enabled by available information)</t>
        </is>
      </c>
      <c r="D204" s="53" t="inlineStr">
        <is>
          <t>Unit</t>
        </is>
      </c>
      <c r="E204" s="53" t="inlineStr">
        <is>
          <t>CI&amp;S – Estate Planning &amp; Development</t>
        </is>
      </c>
      <c r="P204" s="54">
        <f>'A1. Response summary'!AA151</f>
        <v/>
      </c>
      <c r="Q204" s="54">
        <f>'A1. Response summary'!AC151</f>
        <v/>
      </c>
      <c r="R204" s="8" t="n"/>
    </row>
    <row r="205" ht="18" customHeight="1">
      <c r="B205" s="55" t="inlineStr">
        <is>
          <t>EI1(b)</t>
        </is>
      </c>
      <c r="D205" s="13" t="inlineStr">
        <is>
          <t>OPTION 1:  Target-level reporting</t>
        </is>
      </c>
      <c r="E205" s="56">
        <f>'A1. Response summary'!L151</f>
        <v/>
      </c>
      <c r="R205" s="57" t="n"/>
    </row>
    <row r="206" ht="60" customHeight="1">
      <c r="B206" s="55" t="inlineStr">
        <is>
          <t>EI1(b)</t>
        </is>
      </c>
      <c r="D206" s="13" t="inlineStr">
        <is>
          <t>OPTION 2:  Indicator level reporting</t>
        </is>
      </c>
      <c r="E206" s="56">
        <f>'A1. Response summary'!L152</f>
        <v/>
      </c>
      <c r="R206" s="57" t="n"/>
    </row>
    <row r="207" ht="60" customHeight="1">
      <c r="B207" s="55" t="inlineStr">
        <is>
          <t>EI1(b)</t>
        </is>
      </c>
      <c r="D207" s="13" t="inlineStr">
        <is>
          <t>Supporting information/comments</t>
        </is>
      </c>
      <c r="E207" s="56">
        <f>'A1. Response summary'!L153</f>
        <v/>
      </c>
      <c r="R207" s="57" t="n"/>
    </row>
    <row r="208" ht="18" customHeight="1">
      <c r="B208" s="55" t="inlineStr">
        <is>
          <t>EI1(b)</t>
        </is>
      </c>
      <c r="D208" s="13" t="inlineStr">
        <is>
          <t>Data source and limitations</t>
        </is>
      </c>
      <c r="E208" s="56">
        <f>'A1. Response summary'!L154</f>
        <v/>
      </c>
      <c r="R208" s="57" t="n"/>
    </row>
    <row r="209" ht="18" customHeight="1">
      <c r="B209" s="55" t="inlineStr">
        <is>
          <t>EI1(b)</t>
        </is>
      </c>
      <c r="D209" s="13" t="inlineStr">
        <is>
          <t>Data owner confirms</t>
        </is>
      </c>
      <c r="E209" s="56">
        <f>'A1. Response summary'!L155</f>
        <v/>
      </c>
      <c r="R209" s="58" t="n"/>
    </row>
    <row r="211">
      <c r="B211" s="7" t="inlineStr">
        <is>
          <t>EI1(c)</t>
        </is>
      </c>
      <c r="C211" s="50" t="inlineStr">
        <is>
          <t>Reporting on relevant activities and impacts for the University’s major estate and infrastructure projects and programs aligned with the other priority areas in Sustainability 2030</t>
        </is>
      </c>
      <c r="D211" s="53" t="inlineStr">
        <is>
          <t>Unit</t>
        </is>
      </c>
      <c r="E211" s="53" t="inlineStr">
        <is>
          <t>CI&amp;S – Estate Planning &amp; Development</t>
        </is>
      </c>
      <c r="P211" s="54">
        <f>'A1. Response summary'!AA156</f>
        <v/>
      </c>
      <c r="Q211" s="54">
        <f>'A1. Response summary'!AC156</f>
        <v/>
      </c>
      <c r="R211" s="8" t="n"/>
    </row>
    <row r="212" ht="18" customHeight="1">
      <c r="B212" s="55" t="inlineStr">
        <is>
          <t>EI1(c)</t>
        </is>
      </c>
      <c r="D212" s="13" t="inlineStr">
        <is>
          <t>OPTION 1:  Target-level reporting</t>
        </is>
      </c>
      <c r="E212" s="56">
        <f>'A1. Response summary'!L156</f>
        <v/>
      </c>
      <c r="R212" s="57" t="n"/>
    </row>
    <row r="213" ht="60" customHeight="1">
      <c r="B213" s="55" t="inlineStr">
        <is>
          <t>EI1(c)</t>
        </is>
      </c>
      <c r="D213" s="13" t="inlineStr">
        <is>
          <t>OPTION 2:  Indicator level reporting</t>
        </is>
      </c>
      <c r="E213" s="56">
        <f>'A1. Response summary'!L157</f>
        <v/>
      </c>
      <c r="R213" s="57" t="n"/>
    </row>
    <row r="214" ht="60" customHeight="1">
      <c r="B214" s="55" t="inlineStr">
        <is>
          <t>EI1(c)</t>
        </is>
      </c>
      <c r="D214" s="13" t="inlineStr">
        <is>
          <t>Supporting information/comments</t>
        </is>
      </c>
      <c r="E214" s="56">
        <f>'A1. Response summary'!L158</f>
        <v/>
      </c>
      <c r="R214" s="57" t="n"/>
    </row>
    <row r="215" ht="18" customHeight="1">
      <c r="B215" s="55" t="inlineStr">
        <is>
          <t>EI1(c)</t>
        </is>
      </c>
      <c r="D215" s="13" t="inlineStr">
        <is>
          <t>Data source and limitations</t>
        </is>
      </c>
      <c r="E215" s="56">
        <f>'A1. Response summary'!L159</f>
        <v/>
      </c>
      <c r="R215" s="57" t="n"/>
    </row>
    <row r="216" ht="18" customHeight="1">
      <c r="B216" s="55" t="inlineStr">
        <is>
          <t>EI1(c)</t>
        </is>
      </c>
      <c r="D216" s="13" t="inlineStr">
        <is>
          <t>Data owner confirms</t>
        </is>
      </c>
      <c r="E216" s="56">
        <f>'A1. Response summary'!L160</f>
        <v/>
      </c>
      <c r="R216" s="58" t="n"/>
    </row>
    <row r="218">
      <c r="B218" s="7" t="inlineStr">
        <is>
          <t>EI1(d)</t>
        </is>
      </c>
      <c r="C218" s="50" t="inlineStr">
        <is>
          <t>Evidence of understanding and integration of Indigenous approaches to sustainability in estate planning and development programs and projects.</t>
        </is>
      </c>
      <c r="D218" s="53" t="inlineStr">
        <is>
          <t>Unit</t>
        </is>
      </c>
      <c r="E218" s="53" t="inlineStr">
        <is>
          <t>CI&amp;S – Estate Planning &amp; Development</t>
        </is>
      </c>
      <c r="P218" s="54">
        <f>'A1. Response summary'!AA161</f>
        <v/>
      </c>
      <c r="Q218" s="54">
        <f>'A1. Response summary'!AC161</f>
        <v/>
      </c>
      <c r="R218" s="8" t="n"/>
    </row>
    <row r="219" ht="18" customHeight="1">
      <c r="B219" s="55" t="inlineStr">
        <is>
          <t>EI1(d)</t>
        </is>
      </c>
      <c r="D219" s="13" t="inlineStr">
        <is>
          <t>OPTION 1:  Target-level reporting</t>
        </is>
      </c>
      <c r="E219" s="56">
        <f>'A1. Response summary'!L161</f>
        <v/>
      </c>
      <c r="R219" s="57" t="n"/>
    </row>
    <row r="220" ht="60" customHeight="1">
      <c r="B220" s="55" t="inlineStr">
        <is>
          <t>EI1(d)</t>
        </is>
      </c>
      <c r="D220" s="13" t="inlineStr">
        <is>
          <t>OPTION 2:  Indicator level reporting</t>
        </is>
      </c>
      <c r="E220" s="56">
        <f>'A1. Response summary'!L162</f>
        <v/>
      </c>
      <c r="R220" s="57" t="n"/>
    </row>
    <row r="221" ht="60" customHeight="1">
      <c r="B221" s="55" t="inlineStr">
        <is>
          <t>EI1(d)</t>
        </is>
      </c>
      <c r="D221" s="13" t="inlineStr">
        <is>
          <t>Supporting information/comments</t>
        </is>
      </c>
      <c r="E221" s="56">
        <f>'A1. Response summary'!L163</f>
        <v/>
      </c>
      <c r="R221" s="57" t="n"/>
    </row>
    <row r="222" ht="18" customHeight="1">
      <c r="B222" s="55" t="inlineStr">
        <is>
          <t>EI1(d)</t>
        </is>
      </c>
      <c r="D222" s="13" t="inlineStr">
        <is>
          <t>Data source and limitations</t>
        </is>
      </c>
      <c r="E222" s="56">
        <f>'A1. Response summary'!L164</f>
        <v/>
      </c>
      <c r="R222" s="57" t="n"/>
    </row>
    <row r="223" ht="18" customHeight="1">
      <c r="B223" s="55" t="inlineStr">
        <is>
          <t>EI1(d)</t>
        </is>
      </c>
      <c r="D223" s="13" t="inlineStr">
        <is>
          <t>Data owner confirms</t>
        </is>
      </c>
      <c r="E223" s="56">
        <f>'A1. Response summary'!L165</f>
        <v/>
      </c>
      <c r="R223" s="58" t="n"/>
    </row>
    <row r="225">
      <c r="B225" s="7" t="inlineStr">
        <is>
          <t>RP1(a)</t>
        </is>
      </c>
      <c r="C225" s="50" t="inlineStr">
        <is>
          <t>Case studies of maturity improvement related to responsible procurement process and systems.</t>
        </is>
      </c>
      <c r="D225" s="53" t="inlineStr">
        <is>
          <t>Unit</t>
        </is>
      </c>
      <c r="E225" s="53" t="inlineStr">
        <is>
          <t>CFOG – Procurement</t>
        </is>
      </c>
      <c r="P225" s="54">
        <f>'A1. Response summary'!AA166</f>
        <v/>
      </c>
      <c r="Q225" s="54">
        <f>'A1. Response summary'!AC166</f>
        <v/>
      </c>
      <c r="R225" s="8" t="n"/>
    </row>
    <row r="226" ht="18" customHeight="1">
      <c r="B226" s="55" t="inlineStr">
        <is>
          <t>RP1(a)</t>
        </is>
      </c>
      <c r="D226" s="13" t="inlineStr">
        <is>
          <t>OPTION 1:  Target-level reporting</t>
        </is>
      </c>
      <c r="E226" s="56">
        <f>'A1. Response summary'!N166</f>
        <v/>
      </c>
      <c r="R226" s="57" t="n"/>
    </row>
    <row r="227" ht="60" customHeight="1">
      <c r="B227" s="55" t="inlineStr">
        <is>
          <t>RP1(a)</t>
        </is>
      </c>
      <c r="D227" s="13" t="inlineStr">
        <is>
          <t>OPTION 2:  Indicator level reporting</t>
        </is>
      </c>
      <c r="E227" s="56">
        <f>'A1. Response summary'!N167</f>
        <v/>
      </c>
      <c r="R227" s="57" t="n"/>
    </row>
    <row r="228" ht="60" customHeight="1">
      <c r="B228" s="55" t="inlineStr">
        <is>
          <t>RP1(a)</t>
        </is>
      </c>
      <c r="D228" s="13" t="inlineStr">
        <is>
          <t>Supporting information/comments</t>
        </is>
      </c>
      <c r="E228" s="56">
        <f>'A1. Response summary'!N168</f>
        <v/>
      </c>
      <c r="R228" s="57" t="n"/>
    </row>
    <row r="229" ht="18" customHeight="1">
      <c r="B229" s="55" t="inlineStr">
        <is>
          <t>RP1(a)</t>
        </is>
      </c>
      <c r="D229" s="13" t="inlineStr">
        <is>
          <t>Data source and limitations</t>
        </is>
      </c>
      <c r="E229" s="56">
        <f>'A1. Response summary'!N169</f>
        <v/>
      </c>
      <c r="R229" s="57" t="n"/>
    </row>
    <row r="230" ht="18" customHeight="1">
      <c r="B230" s="55" t="inlineStr">
        <is>
          <t>RP1(a)</t>
        </is>
      </c>
      <c r="D230" s="13" t="inlineStr">
        <is>
          <t>Data owner confirms</t>
        </is>
      </c>
      <c r="E230" s="56">
        <f>'A1. Response summary'!N170</f>
        <v/>
      </c>
      <c r="R230" s="58" t="n"/>
    </row>
    <row r="232">
      <c r="B232" s="7" t="inlineStr">
        <is>
          <t>MS1(a)</t>
        </is>
      </c>
      <c r="C232" s="50" t="inlineStr">
        <is>
          <t>Annual progress reporting via the Modern Slavery Statement</t>
        </is>
      </c>
      <c r="D232" s="53" t="inlineStr">
        <is>
          <t>Unit</t>
        </is>
      </c>
      <c r="E232" s="53" t="inlineStr">
        <is>
          <t>CI&amp;S – Sustainability Strategy</t>
        </is>
      </c>
      <c r="F232" s="53" t="inlineStr">
        <is>
          <t>CFOG – Procurement</t>
        </is>
      </c>
      <c r="P232" s="54">
        <f>'A1. Response summary'!AA171</f>
        <v/>
      </c>
      <c r="Q232" s="54">
        <f>'A1. Response summary'!AC171</f>
        <v/>
      </c>
      <c r="R232" s="8" t="n"/>
    </row>
    <row r="233" ht="18" customHeight="1">
      <c r="B233" s="55" t="inlineStr">
        <is>
          <t>MS1(a)</t>
        </is>
      </c>
      <c r="D233" s="13" t="inlineStr">
        <is>
          <t>OPTION 1:  Target-level reporting</t>
        </is>
      </c>
      <c r="E233" s="56">
        <f>'A1. Response summary'!M171</f>
        <v/>
      </c>
      <c r="F233" s="56">
        <f>'A1. Response summary'!N171</f>
        <v/>
      </c>
      <c r="R233" s="57" t="n"/>
    </row>
    <row r="234" ht="60" customHeight="1">
      <c r="B234" s="55" t="inlineStr">
        <is>
          <t>MS1(a)</t>
        </is>
      </c>
      <c r="D234" s="13" t="inlineStr">
        <is>
          <t>OPTION 2:  Indicator level reporting</t>
        </is>
      </c>
      <c r="E234" s="56">
        <f>'A1. Response summary'!M172</f>
        <v/>
      </c>
      <c r="F234" s="56">
        <f>'A1. Response summary'!N172</f>
        <v/>
      </c>
      <c r="R234" s="57" t="n"/>
    </row>
    <row r="235" ht="60" customHeight="1">
      <c r="B235" s="55" t="inlineStr">
        <is>
          <t>MS1(a)</t>
        </is>
      </c>
      <c r="D235" s="13" t="inlineStr">
        <is>
          <t>Supporting information/comments</t>
        </is>
      </c>
      <c r="E235" s="56">
        <f>'A1. Response summary'!M173</f>
        <v/>
      </c>
      <c r="F235" s="56">
        <f>'A1. Response summary'!N173</f>
        <v/>
      </c>
      <c r="R235" s="57" t="n"/>
    </row>
    <row r="236" ht="18" customHeight="1">
      <c r="B236" s="55" t="inlineStr">
        <is>
          <t>MS1(a)</t>
        </is>
      </c>
      <c r="D236" s="13" t="inlineStr">
        <is>
          <t>Data source and limitations</t>
        </is>
      </c>
      <c r="E236" s="56">
        <f>'A1. Response summary'!M174</f>
        <v/>
      </c>
      <c r="F236" s="56">
        <f>'A1. Response summary'!N174</f>
        <v/>
      </c>
      <c r="R236" s="57" t="n"/>
    </row>
    <row r="237" ht="18" customHeight="1">
      <c r="B237" s="55" t="inlineStr">
        <is>
          <t>MS1(a)</t>
        </is>
      </c>
      <c r="D237" s="13" t="inlineStr">
        <is>
          <t>Data owner confirms</t>
        </is>
      </c>
      <c r="E237" s="56">
        <f>'A1. Response summary'!M175</f>
        <v/>
      </c>
      <c r="F237" s="56">
        <f>'A1. Response summary'!N175</f>
        <v/>
      </c>
      <c r="R237" s="58" t="n"/>
    </row>
    <row r="239">
      <c r="B239" s="7" t="inlineStr">
        <is>
          <t>RI1(b)</t>
        </is>
      </c>
      <c r="C239" s="50" t="inlineStr">
        <is>
          <t>Continuous improvement of the reporting of the University’s sustainability-related investment profile metrics, could include investment in climate mitigation and transition solutions, and compliance with related obligations (eg UNPRI).</t>
        </is>
      </c>
      <c r="D239" s="53" t="inlineStr">
        <is>
          <t>Unit</t>
        </is>
      </c>
      <c r="E239" s="53" t="inlineStr">
        <is>
          <t>CI&amp;S – Sustainability Strategy</t>
        </is>
      </c>
      <c r="F239" s="53" t="inlineStr">
        <is>
          <t>CFOG – Treasury &amp; Investments</t>
        </is>
      </c>
      <c r="P239" s="54">
        <f>'A1. Response summary'!AA176</f>
        <v/>
      </c>
      <c r="Q239" s="54">
        <f>'A1. Response summary'!AC176</f>
        <v/>
      </c>
      <c r="R239" s="8" t="n"/>
    </row>
    <row r="240" ht="18" customHeight="1">
      <c r="B240" s="55" t="inlineStr">
        <is>
          <t>RI1(b)</t>
        </is>
      </c>
      <c r="D240" s="13" t="inlineStr">
        <is>
          <t>OPTION 1:  Target-level reporting</t>
        </is>
      </c>
      <c r="E240" s="56">
        <f>'A1. Response summary'!M176</f>
        <v/>
      </c>
      <c r="F240" s="56">
        <f>'A1. Response summary'!O176</f>
        <v/>
      </c>
      <c r="R240" s="57" t="n"/>
    </row>
    <row r="241" ht="60" customHeight="1">
      <c r="B241" s="55" t="inlineStr">
        <is>
          <t>RI1(b)</t>
        </is>
      </c>
      <c r="D241" s="13" t="inlineStr">
        <is>
          <t>OPTION 2:  Indicator level reporting</t>
        </is>
      </c>
      <c r="E241" s="56">
        <f>'A1. Response summary'!M177</f>
        <v/>
      </c>
      <c r="F241" s="56">
        <f>'A1. Response summary'!O177</f>
        <v/>
      </c>
      <c r="R241" s="57" t="n"/>
    </row>
    <row r="242" ht="60" customHeight="1">
      <c r="B242" s="55" t="inlineStr">
        <is>
          <t>RI1(b)</t>
        </is>
      </c>
      <c r="D242" s="13" t="inlineStr">
        <is>
          <t>Supporting information/comments</t>
        </is>
      </c>
      <c r="E242" s="56">
        <f>'A1. Response summary'!M178</f>
        <v/>
      </c>
      <c r="F242" s="56">
        <f>'A1. Response summary'!O178</f>
        <v/>
      </c>
      <c r="R242" s="57" t="n"/>
    </row>
    <row r="243" ht="18" customHeight="1">
      <c r="B243" s="55" t="inlineStr">
        <is>
          <t>RI1(b)</t>
        </is>
      </c>
      <c r="D243" s="13" t="inlineStr">
        <is>
          <t>Data source and limitations</t>
        </is>
      </c>
      <c r="E243" s="56">
        <f>'A1. Response summary'!M179</f>
        <v/>
      </c>
      <c r="F243" s="56">
        <f>'A1. Response summary'!O179</f>
        <v/>
      </c>
      <c r="R243" s="57" t="n"/>
    </row>
    <row r="244" ht="18" customHeight="1">
      <c r="B244" s="55" t="inlineStr">
        <is>
          <t>RI1(b)</t>
        </is>
      </c>
      <c r="D244" s="13" t="inlineStr">
        <is>
          <t>Data owner confirms</t>
        </is>
      </c>
      <c r="E244" s="56">
        <f>'A1. Response summary'!M180</f>
        <v/>
      </c>
      <c r="F244" s="56">
        <f>'A1. Response summary'!O180</f>
        <v/>
      </c>
      <c r="R244" s="58" t="n"/>
    </row>
    <row r="246">
      <c r="B246" s="7" t="inlineStr">
        <is>
          <t>EN1(a)</t>
        </is>
      </c>
      <c r="C246" s="50" t="inlineStr">
        <is>
          <t>Evidence of sustainability outcomes informed by Indigenous knowledges</t>
        </is>
      </c>
      <c r="D246" s="53" t="inlineStr">
        <is>
          <t>Unit</t>
        </is>
      </c>
      <c r="E246" s="53" t="inlineStr">
        <is>
          <t>ABP</t>
        </is>
      </c>
      <c r="F246" s="53" t="inlineStr">
        <is>
          <t>ARTS</t>
        </is>
      </c>
      <c r="G246" s="53" t="inlineStr">
        <is>
          <t>FBE</t>
        </is>
      </c>
      <c r="H246" s="53" t="inlineStr">
        <is>
          <t>SCI</t>
        </is>
      </c>
      <c r="I246" s="53" t="inlineStr">
        <is>
          <t>GCE – Global, Culture and Engagement</t>
        </is>
      </c>
      <c r="J246" s="53" t="inlineStr">
        <is>
          <t>Indigenous – Chancellery Indigenous</t>
        </is>
      </c>
      <c r="P246" s="54">
        <f>'A1. Response summary'!AA181</f>
        <v/>
      </c>
      <c r="Q246" s="54">
        <f>'A1. Response summary'!AC181</f>
        <v/>
      </c>
      <c r="R246" s="8" t="n"/>
    </row>
    <row r="247" ht="18" customHeight="1">
      <c r="B247" s="55" t="inlineStr">
        <is>
          <t>EN1(a)</t>
        </is>
      </c>
      <c r="D247" s="13" t="inlineStr">
        <is>
          <t>OPTION 1:  Target-level reporting</t>
        </is>
      </c>
      <c r="E247" s="56">
        <f>'A1. Response summary'!H181</f>
        <v/>
      </c>
      <c r="F247" s="56">
        <f>'A1. Response summary'!I181</f>
        <v/>
      </c>
      <c r="G247" s="56">
        <f>'A1. Response summary'!J181</f>
        <v/>
      </c>
      <c r="H247" s="56">
        <f>'A1. Response summary'!K181</f>
        <v/>
      </c>
      <c r="I247" s="56">
        <f>'A1. Response summary'!T181</f>
        <v/>
      </c>
      <c r="J247" s="56">
        <f>'A1. Response summary'!W181</f>
        <v/>
      </c>
      <c r="R247" s="57" t="n"/>
    </row>
    <row r="248" ht="60" customHeight="1">
      <c r="B248" s="55" t="inlineStr">
        <is>
          <t>EN1(a)</t>
        </is>
      </c>
      <c r="D248" s="13" t="inlineStr">
        <is>
          <t>OPTION 2:  Indicator level reporting</t>
        </is>
      </c>
      <c r="E248" s="56">
        <f>'A1. Response summary'!H182</f>
        <v/>
      </c>
      <c r="F248" s="56">
        <f>'A1. Response summary'!I182</f>
        <v/>
      </c>
      <c r="G248" s="56">
        <f>'A1. Response summary'!J182</f>
        <v/>
      </c>
      <c r="H248" s="56">
        <f>'A1. Response summary'!K182</f>
        <v/>
      </c>
      <c r="I248" s="56">
        <f>'A1. Response summary'!T182</f>
        <v/>
      </c>
      <c r="J248" s="56">
        <f>'A1. Response summary'!W182</f>
        <v/>
      </c>
      <c r="R248" s="57" t="n"/>
    </row>
    <row r="249" ht="60" customHeight="1">
      <c r="B249" s="55" t="inlineStr">
        <is>
          <t>EN1(a)</t>
        </is>
      </c>
      <c r="D249" s="13" t="inlineStr">
        <is>
          <t>Supporting information/comments</t>
        </is>
      </c>
      <c r="E249" s="56">
        <f>'A1. Response summary'!H183</f>
        <v/>
      </c>
      <c r="F249" s="56">
        <f>'A1. Response summary'!I183</f>
        <v/>
      </c>
      <c r="G249" s="56">
        <f>'A1. Response summary'!J183</f>
        <v/>
      </c>
      <c r="H249" s="56">
        <f>'A1. Response summary'!K183</f>
        <v/>
      </c>
      <c r="I249" s="56">
        <f>'A1. Response summary'!T183</f>
        <v/>
      </c>
      <c r="J249" s="56">
        <f>'A1. Response summary'!W183</f>
        <v/>
      </c>
      <c r="R249" s="57" t="n"/>
    </row>
    <row r="250" ht="18" customHeight="1">
      <c r="B250" s="55" t="inlineStr">
        <is>
          <t>EN1(a)</t>
        </is>
      </c>
      <c r="D250" s="13" t="inlineStr">
        <is>
          <t>Data source and limitations</t>
        </is>
      </c>
      <c r="E250" s="56">
        <f>'A1. Response summary'!H184</f>
        <v/>
      </c>
      <c r="F250" s="56">
        <f>'A1. Response summary'!I184</f>
        <v/>
      </c>
      <c r="G250" s="56">
        <f>'A1. Response summary'!J184</f>
        <v/>
      </c>
      <c r="H250" s="56">
        <f>'A1. Response summary'!K184</f>
        <v/>
      </c>
      <c r="I250" s="56">
        <f>'A1. Response summary'!T184</f>
        <v/>
      </c>
      <c r="J250" s="56">
        <f>'A1. Response summary'!W184</f>
        <v/>
      </c>
      <c r="R250" s="57" t="n"/>
    </row>
    <row r="251" ht="18" customHeight="1">
      <c r="B251" s="55" t="inlineStr">
        <is>
          <t>EN1(a)</t>
        </is>
      </c>
      <c r="D251" s="13" t="inlineStr">
        <is>
          <t>Data owner confirms</t>
        </is>
      </c>
      <c r="E251" s="56">
        <f>'A1. Response summary'!H185</f>
        <v/>
      </c>
      <c r="F251" s="56">
        <f>'A1. Response summary'!I185</f>
        <v/>
      </c>
      <c r="G251" s="56">
        <f>'A1. Response summary'!J185</f>
        <v/>
      </c>
      <c r="H251" s="56">
        <f>'A1. Response summary'!K185</f>
        <v/>
      </c>
      <c r="I251" s="56">
        <f>'A1. Response summary'!T185</f>
        <v/>
      </c>
      <c r="J251" s="56">
        <f>'A1. Response summary'!W185</f>
        <v/>
      </c>
      <c r="R251" s="58" t="n"/>
    </row>
    <row r="253">
      <c r="B253" s="7" t="inlineStr">
        <is>
          <t>EN1(b)</t>
        </is>
      </c>
      <c r="C253" s="50" t="inlineStr">
        <is>
          <t>Living laboratories enabling applied learning, research and operational sustainability outcomes</t>
        </is>
      </c>
      <c r="D253" s="53" t="inlineStr">
        <is>
          <t>Unit</t>
        </is>
      </c>
      <c r="E253" s="53" t="inlineStr">
        <is>
          <t>ABP</t>
        </is>
      </c>
      <c r="F253" s="53" t="inlineStr">
        <is>
          <t>ARTS</t>
        </is>
      </c>
      <c r="G253" s="53" t="inlineStr">
        <is>
          <t>FBE</t>
        </is>
      </c>
      <c r="H253" s="53" t="inlineStr">
        <is>
          <t>SCI</t>
        </is>
      </c>
      <c r="I253" s="53" t="inlineStr">
        <is>
          <t>CI&amp;S – Sustainability Strategy</t>
        </is>
      </c>
      <c r="P253" s="54">
        <f>'A1. Response summary'!AA186</f>
        <v/>
      </c>
      <c r="Q253" s="54">
        <f>'A1. Response summary'!AC186</f>
        <v/>
      </c>
      <c r="R253" s="8" t="n"/>
    </row>
    <row r="254" ht="18" customHeight="1">
      <c r="B254" s="55" t="inlineStr">
        <is>
          <t>EN1(b)</t>
        </is>
      </c>
      <c r="D254" s="13" t="inlineStr">
        <is>
          <t>OPTION 1:  Target-level reporting</t>
        </is>
      </c>
      <c r="E254" s="56">
        <f>'A1. Response summary'!H186</f>
        <v/>
      </c>
      <c r="F254" s="56">
        <f>'A1. Response summary'!I186</f>
        <v/>
      </c>
      <c r="G254" s="56">
        <f>'A1. Response summary'!J186</f>
        <v/>
      </c>
      <c r="H254" s="56">
        <f>'A1. Response summary'!K186</f>
        <v/>
      </c>
      <c r="I254" s="56">
        <f>'A1. Response summary'!M186</f>
        <v/>
      </c>
      <c r="R254" s="57" t="n"/>
    </row>
    <row r="255" ht="60" customHeight="1">
      <c r="B255" s="55" t="inlineStr">
        <is>
          <t>EN1(b)</t>
        </is>
      </c>
      <c r="D255" s="13" t="inlineStr">
        <is>
          <t>OPTION 2:  Indicator level reporting</t>
        </is>
      </c>
      <c r="E255" s="56">
        <f>'A1. Response summary'!H187</f>
        <v/>
      </c>
      <c r="F255" s="56">
        <f>'A1. Response summary'!I187</f>
        <v/>
      </c>
      <c r="G255" s="56">
        <f>'A1. Response summary'!J187</f>
        <v/>
      </c>
      <c r="H255" s="56">
        <f>'A1. Response summary'!K187</f>
        <v/>
      </c>
      <c r="I255" s="56">
        <f>'A1. Response summary'!M187</f>
        <v/>
      </c>
      <c r="R255" s="57" t="n"/>
    </row>
    <row r="256" ht="60" customHeight="1">
      <c r="B256" s="55" t="inlineStr">
        <is>
          <t>EN1(b)</t>
        </is>
      </c>
      <c r="D256" s="13" t="inlineStr">
        <is>
          <t>Supporting information/comments</t>
        </is>
      </c>
      <c r="E256" s="56">
        <f>'A1. Response summary'!H188</f>
        <v/>
      </c>
      <c r="F256" s="56">
        <f>'A1. Response summary'!I188</f>
        <v/>
      </c>
      <c r="G256" s="56">
        <f>'A1. Response summary'!J188</f>
        <v/>
      </c>
      <c r="H256" s="56">
        <f>'A1. Response summary'!K188</f>
        <v/>
      </c>
      <c r="I256" s="56">
        <f>'A1. Response summary'!M188</f>
        <v/>
      </c>
      <c r="R256" s="57" t="n"/>
    </row>
    <row r="257" ht="18" customHeight="1">
      <c r="B257" s="55" t="inlineStr">
        <is>
          <t>EN1(b)</t>
        </is>
      </c>
      <c r="D257" s="13" t="inlineStr">
        <is>
          <t>Data source and limitations</t>
        </is>
      </c>
      <c r="E257" s="56">
        <f>'A1. Response summary'!H189</f>
        <v/>
      </c>
      <c r="F257" s="56">
        <f>'A1. Response summary'!I189</f>
        <v/>
      </c>
      <c r="G257" s="56">
        <f>'A1. Response summary'!J189</f>
        <v/>
      </c>
      <c r="H257" s="56">
        <f>'A1. Response summary'!K189</f>
        <v/>
      </c>
      <c r="I257" s="56">
        <f>'A1. Response summary'!M189</f>
        <v/>
      </c>
      <c r="R257" s="57" t="n"/>
    </row>
    <row r="258" ht="18" customHeight="1">
      <c r="B258" s="55" t="inlineStr">
        <is>
          <t>EN1(b)</t>
        </is>
      </c>
      <c r="D258" s="13" t="inlineStr">
        <is>
          <t>Data owner confirms</t>
        </is>
      </c>
      <c r="E258" s="56">
        <f>'A1. Response summary'!H190</f>
        <v/>
      </c>
      <c r="F258" s="56">
        <f>'A1. Response summary'!I190</f>
        <v/>
      </c>
      <c r="G258" s="56">
        <f>'A1. Response summary'!J190</f>
        <v/>
      </c>
      <c r="H258" s="56">
        <f>'A1. Response summary'!K190</f>
        <v/>
      </c>
      <c r="I258" s="56">
        <f>'A1. Response summary'!M190</f>
        <v/>
      </c>
      <c r="R258" s="58" t="n"/>
    </row>
    <row r="260">
      <c r="B260" s="7" t="inlineStr">
        <is>
          <t>EN1(c)</t>
        </is>
      </c>
      <c r="C260" s="50" t="inlineStr">
        <is>
          <t>Coordinated internal engagement and external partnerships contributing to delivery of sustainability outcomes across priority areas.</t>
        </is>
      </c>
      <c r="D260" s="53" t="inlineStr">
        <is>
          <t>Unit</t>
        </is>
      </c>
      <c r="E260" s="53" t="inlineStr">
        <is>
          <t>ABP</t>
        </is>
      </c>
      <c r="F260" s="53" t="inlineStr">
        <is>
          <t>ARTS</t>
        </is>
      </c>
      <c r="G260" s="53" t="inlineStr">
        <is>
          <t>FBE</t>
        </is>
      </c>
      <c r="H260" s="53" t="inlineStr">
        <is>
          <t>SCI</t>
        </is>
      </c>
      <c r="I260" s="53" t="inlineStr">
        <is>
          <t>CI&amp;S – Sustainability Strategy</t>
        </is>
      </c>
      <c r="J260" s="53" t="inlineStr">
        <is>
          <t>CFOG – Procurement</t>
        </is>
      </c>
      <c r="K260" s="53" t="inlineStr">
        <is>
          <t>ESG – Campus Operations &amp; Sustainability Delivery</t>
        </is>
      </c>
      <c r="L260" s="53" t="inlineStr">
        <is>
          <t>CIOG – Responsible AI &amp; digital</t>
        </is>
      </c>
      <c r="M260" s="53" t="inlineStr">
        <is>
          <t>AC&amp;M – Advancement, Communication and Marketing</t>
        </is>
      </c>
      <c r="N260" s="53" t="inlineStr">
        <is>
          <t>GCE – Global, Culture and Engagement</t>
        </is>
      </c>
      <c r="O260" s="53" t="inlineStr">
        <is>
          <t>Education – Chancellery Education</t>
        </is>
      </c>
      <c r="P260" s="54">
        <f>'A1. Response summary'!AA191</f>
        <v/>
      </c>
      <c r="Q260" s="54">
        <f>'A1. Response summary'!AC191</f>
        <v/>
      </c>
      <c r="R260" s="8" t="n"/>
    </row>
    <row r="261" ht="18" customHeight="1">
      <c r="B261" s="55" t="inlineStr">
        <is>
          <t>EN1(c)</t>
        </is>
      </c>
      <c r="D261" s="13" t="inlineStr">
        <is>
          <t>OPTION 1:  Target-level reporting</t>
        </is>
      </c>
      <c r="E261" s="56">
        <f>'A1. Response summary'!H191</f>
        <v/>
      </c>
      <c r="F261" s="56">
        <f>'A1. Response summary'!I191</f>
        <v/>
      </c>
      <c r="G261" s="56">
        <f>'A1. Response summary'!J191</f>
        <v/>
      </c>
      <c r="H261" s="56">
        <f>'A1. Response summary'!K191</f>
        <v/>
      </c>
      <c r="I261" s="56">
        <f>'A1. Response summary'!M191</f>
        <v/>
      </c>
      <c r="J261" s="56">
        <f>'A1. Response summary'!N191</f>
        <v/>
      </c>
      <c r="K261" s="56">
        <f>'A1. Response summary'!P191</f>
        <v/>
      </c>
      <c r="L261" s="56">
        <f>'A1. Response summary'!Q191</f>
        <v/>
      </c>
      <c r="M261" s="56">
        <f>'A1. Response summary'!S191</f>
        <v/>
      </c>
      <c r="N261" s="56">
        <f>'A1. Response summary'!T191</f>
        <v/>
      </c>
      <c r="O261" s="56">
        <f>'A1. Response summary'!U191</f>
        <v/>
      </c>
      <c r="R261" s="57" t="n"/>
    </row>
    <row r="262" ht="60" customHeight="1">
      <c r="B262" s="55" t="inlineStr">
        <is>
          <t>EN1(c)</t>
        </is>
      </c>
      <c r="D262" s="13" t="inlineStr">
        <is>
          <t>OPTION 2:  Indicator level reporting</t>
        </is>
      </c>
      <c r="E262" s="56">
        <f>'A1. Response summary'!H192</f>
        <v/>
      </c>
      <c r="F262" s="56">
        <f>'A1. Response summary'!I192</f>
        <v/>
      </c>
      <c r="G262" s="56">
        <f>'A1. Response summary'!J192</f>
        <v/>
      </c>
      <c r="H262" s="56">
        <f>'A1. Response summary'!K192</f>
        <v/>
      </c>
      <c r="I262" s="56">
        <f>'A1. Response summary'!M192</f>
        <v/>
      </c>
      <c r="J262" s="56">
        <f>'A1. Response summary'!N192</f>
        <v/>
      </c>
      <c r="K262" s="56">
        <f>'A1. Response summary'!P192</f>
        <v/>
      </c>
      <c r="L262" s="56">
        <f>'A1. Response summary'!Q192</f>
        <v/>
      </c>
      <c r="M262" s="56">
        <f>'A1. Response summary'!S192</f>
        <v/>
      </c>
      <c r="N262" s="56">
        <f>'A1. Response summary'!T192</f>
        <v/>
      </c>
      <c r="O262" s="56">
        <f>'A1. Response summary'!U192</f>
        <v/>
      </c>
      <c r="R262" s="57" t="n"/>
    </row>
    <row r="263" ht="60" customHeight="1">
      <c r="B263" s="55" t="inlineStr">
        <is>
          <t>EN1(c)</t>
        </is>
      </c>
      <c r="D263" s="13" t="inlineStr">
        <is>
          <t>Supporting information/comments</t>
        </is>
      </c>
      <c r="E263" s="56">
        <f>'A1. Response summary'!H193</f>
        <v/>
      </c>
      <c r="F263" s="56">
        <f>'A1. Response summary'!I193</f>
        <v/>
      </c>
      <c r="G263" s="56">
        <f>'A1. Response summary'!J193</f>
        <v/>
      </c>
      <c r="H263" s="56">
        <f>'A1. Response summary'!K193</f>
        <v/>
      </c>
      <c r="I263" s="56">
        <f>'A1. Response summary'!M193</f>
        <v/>
      </c>
      <c r="J263" s="56">
        <f>'A1. Response summary'!N193</f>
        <v/>
      </c>
      <c r="K263" s="56">
        <f>'A1. Response summary'!P193</f>
        <v/>
      </c>
      <c r="L263" s="56">
        <f>'A1. Response summary'!Q193</f>
        <v/>
      </c>
      <c r="M263" s="56">
        <f>'A1. Response summary'!S193</f>
        <v/>
      </c>
      <c r="N263" s="56">
        <f>'A1. Response summary'!T193</f>
        <v/>
      </c>
      <c r="O263" s="56">
        <f>'A1. Response summary'!U193</f>
        <v/>
      </c>
      <c r="R263" s="57" t="n"/>
    </row>
    <row r="264" ht="18" customHeight="1">
      <c r="B264" s="55" t="inlineStr">
        <is>
          <t>EN1(c)</t>
        </is>
      </c>
      <c r="D264" s="13" t="inlineStr">
        <is>
          <t>Data source and limitations</t>
        </is>
      </c>
      <c r="E264" s="56">
        <f>'A1. Response summary'!H194</f>
        <v/>
      </c>
      <c r="F264" s="56">
        <f>'A1. Response summary'!I194</f>
        <v/>
      </c>
      <c r="G264" s="56">
        <f>'A1. Response summary'!J194</f>
        <v/>
      </c>
      <c r="H264" s="56">
        <f>'A1. Response summary'!K194</f>
        <v/>
      </c>
      <c r="I264" s="56">
        <f>'A1. Response summary'!M194</f>
        <v/>
      </c>
      <c r="J264" s="56">
        <f>'A1. Response summary'!N194</f>
        <v/>
      </c>
      <c r="K264" s="56">
        <f>'A1. Response summary'!P194</f>
        <v/>
      </c>
      <c r="L264" s="56">
        <f>'A1. Response summary'!Q194</f>
        <v/>
      </c>
      <c r="M264" s="56">
        <f>'A1. Response summary'!S194</f>
        <v/>
      </c>
      <c r="N264" s="56">
        <f>'A1. Response summary'!T194</f>
        <v/>
      </c>
      <c r="O264" s="56">
        <f>'A1. Response summary'!U194</f>
        <v/>
      </c>
      <c r="R264" s="57" t="n"/>
    </row>
    <row r="265" ht="18" customHeight="1">
      <c r="B265" s="55" t="inlineStr">
        <is>
          <t>EN1(c)</t>
        </is>
      </c>
      <c r="D265" s="13" t="inlineStr">
        <is>
          <t>Data owner confirms</t>
        </is>
      </c>
      <c r="E265" s="56">
        <f>'A1. Response summary'!H195</f>
        <v/>
      </c>
      <c r="F265" s="56">
        <f>'A1. Response summary'!I195</f>
        <v/>
      </c>
      <c r="G265" s="56">
        <f>'A1. Response summary'!J195</f>
        <v/>
      </c>
      <c r="H265" s="56">
        <f>'A1. Response summary'!K195</f>
        <v/>
      </c>
      <c r="I265" s="56">
        <f>'A1. Response summary'!M195</f>
        <v/>
      </c>
      <c r="J265" s="56">
        <f>'A1. Response summary'!N195</f>
        <v/>
      </c>
      <c r="K265" s="56">
        <f>'A1. Response summary'!P195</f>
        <v/>
      </c>
      <c r="L265" s="56">
        <f>'A1. Response summary'!Q195</f>
        <v/>
      </c>
      <c r="M265" s="56">
        <f>'A1. Response summary'!S195</f>
        <v/>
      </c>
      <c r="N265" s="56">
        <f>'A1. Response summary'!T195</f>
        <v/>
      </c>
      <c r="O265" s="56">
        <f>'A1. Response summary'!U195</f>
        <v/>
      </c>
      <c r="R265" s="58" t="n"/>
    </row>
    <row r="267">
      <c r="B267" s="7" t="inlineStr">
        <is>
          <t>EN1(d)</t>
        </is>
      </c>
      <c r="C267" s="50" t="inlineStr">
        <is>
          <t>Sustainability objectives integrated into governance and decision‑making processes, supported by transparent reporting.</t>
        </is>
      </c>
      <c r="D267" s="53" t="inlineStr">
        <is>
          <t>Unit</t>
        </is>
      </c>
      <c r="E267" s="53" t="inlineStr">
        <is>
          <t>CI&amp;S – Sustainability Strategy</t>
        </is>
      </c>
      <c r="F267" s="53" t="inlineStr">
        <is>
          <t>CFOG – Procurement</t>
        </is>
      </c>
      <c r="G267" s="53" t="inlineStr">
        <is>
          <t>ESG – Campus Operations &amp; Sustainability Delivery</t>
        </is>
      </c>
      <c r="H267" s="53" t="inlineStr">
        <is>
          <t>CIOG – Responsible AI &amp; digital</t>
        </is>
      </c>
      <c r="P267" s="54">
        <f>'A1. Response summary'!AA196</f>
        <v/>
      </c>
      <c r="Q267" s="54">
        <f>'A1. Response summary'!AC196</f>
        <v/>
      </c>
      <c r="R267" s="8" t="n"/>
    </row>
    <row r="268" ht="18" customHeight="1">
      <c r="B268" s="55" t="inlineStr">
        <is>
          <t>EN1(d)</t>
        </is>
      </c>
      <c r="D268" s="13" t="inlineStr">
        <is>
          <t>OPTION 1:  Target-level reporting</t>
        </is>
      </c>
      <c r="E268" s="56">
        <f>'A1. Response summary'!M196</f>
        <v/>
      </c>
      <c r="F268" s="56">
        <f>'A1. Response summary'!N196</f>
        <v/>
      </c>
      <c r="G268" s="56">
        <f>'A1. Response summary'!P196</f>
        <v/>
      </c>
      <c r="H268" s="56">
        <f>'A1. Response summary'!Q196</f>
        <v/>
      </c>
      <c r="R268" s="57" t="n"/>
    </row>
    <row r="269" ht="60" customHeight="1">
      <c r="B269" s="55" t="inlineStr">
        <is>
          <t>EN1(d)</t>
        </is>
      </c>
      <c r="D269" s="13" t="inlineStr">
        <is>
          <t>OPTION 2:  Indicator level reporting</t>
        </is>
      </c>
      <c r="E269" s="56">
        <f>'A1. Response summary'!M197</f>
        <v/>
      </c>
      <c r="F269" s="56">
        <f>'A1. Response summary'!N197</f>
        <v/>
      </c>
      <c r="G269" s="56">
        <f>'A1. Response summary'!P197</f>
        <v/>
      </c>
      <c r="H269" s="56">
        <f>'A1. Response summary'!Q197</f>
        <v/>
      </c>
      <c r="R269" s="57" t="n"/>
    </row>
    <row r="270" ht="60" customHeight="1">
      <c r="B270" s="55" t="inlineStr">
        <is>
          <t>EN1(d)</t>
        </is>
      </c>
      <c r="D270" s="13" t="inlineStr">
        <is>
          <t>Supporting information/comments</t>
        </is>
      </c>
      <c r="E270" s="56">
        <f>'A1. Response summary'!M198</f>
        <v/>
      </c>
      <c r="F270" s="56">
        <f>'A1. Response summary'!N198</f>
        <v/>
      </c>
      <c r="G270" s="56">
        <f>'A1. Response summary'!P198</f>
        <v/>
      </c>
      <c r="H270" s="56">
        <f>'A1. Response summary'!Q198</f>
        <v/>
      </c>
      <c r="R270" s="57" t="n"/>
    </row>
    <row r="271" ht="18" customHeight="1">
      <c r="B271" s="55" t="inlineStr">
        <is>
          <t>EN1(d)</t>
        </is>
      </c>
      <c r="D271" s="13" t="inlineStr">
        <is>
          <t>Data source and limitations</t>
        </is>
      </c>
      <c r="E271" s="56">
        <f>'A1. Response summary'!M199</f>
        <v/>
      </c>
      <c r="F271" s="56">
        <f>'A1. Response summary'!N199</f>
        <v/>
      </c>
      <c r="G271" s="56">
        <f>'A1. Response summary'!P199</f>
        <v/>
      </c>
      <c r="H271" s="56">
        <f>'A1. Response summary'!Q199</f>
        <v/>
      </c>
      <c r="R271" s="57" t="n"/>
    </row>
    <row r="272" ht="18" customHeight="1">
      <c r="B272" s="55" t="inlineStr">
        <is>
          <t>EN1(d)</t>
        </is>
      </c>
      <c r="D272" s="13" t="inlineStr">
        <is>
          <t>Data owner confirms</t>
        </is>
      </c>
      <c r="E272" s="56">
        <f>'A1. Response summary'!M200</f>
        <v/>
      </c>
      <c r="F272" s="56">
        <f>'A1. Response summary'!N200</f>
        <v/>
      </c>
      <c r="G272" s="56">
        <f>'A1. Response summary'!P200</f>
        <v/>
      </c>
      <c r="H272" s="56">
        <f>'A1. Response summary'!Q200</f>
        <v/>
      </c>
      <c r="R272" s="58" t="n"/>
    </row>
  </sheetData>
  <autoFilter ref="B7:R274"/>
  <mergeCells count="77">
    <mergeCell ref="C198:C202"/>
    <mergeCell ref="C114:C118"/>
    <mergeCell ref="C247:C251"/>
    <mergeCell ref="R148:R153"/>
    <mergeCell ref="R225:R230"/>
    <mergeCell ref="R197:R202"/>
    <mergeCell ref="R267:R272"/>
    <mergeCell ref="C268:C272"/>
    <mergeCell ref="C170:C174"/>
    <mergeCell ref="R239:R244"/>
    <mergeCell ref="R253:R258"/>
    <mergeCell ref="C107:C111"/>
    <mergeCell ref="C79:C83"/>
    <mergeCell ref="C212:C216"/>
    <mergeCell ref="C16:C20"/>
    <mergeCell ref="C9:C13"/>
    <mergeCell ref="C163:C167"/>
    <mergeCell ref="R8:R13"/>
    <mergeCell ref="R64:R69"/>
    <mergeCell ref="C72:C76"/>
    <mergeCell ref="R57:R62"/>
    <mergeCell ref="C149:C153"/>
    <mergeCell ref="D4:J5"/>
    <mergeCell ref="R99:R104"/>
    <mergeCell ref="C233:C237"/>
    <mergeCell ref="C37:C41"/>
    <mergeCell ref="R36:R41"/>
    <mergeCell ref="C30:C34"/>
    <mergeCell ref="C184:C188"/>
    <mergeCell ref="R113:R118"/>
    <mergeCell ref="R204:R209"/>
    <mergeCell ref="R85:R90"/>
    <mergeCell ref="C121:C125"/>
    <mergeCell ref="R141:R146"/>
    <mergeCell ref="R22:R27"/>
    <mergeCell ref="C156:C160"/>
    <mergeCell ref="R190:R195"/>
    <mergeCell ref="R92:R97"/>
    <mergeCell ref="C226:C230"/>
    <mergeCell ref="C93:C97"/>
    <mergeCell ref="R127:R132"/>
    <mergeCell ref="R176:R181"/>
    <mergeCell ref="C261:C265"/>
    <mergeCell ref="C135:C139"/>
    <mergeCell ref="R169:R174"/>
    <mergeCell ref="R246:R251"/>
    <mergeCell ref="R162:R167"/>
    <mergeCell ref="R218:R223"/>
    <mergeCell ref="C240:C244"/>
    <mergeCell ref="C254:C258"/>
    <mergeCell ref="R232:R237"/>
    <mergeCell ref="C191:C195"/>
    <mergeCell ref="C86:C90"/>
    <mergeCell ref="C128:C132"/>
    <mergeCell ref="C177:C181"/>
    <mergeCell ref="C100:C104"/>
    <mergeCell ref="C65:C69"/>
    <mergeCell ref="R50:R55"/>
    <mergeCell ref="R155:R160"/>
    <mergeCell ref="R260:R265"/>
    <mergeCell ref="C51:C55"/>
    <mergeCell ref="R29:R34"/>
    <mergeCell ref="C219:C223"/>
    <mergeCell ref="C23:C27"/>
    <mergeCell ref="R78:R83"/>
    <mergeCell ref="R15:R20"/>
    <mergeCell ref="C58:C62"/>
    <mergeCell ref="R183:R188"/>
    <mergeCell ref="R134:R139"/>
    <mergeCell ref="C44:C48"/>
    <mergeCell ref="C142:C146"/>
    <mergeCell ref="R71:R76"/>
    <mergeCell ref="R43:R48"/>
    <mergeCell ref="C205:C209"/>
    <mergeCell ref="R106:R111"/>
    <mergeCell ref="R120:R125"/>
    <mergeCell ref="R211:R2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0"/>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SR26 sustainability reporting</t>
        </is>
      </c>
    </row>
    <row r="2">
      <c r="B2" s="3" t="inlineStr">
        <is>
          <t>T2. Single target review</t>
        </is>
      </c>
    </row>
    <row r="4">
      <c r="B4" s="32" t="inlineStr">
        <is>
          <t>Target selected</t>
        </is>
      </c>
      <c r="C4" s="59" t="inlineStr">
        <is>
          <t>EE1(a)</t>
        </is>
      </c>
      <c r="D4" s="60">
        <f>IF($C$4="EE1(c)","Faculties answer this indicator in their EE1(a) response (merged question) – review both.","← select an indicator ref from the dropdown")</f>
        <v/>
      </c>
    </row>
    <row r="5" ht="45" customHeight="1">
      <c r="B5" s="61" t="inlineStr">
        <is>
          <t>Priority area</t>
        </is>
      </c>
      <c r="C5" s="62">
        <f>IFERROR(INDEX('1. Requirements matrix'!$D$6:$D$43,MATCH($C$4,'1. Requirements matrix'!$B$6:$B$43,0)),"")</f>
        <v/>
      </c>
    </row>
    <row r="6" ht="45" customHeight="1">
      <c r="B6" s="61" t="inlineStr">
        <is>
          <t>Target</t>
        </is>
      </c>
      <c r="C6" s="62">
        <f>IFERROR(INDEX('1. Requirements matrix'!$E$6:$E$43,MATCH($C$4,'1. Requirements matrix'!$B$6:$B$43,0)),"")</f>
        <v/>
      </c>
    </row>
    <row r="7" ht="45" customHeight="1">
      <c r="B7" s="61" t="inlineStr">
        <is>
          <t>Indicator</t>
        </is>
      </c>
      <c r="C7" s="62">
        <f>IFERROR(INDEX('1. Requirements matrix'!$F$6:$F$43,MATCH($C$4,'1. Requirements matrix'!$B$6:$B$43,0)),"")</f>
        <v/>
      </c>
    </row>
    <row r="8" ht="45" customHeight="1">
      <c r="B8" s="61" t="inlineStr">
        <is>
          <t>Reporting requirement</t>
        </is>
      </c>
      <c r="C8" s="62">
        <f>IFERROR(INDEX('1. Requirements matrix'!$G$6:$G$43,MATCH($C$4,'1. Requirements matrix'!$B$6:$B$43,0)),"")</f>
        <v/>
      </c>
    </row>
    <row r="9" ht="45" customHeight="1">
      <c r="B9" s="61" t="inlineStr">
        <is>
          <t>Request issued to</t>
        </is>
      </c>
      <c r="C9" s="62">
        <f>IFERROR(INDEX('1. Requirements matrix'!$I$6:$I$43,MATCH($C$4,'1. Requirements matrix'!$B$6:$B$43,0)),"")</f>
        <v/>
      </c>
    </row>
    <row r="11">
      <c r="B11" s="63" t="inlineStr">
        <is>
          <t>Units asked</t>
        </is>
      </c>
      <c r="D11" s="63" t="inlineStr">
        <is>
          <t>Responses received</t>
        </is>
      </c>
      <c r="F11" s="63" t="inlineStr">
        <is>
          <t>Awaiting response</t>
        </is>
      </c>
      <c r="H11" s="63" t="inlineStr">
        <is>
          <t>Owner confirmed</t>
        </is>
      </c>
    </row>
    <row r="12">
      <c r="B12" s="64">
        <f>IFERROR(INDEX('A1. Response summary'!$Z$11:$Z$200,MATCH($C$4&amp;"|"&amp;"OPTION 1:  Target-level reporting",'A1. Response summary'!$A$11:$A$200,0)),"")</f>
        <v/>
      </c>
      <c r="D12" s="64">
        <f>IFERROR(INDEX('A1. Response summary'!$AA$11:$AA$200,MATCH($C$4&amp;"|"&amp;"OPTION 1:  Target-level reporting",'A1. Response summary'!$A$11:$A$200,0)),"")</f>
        <v/>
      </c>
      <c r="F12" s="64">
        <f>IFERROR(INDEX('A1. Response summary'!$AB$11:$AB$200,MATCH($C$4&amp;"|"&amp;"OPTION 1:  Target-level reporting",'A1. Response summary'!$A$11:$A$200,0)),"")</f>
        <v/>
      </c>
      <c r="H12" s="64">
        <f>IFERROR(INDEX('A1. Response summary'!$AC$11:$AC$200,MATCH($C$4&amp;"|"&amp;"OPTION 1:  Target-level reporting",'A1. Response summary'!$A$11:$A$200,0)),"")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3" t="inlineStr">
        <is>
          <t>Requested?</t>
        </is>
      </c>
      <c r="C15" s="65">
        <f>IFERROR(IF(INDEX('A1. Response summary'!H$11:H$200,MATCH($C$4&amp;"|"&amp;"OPTION 1:  Target-level reporting",'A1. Response summary'!$A$11:$A$200,0))="N/A","No","Yes"),"")</f>
        <v/>
      </c>
      <c r="D15" s="65">
        <f>IFERROR(IF(INDEX('A1. Response summary'!I$11:I$200,MATCH($C$4&amp;"|"&amp;"OPTION 1:  Target-level reporting",'A1. Response summary'!$A$11:$A$200,0))="N/A","No","Yes"),"")</f>
        <v/>
      </c>
      <c r="E15" s="65">
        <f>IFERROR(IF(INDEX('A1. Response summary'!J$11:J$200,MATCH($C$4&amp;"|"&amp;"OPTION 1:  Target-level reporting",'A1. Response summary'!$A$11:$A$200,0))="N/A","No","Yes"),"")</f>
        <v/>
      </c>
      <c r="F15" s="65">
        <f>IFERROR(IF(INDEX('A1. Response summary'!K$11:K$200,MATCH($C$4&amp;"|"&amp;"OPTION 1:  Target-level reporting",'A1. Response summary'!$A$11:$A$200,0))="N/A","No","Yes"),"")</f>
        <v/>
      </c>
      <c r="G15" s="65">
        <f>IFERROR(IF(INDEX('A1. Response summary'!L$11:L$200,MATCH($C$4&amp;"|"&amp;"OPTION 1:  Target-level reporting",'A1. Response summary'!$A$11:$A$200,0))="N/A","No","Yes"),"")</f>
        <v/>
      </c>
      <c r="H15" s="65">
        <f>IFERROR(IF(INDEX('A1. Response summary'!M$11:M$200,MATCH($C$4&amp;"|"&amp;"OPTION 1:  Target-level reporting",'A1. Response summary'!$A$11:$A$200,0))="N/A","No","Yes"),"")</f>
        <v/>
      </c>
      <c r="I15" s="65">
        <f>IFERROR(IF(INDEX('A1. Response summary'!N$11:N$200,MATCH($C$4&amp;"|"&amp;"OPTION 1:  Target-level reporting",'A1. Response summary'!$A$11:$A$200,0))="N/A","No","Yes"),"")</f>
        <v/>
      </c>
      <c r="J15" s="65">
        <f>IFERROR(IF(INDEX('A1. Response summary'!O$11:O$200,MATCH($C$4&amp;"|"&amp;"OPTION 1:  Target-level reporting",'A1. Response summary'!$A$11:$A$200,0))="N/A","No","Yes"),"")</f>
        <v/>
      </c>
      <c r="K15" s="65">
        <f>IFERROR(IF(INDEX('A1. Response summary'!P$11:P$200,MATCH($C$4&amp;"|"&amp;"OPTION 1:  Target-level reporting",'A1. Response summary'!$A$11:$A$200,0))="N/A","No","Yes"),"")</f>
        <v/>
      </c>
      <c r="L15" s="65">
        <f>IFERROR(IF(INDEX('A1. Response summary'!Q$11:Q$200,MATCH($C$4&amp;"|"&amp;"OPTION 1:  Target-level reporting",'A1. Response summary'!$A$11:$A$200,0))="N/A","No","Yes"),"")</f>
        <v/>
      </c>
      <c r="M15" s="65">
        <f>IFERROR(IF(INDEX('A1. Response summary'!R$11:R$200,MATCH($C$4&amp;"|"&amp;"OPTION 1:  Target-level reporting",'A1. Response summary'!$A$11:$A$200,0))="N/A","No","Yes"),"")</f>
        <v/>
      </c>
      <c r="N15" s="65">
        <f>IFERROR(IF(INDEX('A1. Response summary'!S$11:S$200,MATCH($C$4&amp;"|"&amp;"OPTION 1:  Target-level reporting",'A1. Response summary'!$A$11:$A$200,0))="N/A","No","Yes"),"")</f>
        <v/>
      </c>
      <c r="O15" s="65">
        <f>IFERROR(IF(INDEX('A1. Response summary'!T$11:T$200,MATCH($C$4&amp;"|"&amp;"OPTION 1:  Target-level reporting",'A1. Response summary'!$A$11:$A$200,0))="N/A","No","Yes"),"")</f>
        <v/>
      </c>
      <c r="P15" s="65">
        <f>IFERROR(IF(INDEX('A1. Response summary'!U$11:U$200,MATCH($C$4&amp;"|"&amp;"OPTION 1:  Target-level reporting",'A1. Response summary'!$A$11:$A$200,0))="N/A","No","Yes"),"")</f>
        <v/>
      </c>
      <c r="Q15" s="65">
        <f>IFERROR(IF(INDEX('A1. Response summary'!V$11:V$200,MATCH($C$4&amp;"|"&amp;"OPTION 1:  Target-level reporting",'A1. Response summary'!$A$11:$A$200,0))="N/A","No","Yes"),"")</f>
        <v/>
      </c>
      <c r="R15" s="65">
        <f>IFERROR(IF(INDEX('A1. Response summary'!W$11:W$200,MATCH($C$4&amp;"|"&amp;"OPTION 1:  Target-level reporting",'A1. Response summary'!$A$11:$A$200,0))="N/A","No","Yes"),"")</f>
        <v/>
      </c>
      <c r="S15" s="65">
        <f>IFERROR(IF(INDEX('A1. Response summary'!X$11:X$200,MATCH($C$4&amp;"|"&amp;"OPTION 1:  Target-level reporting",'A1. Response summary'!$A$11:$A$200,0))="N/A","No","Yes"),"")</f>
        <v/>
      </c>
    </row>
    <row r="16" ht="45" customHeight="1">
      <c r="B16" s="7" t="inlineStr">
        <is>
          <t>OPTION 1:  Target-level reporting</t>
        </is>
      </c>
      <c r="C16" s="8">
        <f>IFERROR(INDEX('A1. Response summary'!H$11:H$200,MATCH($C$4&amp;"|"&amp;$B16,'A1. Response summary'!$A$11:$A$200,0)),"")</f>
        <v/>
      </c>
      <c r="D16" s="8">
        <f>IFERROR(INDEX('A1. Response summary'!I$11:I$200,MATCH($C$4&amp;"|"&amp;$B16,'A1. Response summary'!$A$11:$A$200,0)),"")</f>
        <v/>
      </c>
      <c r="E16" s="8">
        <f>IFERROR(INDEX('A1. Response summary'!J$11:J$200,MATCH($C$4&amp;"|"&amp;$B16,'A1. Response summary'!$A$11:$A$200,0)),"")</f>
        <v/>
      </c>
      <c r="F16" s="8">
        <f>IFERROR(INDEX('A1. Response summary'!K$11:K$200,MATCH($C$4&amp;"|"&amp;$B16,'A1. Response summary'!$A$11:$A$200,0)),"")</f>
        <v/>
      </c>
      <c r="G16" s="8">
        <f>IFERROR(INDEX('A1. Response summary'!L$11:L$200,MATCH($C$4&amp;"|"&amp;$B16,'A1. Response summary'!$A$11:$A$200,0)),"")</f>
        <v/>
      </c>
      <c r="H16" s="8">
        <f>IFERROR(INDEX('A1. Response summary'!M$11:M$200,MATCH($C$4&amp;"|"&amp;$B16,'A1. Response summary'!$A$11:$A$200,0)),"")</f>
        <v/>
      </c>
      <c r="I16" s="8">
        <f>IFERROR(INDEX('A1. Response summary'!N$11:N$200,MATCH($C$4&amp;"|"&amp;$B16,'A1. Response summary'!$A$11:$A$200,0)),"")</f>
        <v/>
      </c>
      <c r="J16" s="8">
        <f>IFERROR(INDEX('A1. Response summary'!O$11:O$200,MATCH($C$4&amp;"|"&amp;$B16,'A1. Response summary'!$A$11:$A$200,0)),"")</f>
        <v/>
      </c>
      <c r="K16" s="8">
        <f>IFERROR(INDEX('A1. Response summary'!P$11:P$200,MATCH($C$4&amp;"|"&amp;$B16,'A1. Response summary'!$A$11:$A$200,0)),"")</f>
        <v/>
      </c>
      <c r="L16" s="8">
        <f>IFERROR(INDEX('A1. Response summary'!Q$11:Q$200,MATCH($C$4&amp;"|"&amp;$B16,'A1. Response summary'!$A$11:$A$200,0)),"")</f>
        <v/>
      </c>
      <c r="M16" s="8">
        <f>IFERROR(INDEX('A1. Response summary'!R$11:R$200,MATCH($C$4&amp;"|"&amp;$B16,'A1. Response summary'!$A$11:$A$200,0)),"")</f>
        <v/>
      </c>
      <c r="N16" s="8">
        <f>IFERROR(INDEX('A1. Response summary'!S$11:S$200,MATCH($C$4&amp;"|"&amp;$B16,'A1. Response summary'!$A$11:$A$200,0)),"")</f>
        <v/>
      </c>
      <c r="O16" s="8">
        <f>IFERROR(INDEX('A1. Response summary'!T$11:T$200,MATCH($C$4&amp;"|"&amp;$B16,'A1. Response summary'!$A$11:$A$200,0)),"")</f>
        <v/>
      </c>
      <c r="P16" s="8">
        <f>IFERROR(INDEX('A1. Response summary'!U$11:U$200,MATCH($C$4&amp;"|"&amp;$B16,'A1. Response summary'!$A$11:$A$200,0)),"")</f>
        <v/>
      </c>
      <c r="Q16" s="8">
        <f>IFERROR(INDEX('A1. Response summary'!V$11:V$200,MATCH($C$4&amp;"|"&amp;$B16,'A1. Response summary'!$A$11:$A$200,0)),"")</f>
        <v/>
      </c>
      <c r="R16" s="8">
        <f>IFERROR(INDEX('A1. Response summary'!W$11:W$200,MATCH($C$4&amp;"|"&amp;$B16,'A1. Response summary'!$A$11:$A$200,0)),"")</f>
        <v/>
      </c>
      <c r="S16" s="8">
        <f>IFERROR(INDEX('A1. Response summary'!X$11:X$200,MATCH($C$4&amp;"|"&amp;$B16,'A1. Response summary'!$A$11:$A$200,0)),"")</f>
        <v/>
      </c>
    </row>
    <row r="17" ht="120" customHeight="1">
      <c r="B17" s="7" t="inlineStr">
        <is>
          <t>OPTION 2:  Indicator level reporting</t>
        </is>
      </c>
      <c r="C17" s="8">
        <f>IFERROR(INDEX('A1. Response summary'!H$11:H$200,MATCH($C$4&amp;"|"&amp;$B17,'A1. Response summary'!$A$11:$A$200,0)),"")</f>
        <v/>
      </c>
      <c r="D17" s="8">
        <f>IFERROR(INDEX('A1. Response summary'!I$11:I$200,MATCH($C$4&amp;"|"&amp;$B17,'A1. Response summary'!$A$11:$A$200,0)),"")</f>
        <v/>
      </c>
      <c r="E17" s="8">
        <f>IFERROR(INDEX('A1. Response summary'!J$11:J$200,MATCH($C$4&amp;"|"&amp;$B17,'A1. Response summary'!$A$11:$A$200,0)),"")</f>
        <v/>
      </c>
      <c r="F17" s="8">
        <f>IFERROR(INDEX('A1. Response summary'!K$11:K$200,MATCH($C$4&amp;"|"&amp;$B17,'A1. Response summary'!$A$11:$A$200,0)),"")</f>
        <v/>
      </c>
      <c r="G17" s="8">
        <f>IFERROR(INDEX('A1. Response summary'!L$11:L$200,MATCH($C$4&amp;"|"&amp;$B17,'A1. Response summary'!$A$11:$A$200,0)),"")</f>
        <v/>
      </c>
      <c r="H17" s="8">
        <f>IFERROR(INDEX('A1. Response summary'!M$11:M$200,MATCH($C$4&amp;"|"&amp;$B17,'A1. Response summary'!$A$11:$A$200,0)),"")</f>
        <v/>
      </c>
      <c r="I17" s="8">
        <f>IFERROR(INDEX('A1. Response summary'!N$11:N$200,MATCH($C$4&amp;"|"&amp;$B17,'A1. Response summary'!$A$11:$A$200,0)),"")</f>
        <v/>
      </c>
      <c r="J17" s="8">
        <f>IFERROR(INDEX('A1. Response summary'!O$11:O$200,MATCH($C$4&amp;"|"&amp;$B17,'A1. Response summary'!$A$11:$A$200,0)),"")</f>
        <v/>
      </c>
      <c r="K17" s="8">
        <f>IFERROR(INDEX('A1. Response summary'!P$11:P$200,MATCH($C$4&amp;"|"&amp;$B17,'A1. Response summary'!$A$11:$A$200,0)),"")</f>
        <v/>
      </c>
      <c r="L17" s="8">
        <f>IFERROR(INDEX('A1. Response summary'!Q$11:Q$200,MATCH($C$4&amp;"|"&amp;$B17,'A1. Response summary'!$A$11:$A$200,0)),"")</f>
        <v/>
      </c>
      <c r="M17" s="8">
        <f>IFERROR(INDEX('A1. Response summary'!R$11:R$200,MATCH($C$4&amp;"|"&amp;$B17,'A1. Response summary'!$A$11:$A$200,0)),"")</f>
        <v/>
      </c>
      <c r="N17" s="8">
        <f>IFERROR(INDEX('A1. Response summary'!S$11:S$200,MATCH($C$4&amp;"|"&amp;$B17,'A1. Response summary'!$A$11:$A$200,0)),"")</f>
        <v/>
      </c>
      <c r="O17" s="8">
        <f>IFERROR(INDEX('A1. Response summary'!T$11:T$200,MATCH($C$4&amp;"|"&amp;$B17,'A1. Response summary'!$A$11:$A$200,0)),"")</f>
        <v/>
      </c>
      <c r="P17" s="8">
        <f>IFERROR(INDEX('A1. Response summary'!U$11:U$200,MATCH($C$4&amp;"|"&amp;$B17,'A1. Response summary'!$A$11:$A$200,0)),"")</f>
        <v/>
      </c>
      <c r="Q17" s="8">
        <f>IFERROR(INDEX('A1. Response summary'!V$11:V$200,MATCH($C$4&amp;"|"&amp;$B17,'A1. Response summary'!$A$11:$A$200,0)),"")</f>
        <v/>
      </c>
      <c r="R17" s="8">
        <f>IFERROR(INDEX('A1. Response summary'!W$11:W$200,MATCH($C$4&amp;"|"&amp;$B17,'A1. Response summary'!$A$11:$A$200,0)),"")</f>
        <v/>
      </c>
      <c r="S17" s="8">
        <f>IFERROR(INDEX('A1. Response summary'!X$11:X$200,MATCH($C$4&amp;"|"&amp;$B17,'A1. Response summary'!$A$11:$A$200,0)),"")</f>
        <v/>
      </c>
    </row>
    <row r="18" ht="120" customHeight="1">
      <c r="B18" s="7" t="inlineStr">
        <is>
          <t>Supporting information/comments</t>
        </is>
      </c>
      <c r="C18" s="8">
        <f>IFERROR(INDEX('A1. Response summary'!H$11:H$200,MATCH($C$4&amp;"|"&amp;$B18,'A1. Response summary'!$A$11:$A$200,0)),"")</f>
        <v/>
      </c>
      <c r="D18" s="8">
        <f>IFERROR(INDEX('A1. Response summary'!I$11:I$200,MATCH($C$4&amp;"|"&amp;$B18,'A1. Response summary'!$A$11:$A$200,0)),"")</f>
        <v/>
      </c>
      <c r="E18" s="8">
        <f>IFERROR(INDEX('A1. Response summary'!J$11:J$200,MATCH($C$4&amp;"|"&amp;$B18,'A1. Response summary'!$A$11:$A$200,0)),"")</f>
        <v/>
      </c>
      <c r="F18" s="8">
        <f>IFERROR(INDEX('A1. Response summary'!K$11:K$200,MATCH($C$4&amp;"|"&amp;$B18,'A1. Response summary'!$A$11:$A$200,0)),"")</f>
        <v/>
      </c>
      <c r="G18" s="8">
        <f>IFERROR(INDEX('A1. Response summary'!L$11:L$200,MATCH($C$4&amp;"|"&amp;$B18,'A1. Response summary'!$A$11:$A$200,0)),"")</f>
        <v/>
      </c>
      <c r="H18" s="8">
        <f>IFERROR(INDEX('A1. Response summary'!M$11:M$200,MATCH($C$4&amp;"|"&amp;$B18,'A1. Response summary'!$A$11:$A$200,0)),"")</f>
        <v/>
      </c>
      <c r="I18" s="8">
        <f>IFERROR(INDEX('A1. Response summary'!N$11:N$200,MATCH($C$4&amp;"|"&amp;$B18,'A1. Response summary'!$A$11:$A$200,0)),"")</f>
        <v/>
      </c>
      <c r="J18" s="8">
        <f>IFERROR(INDEX('A1. Response summary'!O$11:O$200,MATCH($C$4&amp;"|"&amp;$B18,'A1. Response summary'!$A$11:$A$200,0)),"")</f>
        <v/>
      </c>
      <c r="K18" s="8">
        <f>IFERROR(INDEX('A1. Response summary'!P$11:P$200,MATCH($C$4&amp;"|"&amp;$B18,'A1. Response summary'!$A$11:$A$200,0)),"")</f>
        <v/>
      </c>
      <c r="L18" s="8">
        <f>IFERROR(INDEX('A1. Response summary'!Q$11:Q$200,MATCH($C$4&amp;"|"&amp;$B18,'A1. Response summary'!$A$11:$A$200,0)),"")</f>
        <v/>
      </c>
      <c r="M18" s="8">
        <f>IFERROR(INDEX('A1. Response summary'!R$11:R$200,MATCH($C$4&amp;"|"&amp;$B18,'A1. Response summary'!$A$11:$A$200,0)),"")</f>
        <v/>
      </c>
      <c r="N18" s="8">
        <f>IFERROR(INDEX('A1. Response summary'!S$11:S$200,MATCH($C$4&amp;"|"&amp;$B18,'A1. Response summary'!$A$11:$A$200,0)),"")</f>
        <v/>
      </c>
      <c r="O18" s="8">
        <f>IFERROR(INDEX('A1. Response summary'!T$11:T$200,MATCH($C$4&amp;"|"&amp;$B18,'A1. Response summary'!$A$11:$A$200,0)),"")</f>
        <v/>
      </c>
      <c r="P18" s="8">
        <f>IFERROR(INDEX('A1. Response summary'!U$11:U$200,MATCH($C$4&amp;"|"&amp;$B18,'A1. Response summary'!$A$11:$A$200,0)),"")</f>
        <v/>
      </c>
      <c r="Q18" s="8">
        <f>IFERROR(INDEX('A1. Response summary'!V$11:V$200,MATCH($C$4&amp;"|"&amp;$B18,'A1. Response summary'!$A$11:$A$200,0)),"")</f>
        <v/>
      </c>
      <c r="R18" s="8">
        <f>IFERROR(INDEX('A1. Response summary'!W$11:W$200,MATCH($C$4&amp;"|"&amp;$B18,'A1. Response summary'!$A$11:$A$200,0)),"")</f>
        <v/>
      </c>
      <c r="S18" s="8">
        <f>IFERROR(INDEX('A1. Response summary'!X$11:X$200,MATCH($C$4&amp;"|"&amp;$B18,'A1. Response summary'!$A$11:$A$200,0)),"")</f>
        <v/>
      </c>
    </row>
    <row r="19" ht="45" customHeight="1">
      <c r="B19" s="7" t="inlineStr">
        <is>
          <t>Data source and limitations</t>
        </is>
      </c>
      <c r="C19" s="8">
        <f>IFERROR(INDEX('A1. Response summary'!H$11:H$200,MATCH($C$4&amp;"|"&amp;$B19,'A1. Response summary'!$A$11:$A$200,0)),"")</f>
        <v/>
      </c>
      <c r="D19" s="8">
        <f>IFERROR(INDEX('A1. Response summary'!I$11:I$200,MATCH($C$4&amp;"|"&amp;$B19,'A1. Response summary'!$A$11:$A$200,0)),"")</f>
        <v/>
      </c>
      <c r="E19" s="8">
        <f>IFERROR(INDEX('A1. Response summary'!J$11:J$200,MATCH($C$4&amp;"|"&amp;$B19,'A1. Response summary'!$A$11:$A$200,0)),"")</f>
        <v/>
      </c>
      <c r="F19" s="8">
        <f>IFERROR(INDEX('A1. Response summary'!K$11:K$200,MATCH($C$4&amp;"|"&amp;$B19,'A1. Response summary'!$A$11:$A$200,0)),"")</f>
        <v/>
      </c>
      <c r="G19" s="8">
        <f>IFERROR(INDEX('A1. Response summary'!L$11:L$200,MATCH($C$4&amp;"|"&amp;$B19,'A1. Response summary'!$A$11:$A$200,0)),"")</f>
        <v/>
      </c>
      <c r="H19" s="8">
        <f>IFERROR(INDEX('A1. Response summary'!M$11:M$200,MATCH($C$4&amp;"|"&amp;$B19,'A1. Response summary'!$A$11:$A$200,0)),"")</f>
        <v/>
      </c>
      <c r="I19" s="8">
        <f>IFERROR(INDEX('A1. Response summary'!N$11:N$200,MATCH($C$4&amp;"|"&amp;$B19,'A1. Response summary'!$A$11:$A$200,0)),"")</f>
        <v/>
      </c>
      <c r="J19" s="8">
        <f>IFERROR(INDEX('A1. Response summary'!O$11:O$200,MATCH($C$4&amp;"|"&amp;$B19,'A1. Response summary'!$A$11:$A$200,0)),"")</f>
        <v/>
      </c>
      <c r="K19" s="8">
        <f>IFERROR(INDEX('A1. Response summary'!P$11:P$200,MATCH($C$4&amp;"|"&amp;$B19,'A1. Response summary'!$A$11:$A$200,0)),"")</f>
        <v/>
      </c>
      <c r="L19" s="8">
        <f>IFERROR(INDEX('A1. Response summary'!Q$11:Q$200,MATCH($C$4&amp;"|"&amp;$B19,'A1. Response summary'!$A$11:$A$200,0)),"")</f>
        <v/>
      </c>
      <c r="M19" s="8">
        <f>IFERROR(INDEX('A1. Response summary'!R$11:R$200,MATCH($C$4&amp;"|"&amp;$B19,'A1. Response summary'!$A$11:$A$200,0)),"")</f>
        <v/>
      </c>
      <c r="N19" s="8">
        <f>IFERROR(INDEX('A1. Response summary'!S$11:S$200,MATCH($C$4&amp;"|"&amp;$B19,'A1. Response summary'!$A$11:$A$200,0)),"")</f>
        <v/>
      </c>
      <c r="O19" s="8">
        <f>IFERROR(INDEX('A1. Response summary'!T$11:T$200,MATCH($C$4&amp;"|"&amp;$B19,'A1. Response summary'!$A$11:$A$200,0)),"")</f>
        <v/>
      </c>
      <c r="P19" s="8">
        <f>IFERROR(INDEX('A1. Response summary'!U$11:U$200,MATCH($C$4&amp;"|"&amp;$B19,'A1. Response summary'!$A$11:$A$200,0)),"")</f>
        <v/>
      </c>
      <c r="Q19" s="8">
        <f>IFERROR(INDEX('A1. Response summary'!V$11:V$200,MATCH($C$4&amp;"|"&amp;$B19,'A1. Response summary'!$A$11:$A$200,0)),"")</f>
        <v/>
      </c>
      <c r="R19" s="8">
        <f>IFERROR(INDEX('A1. Response summary'!W$11:W$200,MATCH($C$4&amp;"|"&amp;$B19,'A1. Response summary'!$A$11:$A$200,0)),"")</f>
        <v/>
      </c>
      <c r="S19" s="8">
        <f>IFERROR(INDEX('A1. Response summary'!X$11:X$200,MATCH($C$4&amp;"|"&amp;$B19,'A1. Response summary'!$A$11:$A$200,0)),"")</f>
        <v/>
      </c>
    </row>
    <row r="20" ht="45" customHeight="1">
      <c r="B20" s="7" t="inlineStr">
        <is>
          <t>Data owner confirms</t>
        </is>
      </c>
      <c r="C20" s="8">
        <f>IFERROR(INDEX('A1. Response summary'!H$11:H$200,MATCH($C$4&amp;"|"&amp;$B20,'A1. Response summary'!$A$11:$A$200,0)),"")</f>
        <v/>
      </c>
      <c r="D20" s="8">
        <f>IFERROR(INDEX('A1. Response summary'!I$11:I$200,MATCH($C$4&amp;"|"&amp;$B20,'A1. Response summary'!$A$11:$A$200,0)),"")</f>
        <v/>
      </c>
      <c r="E20" s="8">
        <f>IFERROR(INDEX('A1. Response summary'!J$11:J$200,MATCH($C$4&amp;"|"&amp;$B20,'A1. Response summary'!$A$11:$A$200,0)),"")</f>
        <v/>
      </c>
      <c r="F20" s="8">
        <f>IFERROR(INDEX('A1. Response summary'!K$11:K$200,MATCH($C$4&amp;"|"&amp;$B20,'A1. Response summary'!$A$11:$A$200,0)),"")</f>
        <v/>
      </c>
      <c r="G20" s="8">
        <f>IFERROR(INDEX('A1. Response summary'!L$11:L$200,MATCH($C$4&amp;"|"&amp;$B20,'A1. Response summary'!$A$11:$A$200,0)),"")</f>
        <v/>
      </c>
      <c r="H20" s="8">
        <f>IFERROR(INDEX('A1. Response summary'!M$11:M$200,MATCH($C$4&amp;"|"&amp;$B20,'A1. Response summary'!$A$11:$A$200,0)),"")</f>
        <v/>
      </c>
      <c r="I20" s="8">
        <f>IFERROR(INDEX('A1. Response summary'!N$11:N$200,MATCH($C$4&amp;"|"&amp;$B20,'A1. Response summary'!$A$11:$A$200,0)),"")</f>
        <v/>
      </c>
      <c r="J20" s="8">
        <f>IFERROR(INDEX('A1. Response summary'!O$11:O$200,MATCH($C$4&amp;"|"&amp;$B20,'A1. Response summary'!$A$11:$A$200,0)),"")</f>
        <v/>
      </c>
      <c r="K20" s="8">
        <f>IFERROR(INDEX('A1. Response summary'!P$11:P$200,MATCH($C$4&amp;"|"&amp;$B20,'A1. Response summary'!$A$11:$A$200,0)),"")</f>
        <v/>
      </c>
      <c r="L20" s="8">
        <f>IFERROR(INDEX('A1. Response summary'!Q$11:Q$200,MATCH($C$4&amp;"|"&amp;$B20,'A1. Response summary'!$A$11:$A$200,0)),"")</f>
        <v/>
      </c>
      <c r="M20" s="8">
        <f>IFERROR(INDEX('A1. Response summary'!R$11:R$200,MATCH($C$4&amp;"|"&amp;$B20,'A1. Response summary'!$A$11:$A$200,0)),"")</f>
        <v/>
      </c>
      <c r="N20" s="8">
        <f>IFERROR(INDEX('A1. Response summary'!S$11:S$200,MATCH($C$4&amp;"|"&amp;$B20,'A1. Response summary'!$A$11:$A$200,0)),"")</f>
        <v/>
      </c>
      <c r="O20" s="8">
        <f>IFERROR(INDEX('A1. Response summary'!T$11:T$200,MATCH($C$4&amp;"|"&amp;$B20,'A1. Response summary'!$A$11:$A$200,0)),"")</f>
        <v/>
      </c>
      <c r="P20" s="8">
        <f>IFERROR(INDEX('A1. Response summary'!U$11:U$200,MATCH($C$4&amp;"|"&amp;$B20,'A1. Response summary'!$A$11:$A$200,0)),"")</f>
        <v/>
      </c>
      <c r="Q20" s="8">
        <f>IFERROR(INDEX('A1. Response summary'!V$11:V$200,MATCH($C$4&amp;"|"&amp;$B20,'A1. Response summary'!$A$11:$A$200,0)),"")</f>
        <v/>
      </c>
      <c r="R20" s="8">
        <f>IFERROR(INDEX('A1. Response summary'!W$11:W$200,MATCH($C$4&amp;"|"&amp;$B20,'A1. Response summary'!$A$11:$A$200,0)),"")</f>
        <v/>
      </c>
      <c r="S20" s="8">
        <f>IFERROR(INDEX('A1. Response summary'!X$11:X$200,MATCH($C$4&amp;"|"&amp;$B20,'A1.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SR26 sustainability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SR26 sustainability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8" t="inlineStr">
        <is>
          <t>SST: primary priority area</t>
        </is>
      </c>
      <c r="J5" s="48" t="inlineStr">
        <is>
          <t>SST: secondary priority area</t>
        </is>
      </c>
      <c r="K5" s="48" t="inlineStr">
        <is>
          <t>SST: related S2030 indicator ref</t>
        </is>
      </c>
      <c r="L5" s="48" t="inlineStr">
        <is>
          <t>SST: use in report?</t>
        </is>
      </c>
      <c r="M5" s="48" t="inlineStr">
        <is>
          <t>SST: permission to publish?</t>
        </is>
      </c>
      <c r="N5" s="48" t="inlineStr">
        <is>
          <t>SST notes</t>
        </is>
      </c>
    </row>
    <row r="6" ht="60" customHeight="1">
      <c r="B6" s="7" t="inlineStr">
        <is>
          <t>ABP – Faculty of Architecture, Building and Planning</t>
        </is>
      </c>
      <c r="C6" s="50" t="n">
        <v>1</v>
      </c>
      <c r="D6" s="10">
        <f>IF('[1]2. OPTIONAL highlighted stories'!B10="","",'[1]2. OPTIONAL highlighted stories'!B10)</f>
        <v/>
      </c>
      <c r="E6" s="10">
        <f>IF('[1]2. OPTIONAL highlighted stories'!C10="","",'[1]2. OPTIONAL highlighted stories'!C10)</f>
        <v/>
      </c>
      <c r="F6" s="10">
        <f>IF('[1]2. OPTIONAL highlighted stories'!D10="","",'[1]2. OPTIONAL highlighted stories'!D10)</f>
        <v/>
      </c>
      <c r="G6" s="10">
        <f>IF('[1]2. OPTIONAL highlighted stories'!E10="","",'[1]2. OPTIONAL highlighted stories'!E10)</f>
        <v/>
      </c>
      <c r="H6" s="10">
        <f>IF('[1]2. OPTIONAL highlighted stories'!F10="","",'[1]2. OPTIONAL highlighted stories'!F10)</f>
        <v/>
      </c>
      <c r="I6" s="8" t="inlineStr"/>
      <c r="J6" s="8" t="inlineStr"/>
      <c r="K6" s="8" t="inlineStr"/>
      <c r="L6" s="8" t="inlineStr"/>
      <c r="M6" s="8" t="inlineStr"/>
      <c r="N6" s="8" t="inlineStr"/>
    </row>
    <row r="7" ht="60" customHeight="1">
      <c r="B7" s="7" t="inlineStr"/>
      <c r="C7" s="50" t="n">
        <v>2</v>
      </c>
      <c r="D7" s="10">
        <f>IF('[1]2. OPTIONAL highlighted stories'!B11="","",'[1]2. OPTIONAL highlighted stories'!B11)</f>
        <v/>
      </c>
      <c r="E7" s="10">
        <f>IF('[1]2. OPTIONAL highlighted stories'!C11="","",'[1]2. OPTIONAL highlighted stories'!C11)</f>
        <v/>
      </c>
      <c r="F7" s="10">
        <f>IF('[1]2. OPTIONAL highlighted stories'!D11="","",'[1]2. OPTIONAL highlighted stories'!D11)</f>
        <v/>
      </c>
      <c r="G7" s="10">
        <f>IF('[1]2. OPTIONAL highlighted stories'!E11="","",'[1]2. OPTIONAL highlighted stories'!E11)</f>
        <v/>
      </c>
      <c r="H7" s="10">
        <f>IF('[1]2. OPTIONAL highlighted stories'!F11="","",'[1]2. OPTIONAL highlighted stories'!F11)</f>
        <v/>
      </c>
      <c r="I7" s="8" t="inlineStr"/>
      <c r="J7" s="8" t="inlineStr"/>
      <c r="K7" s="8" t="inlineStr"/>
      <c r="L7" s="8" t="inlineStr"/>
      <c r="M7" s="8" t="inlineStr"/>
      <c r="N7" s="8" t="inlineStr"/>
    </row>
    <row r="8" ht="60" customHeight="1">
      <c r="B8" s="7" t="inlineStr"/>
      <c r="C8" s="50" t="n">
        <v>3</v>
      </c>
      <c r="D8" s="10">
        <f>IF('[1]2. OPTIONAL highlighted stories'!B12="","",'[1]2. OPTIONAL highlighted stories'!B12)</f>
        <v/>
      </c>
      <c r="E8" s="10">
        <f>IF('[1]2. OPTIONAL highlighted stories'!C12="","",'[1]2. OPTIONAL highlighted stories'!C12)</f>
        <v/>
      </c>
      <c r="F8" s="10">
        <f>IF('[1]2. OPTIONAL highlighted stories'!D12="","",'[1]2. OPTIONAL highlighted stories'!D12)</f>
        <v/>
      </c>
      <c r="G8" s="10">
        <f>IF('[1]2. OPTIONAL highlighted stories'!E12="","",'[1]2. OPTIONAL highlighted stories'!E12)</f>
        <v/>
      </c>
      <c r="H8" s="10">
        <f>IF('[1]2. OPTIONAL highlighted stories'!F12="","",'[1]2. OPTIONAL highlighted stories'!F12)</f>
        <v/>
      </c>
      <c r="I8" s="8" t="inlineStr"/>
      <c r="J8" s="8" t="inlineStr"/>
      <c r="K8" s="8" t="inlineStr"/>
      <c r="L8" s="8" t="inlineStr"/>
      <c r="M8" s="8" t="inlineStr"/>
      <c r="N8" s="8" t="inlineStr"/>
    </row>
    <row r="9" ht="60" customHeight="1">
      <c r="B9" s="7" t="inlineStr">
        <is>
          <t>ARTS – Faculty of Arts</t>
        </is>
      </c>
      <c r="C9" s="50"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0"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0"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0"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0"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0"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0"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0"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0"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0"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0"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0"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0"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0"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0"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0"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0"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0"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0"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0"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0"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0"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0"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0"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0"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0"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0"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0"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0"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0"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0"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0"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0"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0"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0"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0"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0"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0"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0"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0"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0"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0"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SR26 sustainability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SR26 sustainability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4"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4"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4"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4"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4"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4"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4"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4"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4"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4" t="n">
        <v>46300</v>
      </c>
      <c r="D14" s="8" t="inlineStr">
        <is>
          <t>No target status rating requested in 2026 (Rose): rating column removed from all requests; A1 now summarises responses instead of scoring.</t>
        </is>
      </c>
      <c r="E14" s="8" t="inlineStr"/>
      <c r="F14" s="8" t="inlineStr">
        <is>
          <t>All</t>
        </is>
      </c>
      <c r="G14" s="8" t="inlineStr">
        <is>
          <t>Director, Sustainability</t>
        </is>
      </c>
      <c r="H14" s="8" t="inlineStr">
        <is>
          <t>Revisit for 2027 with the new traffic-light framework</t>
        </is>
      </c>
      <c r="I14" s="8" t="inlineStr">
        <is>
          <t>Closed</t>
        </is>
      </c>
    </row>
    <row r="15">
      <c r="B15" s="8" t="n">
        <v>11</v>
      </c>
      <c r="C15" s="44" t="n">
        <v>46300</v>
      </c>
      <c r="D15" s="8" t="inlineStr">
        <is>
          <t>Timeline updated to the team plan: requests issued W1 Nov, responses and stories due 15 Dec 2026, first review W3 Dec, follow-up W3–W4 Dec, consolidation W4 Dec. Databook figures given by 15 Dec are provisional; final figures confirmed Jan–Feb.</t>
        </is>
      </c>
      <c r="E15" s="8" t="inlineStr"/>
      <c r="F15" s="8" t="inlineStr">
        <is>
          <t>All</t>
        </is>
      </c>
      <c r="G15" s="8" t="inlineStr">
        <is>
          <t>Stefanus</t>
        </is>
      </c>
      <c r="H15" s="8" t="inlineStr">
        <is>
          <t>Confirm exact issue date and CDSS contact</t>
        </is>
      </c>
      <c r="I15" s="8" t="inlineStr">
        <is>
          <t>Open</t>
        </is>
      </c>
    </row>
    <row r="16">
      <c r="B16" s="8" t="n">
        <v>12</v>
      </c>
      <c r="C16" s="44"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(not used – no target status rating in 2026)</t>
        </is>
      </c>
      <c r="C1" t="inlineStr">
        <is>
          <t>Data owner confirms</t>
        </is>
      </c>
      <c r="D1" t="inlineStr">
        <is>
          <t>Request status</t>
        </is>
      </c>
      <c r="E1" t="inlineStr">
        <is>
          <t>Y/N</t>
        </is>
      </c>
      <c r="L1" t="inlineStr">
        <is>
          <t>Priority area</t>
        </is>
      </c>
    </row>
    <row r="2">
      <c r="B2" t="inlineStr">
        <is>
          <t>Please select from dropdown</t>
        </is>
      </c>
      <c r="C2" t="inlineStr">
        <is>
          <t>Yes</t>
        </is>
      </c>
      <c r="D2" t="inlineStr">
        <is>
          <t>Not sent</t>
        </is>
      </c>
      <c r="E2" t="inlineStr">
        <is>
          <t>Yes</t>
        </is>
      </c>
      <c r="L2" t="inlineStr">
        <is>
          <t>Exceptional education</t>
        </is>
      </c>
    </row>
    <row r="3">
      <c r="C3" t="inlineStr">
        <is>
          <t>No</t>
        </is>
      </c>
      <c r="D3" t="inlineStr">
        <is>
          <t>Sent</t>
        </is>
      </c>
      <c r="E3" t="inlineStr">
        <is>
          <t>No</t>
        </is>
      </c>
      <c r="L3" t="inlineStr">
        <is>
          <t>Transformational research</t>
        </is>
      </c>
    </row>
    <row r="4">
      <c r="C4" t="inlineStr">
        <is>
          <t>Partially – see comments</t>
        </is>
      </c>
      <c r="D4" t="inlineStr">
        <is>
          <t>1:1 meeting</t>
        </is>
      </c>
      <c r="E4" t="inlineStr">
        <is>
          <t>TBC</t>
        </is>
      </c>
      <c r="L4" t="inlineStr">
        <is>
          <t>Climate leadership</t>
        </is>
      </c>
    </row>
    <row r="5">
      <c r="D5" t="inlineStr">
        <is>
          <t>Received</t>
        </is>
      </c>
      <c r="L5" t="inlineStr">
        <is>
          <t>Nature and biodiversity</t>
        </is>
      </c>
    </row>
    <row r="6">
      <c r="D6" t="inlineStr">
        <is>
          <t>First review</t>
        </is>
      </c>
      <c r="L6" t="inlineStr">
        <is>
          <t>Responsible AI</t>
        </is>
      </c>
    </row>
    <row r="7">
      <c r="D7" t="inlineStr">
        <is>
          <t>Follow-up</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2026-10-07T03:15:36Z</dcterms:created>
  <dcterms:modified xmlns:dcterms="http://purl.org/dc/terms/" xmlns:xsi="http://www.w3.org/2001/XMLSchema-instance" xsi:type="dcterms:W3CDTF">2026-10-07T03:15:55Z</dcterms:modified>
</cp:coreProperties>
</file>