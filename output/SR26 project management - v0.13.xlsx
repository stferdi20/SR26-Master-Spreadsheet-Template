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 Timeline &amp; RASCI" sheetId="3" state="visible" r:id="rId3"/>
    <sheet xmlns:r="http://schemas.openxmlformats.org/officeDocument/2006/relationships" name="P3 To do – comms+web" sheetId="4" state="visible" r:id="rId4"/>
    <sheet xmlns:r="http://schemas.openxmlformats.org/officeDocument/2006/relationships" name="P4 Content checklist" sheetId="5" state="visible" r:id="rId5"/>
    <sheet xmlns:r="http://schemas.openxmlformats.org/officeDocument/2006/relationships" name="P5 SR26 page index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2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FFFFFF"/>
      <sz val="12"/>
    </font>
    <font>
      <name val="Aptos"/>
      <b val="1"/>
      <color rgb="00FFFFFF"/>
      <sz val="8"/>
    </font>
    <font>
      <name val="Aptos"/>
      <b val="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156082"/>
      </patternFill>
    </fill>
    <fill>
      <patternFill patternType="solid">
        <fgColor rgb="00C1E4F5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10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16" fontId="9" fillId="2" borderId="0" applyAlignment="1" pivotButton="0" quotePrefix="0" xfId="0">
      <alignment horizontal="center" textRotation="90"/>
    </xf>
    <xf numFmtId="0" fontId="5" fillId="3" borderId="0" pivotButton="0" quotePrefix="0" xfId="0"/>
    <xf numFmtId="0" fontId="0" fillId="3" borderId="0" pivotButton="0" quotePrefix="0" xfId="0"/>
    <xf numFmtId="0" fontId="11" fillId="0" borderId="1" applyAlignment="1" pivotButton="0" quotePrefix="0" xfId="0">
      <alignment vertical="top" wrapText="1"/>
    </xf>
    <xf numFmtId="165" fontId="11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FFC000"/>
      </font>
      <fill>
        <patternFill patternType="solid">
          <fgColor rgb="00FFC000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P0. Project overview</t>
        </is>
      </c>
    </row>
    <row r="4">
      <c r="B4" s="4" t="inlineStr">
        <is>
          <t>1. Purpose</t>
        </is>
      </c>
    </row>
    <row r="5" ht="30" customHeight="1">
      <c r="B5" s="5" t="inlineStr">
        <is>
          <t>This workbook</t>
        </is>
      </c>
      <c r="C5" s="6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0" customHeight="1">
      <c r="B6" s="5" t="inlineStr">
        <is>
          <t>SR26 in one line</t>
        </is>
      </c>
      <c r="C6" s="6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8">
      <c r="B8" s="4" t="inlineStr">
        <is>
          <t>2. Lessons from SR25 and actions for SR26</t>
        </is>
      </c>
    </row>
    <row r="9" ht="30" customHeight="1">
      <c r="B9" s="5" t="inlineStr">
        <is>
          <t>Keep tailored data requests</t>
        </is>
      </c>
      <c r="C9" s="6" t="inlineStr">
        <is>
          <t>SR25 streamlined requests achieved a 100% response rate → keep targeted, faculty-specific requests (see Request wording log); avoid complex requests.</t>
        </is>
      </c>
    </row>
    <row r="10" ht="20" customHeight="1">
      <c r="B10" s="5" t="inlineStr">
        <is>
          <t>Keep independent senior review</t>
        </is>
      </c>
      <c r="C10" s="6" t="inlineStr">
        <is>
          <t>Retain Target Status Review Group as the Sustainability Reporting Review Group (~15 Feb 2027).</t>
        </is>
      </c>
    </row>
    <row r="11" ht="30" customHeight="1">
      <c r="B11" s="5" t="inlineStr">
        <is>
          <t>Strengthen data controls</t>
        </is>
      </c>
      <c r="C11" s="6" t="inlineStr">
        <is>
          <t>Central Evidence register, data owner confirmation (columns Q–R on every request), data source records, Databook alignment.</t>
        </is>
      </c>
    </row>
    <row r="12" ht="20" customHeight="1">
      <c r="B12" s="5" t="inlineStr">
        <is>
          <t>Integrate with Annual Report</t>
        </is>
      </c>
      <c r="C12" s="6" t="inlineStr">
        <is>
          <t>Engage Annual Report team in October; shared dependency map; late operational data (Feb–Mar) on a later pathway.</t>
        </is>
      </c>
    </row>
    <row r="13" ht="20" customHeight="1">
      <c r="B13" s="5" t="inlineStr">
        <is>
          <t>Agree comms roles early</t>
        </is>
      </c>
      <c r="C13" s="6" t="inlineStr">
        <is>
          <t>RASCI with Strategic Communications, comms, digital and design at project start (P2).</t>
        </is>
      </c>
    </row>
    <row r="14" ht="20" customHeight="1">
      <c r="B14" s="5" t="inlineStr">
        <is>
          <t>Plan web and close from the outset</t>
        </is>
      </c>
      <c r="C14" s="6" t="inlineStr">
        <is>
          <t>Year-specific report URL, central landing page, analytics measures agreed before launch, formal retrospective (P3, P2).</t>
        </is>
      </c>
    </row>
    <row r="15" ht="30" customHeight="1">
      <c r="B15" s="5" t="inlineStr">
        <is>
          <t>Simpler project management</t>
        </is>
      </c>
      <c r="C15" s="6" t="inlineStr">
        <is>
          <t>This simplified tracker; induction walkthrough; direct messages for assigned tasks, group channel for shared updates; blocker escalation as a standing meeting item.</t>
        </is>
      </c>
    </row>
    <row r="16" ht="30" customHeight="1">
      <c r="B16" s="5" t="inlineStr">
        <is>
          <t>Follow up non-approval</t>
        </is>
      </c>
      <c r="C16" s="6" t="inlineStr">
        <is>
          <t>SR25: FBE filled in the template but did not approve; Science disagreed with metrics → track 'Owner confirmed' in the Request tracker and chase; offer January support meetings.</t>
        </is>
      </c>
    </row>
    <row r="18">
      <c r="B18" s="4" t="inlineStr">
        <is>
          <t>3. How to use this workbook</t>
        </is>
      </c>
    </row>
    <row r="19" ht="30" customHeight="1">
      <c r="B19" s="5" t="inlineStr">
        <is>
          <t>Records management</t>
        </is>
      </c>
      <c r="C19" s="6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0" customHeight="1">
      <c r="B20" s="5" t="inlineStr">
        <is>
          <t>Responses</t>
        </is>
      </c>
      <c r="C20" s="6" t="inlineStr">
        <is>
          <t>Paste returned responses into the Faculties / central-unit tabs without inserting rows inside a block (A1/0.5/T2 formulas look up by Ref).</t>
        </is>
      </c>
    </row>
    <row r="21" ht="20" customHeight="1">
      <c r="B21" s="5" t="inlineStr">
        <is>
          <t>Regenerating</t>
        </is>
      </c>
      <c r="C21" s="6" t="inlineStr">
        <is>
          <t>Templates are generated by build.py – update settings there to add faculties/units, then re-run.</t>
        </is>
      </c>
    </row>
    <row r="23">
      <c r="B23" s="4" t="inlineStr">
        <is>
          <t>4. Key reference documents</t>
        </is>
      </c>
    </row>
    <row r="24" ht="20" customHeight="1">
      <c r="B24" s="5" t="inlineStr">
        <is>
          <t>SR26 approach</t>
        </is>
      </c>
      <c r="C24" s="6" t="inlineStr">
        <is>
          <t>2026 Sustainability reporting approach &amp; target status assessment framework – DRAFT Sep 2026</t>
        </is>
      </c>
    </row>
    <row r="25" ht="45" customHeight="1">
      <c r="B25" s="5" t="inlineStr">
        <is>
          <t>SR25 documents</t>
        </is>
      </c>
      <c r="C25" s="6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0" customHeight="1">
      <c r="B26" s="5" t="inlineStr">
        <is>
          <t>Targets</t>
        </is>
      </c>
      <c r="C26" s="6" t="inlineStr">
        <is>
          <t>Sustainability 2030 Updated Targets (Not for distribution) – Qual and Quan worksheets</t>
        </is>
      </c>
    </row>
    <row r="28">
      <c r="B28" s="4" t="inlineStr">
        <is>
          <t>5. Team processes</t>
        </is>
      </c>
    </row>
    <row r="29" ht="20" customHeight="1">
      <c r="B29" s="5" t="inlineStr">
        <is>
          <t>Meetings</t>
        </is>
      </c>
      <c r="C29" s="6" t="inlineStr">
        <is>
          <t>Weekly production meeting (SST + comms/design); standing items: progress, blockers/escalation, decisions.</t>
        </is>
      </c>
    </row>
    <row r="30" ht="20" customHeight="1">
      <c r="B30" s="5" t="inlineStr">
        <is>
          <t>Communication</t>
        </is>
      </c>
      <c r="C30" s="6" t="inlineStr">
        <is>
          <t>Direct messages for individual tasks; group channel for shared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P1. SR26 Project plan on a page</t>
        </is>
      </c>
    </row>
    <row r="4">
      <c r="B4" s="4" t="inlineStr">
        <is>
          <t>Project plan on a page</t>
        </is>
      </c>
    </row>
    <row r="5" ht="20" customHeight="1">
      <c r="B5" s="5" t="inlineStr">
        <is>
          <t>Version control</t>
        </is>
      </c>
      <c r="C5" s="6" t="inlineStr">
        <is>
          <t>DRAFT v0.13 – based on SR26 approach (Sep 2026)</t>
        </is>
      </c>
    </row>
    <row r="6" ht="30" customHeight="1">
      <c r="B6" s="5" t="inlineStr">
        <is>
          <t>Context</t>
        </is>
      </c>
      <c r="C6" s="6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60" customHeight="1">
      <c r="B7" s="5" t="inlineStr">
        <is>
          <t>Objectives / principles</t>
        </is>
      </c>
      <c r="C7" s="6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30" customHeight="1">
      <c r="B8" s="5" t="inlineStr">
        <is>
          <t>Reporting model</t>
        </is>
      </c>
      <c r="C8" s="6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0" customHeight="1">
      <c r="B9" s="5" t="inlineStr">
        <is>
          <t>Workstreams</t>
        </is>
      </c>
      <c r="C9" s="6" t="inlineStr">
        <is>
          <t>Governance • Data collection &amp; analysis (this workbook) • Content development • Communications &amp; web build</t>
        </is>
      </c>
    </row>
    <row r="10" ht="60" customHeight="1">
      <c r="B10" s="5" t="inlineStr">
        <is>
          <t>Key stakeholders</t>
        </is>
      </c>
      <c r="C10" s="6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0" customHeight="1">
      <c r="B11" s="5" t="inlineStr">
        <is>
          <t>Phases</t>
        </is>
      </c>
      <c r="C11" s="6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0" customHeight="1">
      <c r="B12" s="5" t="inlineStr">
        <is>
          <t>Outputs</t>
        </is>
      </c>
      <c r="C12" s="6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0" customHeight="1">
      <c r="B13" s="5" t="inlineStr">
        <is>
          <t>Success measures</t>
        </is>
      </c>
      <c r="C13" s="6" t="inlineStr">
        <is>
          <t>Response rate • Reporting burden • Project effort • Data-quality issues • Web sessions, users and views • Stakeholder feedback</t>
        </is>
      </c>
    </row>
    <row r="15">
      <c r="B15" s="4" t="inlineStr">
        <is>
          <t>Key risks and controls</t>
        </is>
      </c>
    </row>
    <row r="16" ht="20" customHeight="1">
      <c r="B16" s="5" t="inlineStr">
        <is>
          <t>Full-year implication</t>
        </is>
      </c>
      <c r="C16" s="6" t="inlineStr">
        <is>
          <t>Report implies a full year of progress against targets launched 20 Oct → explicit transition-year framing.</t>
        </is>
      </c>
    </row>
    <row r="17" ht="30" customHeight="1">
      <c r="B17" s="5" t="inlineStr">
        <is>
          <t>Onerous requests</t>
        </is>
      </c>
      <c r="C17" s="6" t="inlineStr">
        <is>
          <t>Requests onerous or non-comparable → necessity and usability test; pilot templates; don't ask for data areas can't hold.</t>
        </is>
      </c>
    </row>
    <row r="18" ht="30" customHeight="1">
      <c r="B18" s="5" t="inlineStr">
        <is>
          <t>Databook overlap</t>
        </is>
      </c>
      <c r="C18" s="6" t="inlineStr">
        <is>
          <t>Databook and narrative requests overlap/conflict → one requirements matrix and evidence register; one source of truth per indicator.</t>
        </is>
      </c>
    </row>
    <row r="19" ht="20" customHeight="1">
      <c r="B19" s="5" t="inlineStr">
        <is>
          <t>New working groups</t>
        </is>
      </c>
      <c r="C19" s="6" t="inlineStr">
        <is>
          <t>Asked to evidence delivery before established → maturity-based 2026 request.</t>
        </is>
      </c>
    </row>
    <row r="20" ht="20" customHeight="1">
      <c r="B20" s="5" t="inlineStr">
        <is>
          <t>Case studies dominate</t>
        </is>
      </c>
      <c r="C20" s="6" t="inlineStr">
        <is>
          <t>→ selection criteria: relevance, evidence, outcome, transferability, balance, permission.</t>
        </is>
      </c>
    </row>
    <row r="21" ht="20" customHeight="1">
      <c r="B21" s="5" t="inlineStr">
        <is>
          <t>Late responses</t>
        </is>
      </c>
      <c r="C21" s="6" t="inlineStr">
        <is>
          <t>→ issue requirements early, support meetings, senior sponsorship, escalate gaps.</t>
        </is>
      </c>
    </row>
    <row r="22" ht="20" customHeight="1">
      <c r="B22" s="5" t="inlineStr">
        <is>
          <t>Review group role</t>
        </is>
      </c>
      <c r="C22" s="6" t="inlineStr">
        <is>
          <t>Unclear without traffic lights → approve review criteria and decision rights in advance.</t>
        </is>
      </c>
    </row>
    <row r="23" ht="20" customHeight="1">
      <c r="B23" s="5" t="inlineStr">
        <is>
          <t>Annual Report divergence</t>
        </is>
      </c>
      <c r="C23" s="6" t="inlineStr">
        <is>
          <t>→ engage in October; shared dependency/data map; reconcile shared figures.</t>
        </is>
      </c>
    </row>
    <row r="25">
      <c r="B25" s="4" t="inlineStr">
        <is>
          <t>Decisions required (from SR26 approach)</t>
        </is>
      </c>
    </row>
    <row r="26" ht="20" customHeight="1">
      <c r="B26" s="5" t="inlineStr">
        <is>
          <t>1. Transition-year model</t>
        </is>
      </c>
      <c r="C26" s="6" t="inlineStr">
        <is>
          <t>Director, Sustainability – Approved (internal traffic lights: sub-decision)</t>
        </is>
      </c>
    </row>
    <row r="27" ht="20" customHeight="1">
      <c r="B27" s="5" t="inlineStr">
        <is>
          <t>2. Evidence &amp; engagement model</t>
        </is>
      </c>
      <c r="C27" s="6" t="inlineStr">
        <is>
          <t>Director, Sustainability – Pending (awaiting Stefanus' WIP)</t>
        </is>
      </c>
    </row>
    <row r="28" ht="20" customHeight="1">
      <c r="B28" s="5" t="inlineStr">
        <is>
          <t>3. Assurance &amp; governance pathway</t>
        </is>
      </c>
      <c r="C28" s="6" t="inlineStr">
        <is>
          <t>Director, Sustainability – Closed</t>
        </is>
      </c>
    </row>
    <row r="29" ht="20" customHeight="1">
      <c r="B29" s="5" t="inlineStr">
        <is>
          <t>4. Modern slavery timeline alignment</t>
        </is>
      </c>
      <c r="C29" s="6" t="inlineStr">
        <is>
          <t>Director, Sustainability (and Head of Procurement) – Open, watch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1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11" customWidth="1" min="4" max="4"/>
    <col width="11" customWidth="1" min="5" max="5"/>
    <col width="14" customWidth="1" min="6" max="6"/>
    <col width="16" customWidth="1" min="7" max="7"/>
    <col width="12" customWidth="1" min="8" max="8"/>
    <col width="14" customWidth="1" min="9" max="9"/>
    <col width="10" customWidth="1" min="10" max="10"/>
    <col width="14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P2. Timeline, RASCI &amp; task register</t>
        </is>
      </c>
    </row>
    <row r="3">
      <c r="B3" s="7" t="inlineStr">
        <is>
          <t>Indicative dates from the SR26 approach – confirm governance dates with governance offices. Gantt bars fill automatically from Start/End.</t>
        </is>
      </c>
    </row>
    <row r="8">
      <c r="L8" s="8" t="inlineStr">
        <is>
          <t>Sep</t>
        </is>
      </c>
      <c r="M8" s="8" t="inlineStr"/>
      <c r="N8" s="8" t="inlineStr"/>
      <c r="O8" s="8" t="inlineStr"/>
      <c r="P8" s="8" t="inlineStr">
        <is>
          <t>Oct</t>
        </is>
      </c>
      <c r="Q8" s="8" t="inlineStr"/>
      <c r="R8" s="8" t="inlineStr"/>
      <c r="S8" s="8" t="inlineStr"/>
      <c r="T8" s="8" t="inlineStr">
        <is>
          <t>Nov</t>
        </is>
      </c>
      <c r="U8" s="8" t="inlineStr"/>
      <c r="V8" s="8" t="inlineStr"/>
      <c r="W8" s="8" t="inlineStr"/>
      <c r="X8" s="8" t="inlineStr"/>
      <c r="Y8" s="8" t="inlineStr">
        <is>
          <t>Dec</t>
        </is>
      </c>
      <c r="Z8" s="8" t="inlineStr"/>
      <c r="AA8" s="8" t="inlineStr"/>
      <c r="AB8" s="8" t="inlineStr"/>
      <c r="AC8" s="8" t="inlineStr">
        <is>
          <t>Jan</t>
        </is>
      </c>
      <c r="AD8" s="8" t="inlineStr"/>
      <c r="AE8" s="8" t="inlineStr"/>
      <c r="AF8" s="8" t="inlineStr"/>
      <c r="AG8" s="8" t="inlineStr">
        <is>
          <t>Feb</t>
        </is>
      </c>
      <c r="AH8" s="8" t="inlineStr"/>
      <c r="AI8" s="8" t="inlineStr"/>
      <c r="AJ8" s="8" t="inlineStr"/>
      <c r="AK8" s="8" t="inlineStr">
        <is>
          <t>Mar</t>
        </is>
      </c>
      <c r="AL8" s="8" t="inlineStr"/>
      <c r="AM8" s="8" t="inlineStr"/>
      <c r="AN8" s="8" t="inlineStr"/>
      <c r="AO8" s="8" t="inlineStr"/>
      <c r="AP8" s="8" t="inlineStr">
        <is>
          <t>Apr</t>
        </is>
      </c>
      <c r="AQ8" s="8" t="inlineStr"/>
      <c r="AR8" s="8" t="inlineStr"/>
      <c r="AS8" s="8" t="inlineStr"/>
      <c r="AT8" s="8" t="inlineStr">
        <is>
          <t>May</t>
        </is>
      </c>
      <c r="AU8" s="8" t="inlineStr"/>
      <c r="AV8" s="8" t="inlineStr"/>
      <c r="AW8" s="8" t="inlineStr"/>
      <c r="AX8" s="8" t="inlineStr"/>
      <c r="AY8" s="8" t="inlineStr">
        <is>
          <t>Jun</t>
        </is>
      </c>
      <c r="AZ8" s="8" t="inlineStr"/>
      <c r="BA8" s="8" t="inlineStr"/>
      <c r="BB8" s="8" t="inlineStr"/>
      <c r="BC8" s="8" t="inlineStr">
        <is>
          <t>Jul</t>
        </is>
      </c>
      <c r="BD8" s="8" t="inlineStr"/>
      <c r="BE8" s="8" t="inlineStr"/>
      <c r="BF8" s="8" t="inlineStr"/>
      <c r="BG8" s="8" t="inlineStr">
        <is>
          <t>Aug</t>
        </is>
      </c>
    </row>
    <row r="9">
      <c r="B9" s="9" t="inlineStr">
        <is>
          <t>Phase / key activity</t>
        </is>
      </c>
      <c r="C9" s="9" t="inlineStr">
        <is>
          <t>Key milestone</t>
        </is>
      </c>
      <c r="D9" s="9" t="inlineStr">
        <is>
          <t>Start</t>
        </is>
      </c>
      <c r="E9" s="9" t="inlineStr">
        <is>
          <t>End</t>
        </is>
      </c>
      <c r="F9" s="9" t="inlineStr">
        <is>
          <t>R</t>
        </is>
      </c>
      <c r="G9" s="9" t="inlineStr">
        <is>
          <t>A</t>
        </is>
      </c>
      <c r="H9" s="9" t="inlineStr">
        <is>
          <t>S</t>
        </is>
      </c>
      <c r="I9" s="9" t="inlineStr">
        <is>
          <t>C/I</t>
        </is>
      </c>
      <c r="J9" s="9" t="inlineStr">
        <is>
          <t>Priority</t>
        </is>
      </c>
      <c r="K9" s="9" t="inlineStr">
        <is>
          <t>Status</t>
        </is>
      </c>
      <c r="L9" s="10" t="n">
        <v>46272</v>
      </c>
      <c r="M9" s="10" t="n">
        <v>46279</v>
      </c>
      <c r="N9" s="10" t="n">
        <v>46286</v>
      </c>
      <c r="O9" s="10" t="n">
        <v>46293</v>
      </c>
      <c r="P9" s="10" t="n">
        <v>46300</v>
      </c>
      <c r="Q9" s="10" t="n">
        <v>46307</v>
      </c>
      <c r="R9" s="10" t="n">
        <v>46314</v>
      </c>
      <c r="S9" s="10" t="n">
        <v>46321</v>
      </c>
      <c r="T9" s="10" t="n">
        <v>46328</v>
      </c>
      <c r="U9" s="10" t="n">
        <v>46335</v>
      </c>
      <c r="V9" s="10" t="n">
        <v>46342</v>
      </c>
      <c r="W9" s="10" t="n">
        <v>46349</v>
      </c>
      <c r="X9" s="10" t="n">
        <v>46356</v>
      </c>
      <c r="Y9" s="10" t="n">
        <v>46363</v>
      </c>
      <c r="Z9" s="10" t="n">
        <v>46370</v>
      </c>
      <c r="AA9" s="10" t="n">
        <v>46377</v>
      </c>
      <c r="AB9" s="10" t="n">
        <v>46384</v>
      </c>
      <c r="AC9" s="10" t="n">
        <v>46391</v>
      </c>
      <c r="AD9" s="10" t="n">
        <v>46398</v>
      </c>
      <c r="AE9" s="10" t="n">
        <v>46405</v>
      </c>
      <c r="AF9" s="10" t="n">
        <v>46412</v>
      </c>
      <c r="AG9" s="10" t="n">
        <v>46419</v>
      </c>
      <c r="AH9" s="10" t="n">
        <v>46426</v>
      </c>
      <c r="AI9" s="10" t="n">
        <v>46433</v>
      </c>
      <c r="AJ9" s="10" t="n">
        <v>46440</v>
      </c>
      <c r="AK9" s="10" t="n">
        <v>46447</v>
      </c>
      <c r="AL9" s="10" t="n">
        <v>46454</v>
      </c>
      <c r="AM9" s="10" t="n">
        <v>46461</v>
      </c>
      <c r="AN9" s="10" t="n">
        <v>46468</v>
      </c>
      <c r="AO9" s="10" t="n">
        <v>46475</v>
      </c>
      <c r="AP9" s="10" t="n">
        <v>46482</v>
      </c>
      <c r="AQ9" s="10" t="n">
        <v>46489</v>
      </c>
      <c r="AR9" s="10" t="n">
        <v>46496</v>
      </c>
      <c r="AS9" s="10" t="n">
        <v>46503</v>
      </c>
      <c r="AT9" s="10" t="n">
        <v>46510</v>
      </c>
      <c r="AU9" s="10" t="n">
        <v>46517</v>
      </c>
      <c r="AV9" s="10" t="n">
        <v>46524</v>
      </c>
      <c r="AW9" s="10" t="n">
        <v>46531</v>
      </c>
      <c r="AX9" s="10" t="n">
        <v>46538</v>
      </c>
      <c r="AY9" s="10" t="n">
        <v>46545</v>
      </c>
      <c r="AZ9" s="10" t="n">
        <v>46552</v>
      </c>
      <c r="BA9" s="10" t="n">
        <v>46559</v>
      </c>
      <c r="BB9" s="10" t="n">
        <v>46566</v>
      </c>
      <c r="BC9" s="10" t="n">
        <v>46573</v>
      </c>
      <c r="BD9" s="10" t="n">
        <v>46580</v>
      </c>
      <c r="BE9" s="10" t="n">
        <v>46587</v>
      </c>
      <c r="BF9" s="10" t="n">
        <v>46594</v>
      </c>
      <c r="BG9" s="10" t="n">
        <v>46601</v>
      </c>
    </row>
    <row r="10">
      <c r="B10" s="11" t="inlineStr">
        <is>
          <t>Project set-up (Sep–Oct 2026)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</row>
    <row r="11">
      <c r="B11" s="13" t="inlineStr">
        <is>
          <t>Confirm scope, reporting model, governance pathway and decisions</t>
        </is>
      </c>
      <c r="C11" s="13" t="inlineStr">
        <is>
          <t>Decision log</t>
        </is>
      </c>
      <c r="D11" s="14" t="n">
        <v>46279</v>
      </c>
      <c r="E11" s="14" t="n">
        <v>46311</v>
      </c>
      <c r="F11" s="13" t="inlineStr">
        <is>
          <t>SST</t>
        </is>
      </c>
      <c r="G11" s="13" t="inlineStr">
        <is>
          <t>Director, Sustainability</t>
        </is>
      </c>
      <c r="H11" s="13" t="inlineStr"/>
      <c r="I11" s="13" t="inlineStr">
        <is>
          <t>VCAG (I)</t>
        </is>
      </c>
      <c r="J11" s="13" t="inlineStr">
        <is>
          <t>High</t>
        </is>
      </c>
      <c r="K11" s="13" t="inlineStr">
        <is>
          <t>Not yet started</t>
        </is>
      </c>
      <c r="L11">
        <f>IF(AND(L$9+6&gt;=$D11,L$9&lt;=$E11),1,"")</f>
        <v/>
      </c>
      <c r="M11">
        <f>IF(AND(M$9+6&gt;=$D11,M$9&lt;=$E11),1,"")</f>
        <v/>
      </c>
      <c r="N11">
        <f>IF(AND(N$9+6&gt;=$D11,N$9&lt;=$E11),1,"")</f>
        <v/>
      </c>
      <c r="O11">
        <f>IF(AND(O$9+6&gt;=$D11,O$9&lt;=$E11),1,"")</f>
        <v/>
      </c>
      <c r="P11">
        <f>IF(AND(P$9+6&gt;=$D11,P$9&lt;=$E11),1,"")</f>
        <v/>
      </c>
      <c r="Q11">
        <f>IF(AND(Q$9+6&gt;=$D11,Q$9&lt;=$E11),1,"")</f>
        <v/>
      </c>
      <c r="R11">
        <f>IF(AND(R$9+6&gt;=$D11,R$9&lt;=$E11),1,"")</f>
        <v/>
      </c>
      <c r="S11">
        <f>IF(AND(S$9+6&gt;=$D11,S$9&lt;=$E11),1,"")</f>
        <v/>
      </c>
      <c r="T11">
        <f>IF(AND(T$9+6&gt;=$D11,T$9&lt;=$E11),1,"")</f>
        <v/>
      </c>
      <c r="U11">
        <f>IF(AND(U$9+6&gt;=$D11,U$9&lt;=$E11),1,"")</f>
        <v/>
      </c>
      <c r="V11">
        <f>IF(AND(V$9+6&gt;=$D11,V$9&lt;=$E11),1,"")</f>
        <v/>
      </c>
      <c r="W11">
        <f>IF(AND(W$9+6&gt;=$D11,W$9&lt;=$E11),1,"")</f>
        <v/>
      </c>
      <c r="X11">
        <f>IF(AND(X$9+6&gt;=$D11,X$9&lt;=$E11),1,"")</f>
        <v/>
      </c>
      <c r="Y11">
        <f>IF(AND(Y$9+6&gt;=$D11,Y$9&lt;=$E11),1,"")</f>
        <v/>
      </c>
      <c r="Z11">
        <f>IF(AND(Z$9+6&gt;=$D11,Z$9&lt;=$E11),1,"")</f>
        <v/>
      </c>
      <c r="AA11">
        <f>IF(AND(AA$9+6&gt;=$D11,AA$9&lt;=$E11),1,"")</f>
        <v/>
      </c>
      <c r="AB11">
        <f>IF(AND(AB$9+6&gt;=$D11,AB$9&lt;=$E11),1,"")</f>
        <v/>
      </c>
      <c r="AC11">
        <f>IF(AND(AC$9+6&gt;=$D11,AC$9&lt;=$E11),1,"")</f>
        <v/>
      </c>
      <c r="AD11">
        <f>IF(AND(AD$9+6&gt;=$D11,AD$9&lt;=$E11),1,"")</f>
        <v/>
      </c>
      <c r="AE11">
        <f>IF(AND(AE$9+6&gt;=$D11,AE$9&lt;=$E11),1,"")</f>
        <v/>
      </c>
      <c r="AF11">
        <f>IF(AND(AF$9+6&gt;=$D11,AF$9&lt;=$E11),1,"")</f>
        <v/>
      </c>
      <c r="AG11">
        <f>IF(AND(AG$9+6&gt;=$D11,AG$9&lt;=$E11),1,"")</f>
        <v/>
      </c>
      <c r="AH11">
        <f>IF(AND(AH$9+6&gt;=$D11,AH$9&lt;=$E11),1,"")</f>
        <v/>
      </c>
      <c r="AI11">
        <f>IF(AND(AI$9+6&gt;=$D11,AI$9&lt;=$E11),1,"")</f>
        <v/>
      </c>
      <c r="AJ11">
        <f>IF(AND(AJ$9+6&gt;=$D11,AJ$9&lt;=$E11),1,"")</f>
        <v/>
      </c>
      <c r="AK11">
        <f>IF(AND(AK$9+6&gt;=$D11,AK$9&lt;=$E11),1,"")</f>
        <v/>
      </c>
      <c r="AL11">
        <f>IF(AND(AL$9+6&gt;=$D11,AL$9&lt;=$E11),1,"")</f>
        <v/>
      </c>
      <c r="AM11">
        <f>IF(AND(AM$9+6&gt;=$D11,AM$9&lt;=$E11),1,"")</f>
        <v/>
      </c>
      <c r="AN11">
        <f>IF(AND(AN$9+6&gt;=$D11,AN$9&lt;=$E11),1,"")</f>
        <v/>
      </c>
      <c r="AO11">
        <f>IF(AND(AO$9+6&gt;=$D11,AO$9&lt;=$E11),1,"")</f>
        <v/>
      </c>
      <c r="AP11">
        <f>IF(AND(AP$9+6&gt;=$D11,AP$9&lt;=$E11),1,"")</f>
        <v/>
      </c>
      <c r="AQ11">
        <f>IF(AND(AQ$9+6&gt;=$D11,AQ$9&lt;=$E11),1,"")</f>
        <v/>
      </c>
      <c r="AR11">
        <f>IF(AND(AR$9+6&gt;=$D11,AR$9&lt;=$E11),1,"")</f>
        <v/>
      </c>
      <c r="AS11">
        <f>IF(AND(AS$9+6&gt;=$D11,AS$9&lt;=$E11),1,"")</f>
        <v/>
      </c>
      <c r="AT11">
        <f>IF(AND(AT$9+6&gt;=$D11,AT$9&lt;=$E11),1,"")</f>
        <v/>
      </c>
      <c r="AU11">
        <f>IF(AND(AU$9+6&gt;=$D11,AU$9&lt;=$E11),1,"")</f>
        <v/>
      </c>
      <c r="AV11">
        <f>IF(AND(AV$9+6&gt;=$D11,AV$9&lt;=$E11),1,"")</f>
        <v/>
      </c>
      <c r="AW11">
        <f>IF(AND(AW$9+6&gt;=$D11,AW$9&lt;=$E11),1,"")</f>
        <v/>
      </c>
      <c r="AX11">
        <f>IF(AND(AX$9+6&gt;=$D11,AX$9&lt;=$E11),1,"")</f>
        <v/>
      </c>
      <c r="AY11">
        <f>IF(AND(AY$9+6&gt;=$D11,AY$9&lt;=$E11),1,"")</f>
        <v/>
      </c>
      <c r="AZ11">
        <f>IF(AND(AZ$9+6&gt;=$D11,AZ$9&lt;=$E11),1,"")</f>
        <v/>
      </c>
      <c r="BA11">
        <f>IF(AND(BA$9+6&gt;=$D11,BA$9&lt;=$E11),1,"")</f>
        <v/>
      </c>
      <c r="BB11">
        <f>IF(AND(BB$9+6&gt;=$D11,BB$9&lt;=$E11),1,"")</f>
        <v/>
      </c>
      <c r="BC11">
        <f>IF(AND(BC$9+6&gt;=$D11,BC$9&lt;=$E11),1,"")</f>
        <v/>
      </c>
      <c r="BD11">
        <f>IF(AND(BD$9+6&gt;=$D11,BD$9&lt;=$E11),1,"")</f>
        <v/>
      </c>
      <c r="BE11">
        <f>IF(AND(BE$9+6&gt;=$D11,BE$9&lt;=$E11),1,"")</f>
        <v/>
      </c>
      <c r="BF11">
        <f>IF(AND(BF$9+6&gt;=$D11,BF$9&lt;=$E11),1,"")</f>
        <v/>
      </c>
      <c r="BG11">
        <f>IF(AND(BG$9+6&gt;=$D11,BG$9&lt;=$E11),1,"")</f>
        <v/>
      </c>
    </row>
    <row r="12">
      <c r="B12" s="13" t="inlineStr">
        <is>
          <t>Project charter, schedule, RASCI, decision log, issues register</t>
        </is>
      </c>
      <c r="C12" s="13" t="inlineStr">
        <is>
          <t>Approved by Oct</t>
        </is>
      </c>
      <c r="D12" s="14" t="n">
        <v>46293</v>
      </c>
      <c r="E12" s="14" t="n">
        <v>46318</v>
      </c>
      <c r="F12" s="13" t="inlineStr">
        <is>
          <t>SST</t>
        </is>
      </c>
      <c r="G12" s="13" t="inlineStr">
        <is>
          <t>Director, Sustainability</t>
        </is>
      </c>
      <c r="H12" s="13" t="inlineStr"/>
      <c r="I12" s="13" t="inlineStr">
        <is>
          <t>Comms, design</t>
        </is>
      </c>
      <c r="J12" s="13" t="inlineStr">
        <is>
          <t>High</t>
        </is>
      </c>
      <c r="K12" s="13" t="inlineStr">
        <is>
          <t>Not yet started</t>
        </is>
      </c>
      <c r="L12">
        <f>IF(AND(L$9+6&gt;=$D12,L$9&lt;=$E12),1,"")</f>
        <v/>
      </c>
      <c r="M12">
        <f>IF(AND(M$9+6&gt;=$D12,M$9&lt;=$E12),1,"")</f>
        <v/>
      </c>
      <c r="N12">
        <f>IF(AND(N$9+6&gt;=$D12,N$9&lt;=$E12),1,"")</f>
        <v/>
      </c>
      <c r="O12">
        <f>IF(AND(O$9+6&gt;=$D12,O$9&lt;=$E12),1,"")</f>
        <v/>
      </c>
      <c r="P12">
        <f>IF(AND(P$9+6&gt;=$D12,P$9&lt;=$E12),1,"")</f>
        <v/>
      </c>
      <c r="Q12">
        <f>IF(AND(Q$9+6&gt;=$D12,Q$9&lt;=$E12),1,"")</f>
        <v/>
      </c>
      <c r="R12">
        <f>IF(AND(R$9+6&gt;=$D12,R$9&lt;=$E12),1,"")</f>
        <v/>
      </c>
      <c r="S12">
        <f>IF(AND(S$9+6&gt;=$D12,S$9&lt;=$E12),1,"")</f>
        <v/>
      </c>
      <c r="T12">
        <f>IF(AND(T$9+6&gt;=$D12,T$9&lt;=$E12),1,"")</f>
        <v/>
      </c>
      <c r="U12">
        <f>IF(AND(U$9+6&gt;=$D12,U$9&lt;=$E12),1,"")</f>
        <v/>
      </c>
      <c r="V12">
        <f>IF(AND(V$9+6&gt;=$D12,V$9&lt;=$E12),1,"")</f>
        <v/>
      </c>
      <c r="W12">
        <f>IF(AND(W$9+6&gt;=$D12,W$9&lt;=$E12),1,"")</f>
        <v/>
      </c>
      <c r="X12">
        <f>IF(AND(X$9+6&gt;=$D12,X$9&lt;=$E12),1,"")</f>
        <v/>
      </c>
      <c r="Y12">
        <f>IF(AND(Y$9+6&gt;=$D12,Y$9&lt;=$E12),1,"")</f>
        <v/>
      </c>
      <c r="Z12">
        <f>IF(AND(Z$9+6&gt;=$D12,Z$9&lt;=$E12),1,"")</f>
        <v/>
      </c>
      <c r="AA12">
        <f>IF(AND(AA$9+6&gt;=$D12,AA$9&lt;=$E12),1,"")</f>
        <v/>
      </c>
      <c r="AB12">
        <f>IF(AND(AB$9+6&gt;=$D12,AB$9&lt;=$E12),1,"")</f>
        <v/>
      </c>
      <c r="AC12">
        <f>IF(AND(AC$9+6&gt;=$D12,AC$9&lt;=$E12),1,"")</f>
        <v/>
      </c>
      <c r="AD12">
        <f>IF(AND(AD$9+6&gt;=$D12,AD$9&lt;=$E12),1,"")</f>
        <v/>
      </c>
      <c r="AE12">
        <f>IF(AND(AE$9+6&gt;=$D12,AE$9&lt;=$E12),1,"")</f>
        <v/>
      </c>
      <c r="AF12">
        <f>IF(AND(AF$9+6&gt;=$D12,AF$9&lt;=$E12),1,"")</f>
        <v/>
      </c>
      <c r="AG12">
        <f>IF(AND(AG$9+6&gt;=$D12,AG$9&lt;=$E12),1,"")</f>
        <v/>
      </c>
      <c r="AH12">
        <f>IF(AND(AH$9+6&gt;=$D12,AH$9&lt;=$E12),1,"")</f>
        <v/>
      </c>
      <c r="AI12">
        <f>IF(AND(AI$9+6&gt;=$D12,AI$9&lt;=$E12),1,"")</f>
        <v/>
      </c>
      <c r="AJ12">
        <f>IF(AND(AJ$9+6&gt;=$D12,AJ$9&lt;=$E12),1,"")</f>
        <v/>
      </c>
      <c r="AK12">
        <f>IF(AND(AK$9+6&gt;=$D12,AK$9&lt;=$E12),1,"")</f>
        <v/>
      </c>
      <c r="AL12">
        <f>IF(AND(AL$9+6&gt;=$D12,AL$9&lt;=$E12),1,"")</f>
        <v/>
      </c>
      <c r="AM12">
        <f>IF(AND(AM$9+6&gt;=$D12,AM$9&lt;=$E12),1,"")</f>
        <v/>
      </c>
      <c r="AN12">
        <f>IF(AND(AN$9+6&gt;=$D12,AN$9&lt;=$E12),1,"")</f>
        <v/>
      </c>
      <c r="AO12">
        <f>IF(AND(AO$9+6&gt;=$D12,AO$9&lt;=$E12),1,"")</f>
        <v/>
      </c>
      <c r="AP12">
        <f>IF(AND(AP$9+6&gt;=$D12,AP$9&lt;=$E12),1,"")</f>
        <v/>
      </c>
      <c r="AQ12">
        <f>IF(AND(AQ$9+6&gt;=$D12,AQ$9&lt;=$E12),1,"")</f>
        <v/>
      </c>
      <c r="AR12">
        <f>IF(AND(AR$9+6&gt;=$D12,AR$9&lt;=$E12),1,"")</f>
        <v/>
      </c>
      <c r="AS12">
        <f>IF(AND(AS$9+6&gt;=$D12,AS$9&lt;=$E12),1,"")</f>
        <v/>
      </c>
      <c r="AT12">
        <f>IF(AND(AT$9+6&gt;=$D12,AT$9&lt;=$E12),1,"")</f>
        <v/>
      </c>
      <c r="AU12">
        <f>IF(AND(AU$9+6&gt;=$D12,AU$9&lt;=$E12),1,"")</f>
        <v/>
      </c>
      <c r="AV12">
        <f>IF(AND(AV$9+6&gt;=$D12,AV$9&lt;=$E12),1,"")</f>
        <v/>
      </c>
      <c r="AW12">
        <f>IF(AND(AW$9+6&gt;=$D12,AW$9&lt;=$E12),1,"")</f>
        <v/>
      </c>
      <c r="AX12">
        <f>IF(AND(AX$9+6&gt;=$D12,AX$9&lt;=$E12),1,"")</f>
        <v/>
      </c>
      <c r="AY12">
        <f>IF(AND(AY$9+6&gt;=$D12,AY$9&lt;=$E12),1,"")</f>
        <v/>
      </c>
      <c r="AZ12">
        <f>IF(AND(AZ$9+6&gt;=$D12,AZ$9&lt;=$E12),1,"")</f>
        <v/>
      </c>
      <c r="BA12">
        <f>IF(AND(BA$9+6&gt;=$D12,BA$9&lt;=$E12),1,"")</f>
        <v/>
      </c>
      <c r="BB12">
        <f>IF(AND(BB$9+6&gt;=$D12,BB$9&lt;=$E12),1,"")</f>
        <v/>
      </c>
      <c r="BC12">
        <f>IF(AND(BC$9+6&gt;=$D12,BC$9&lt;=$E12),1,"")</f>
        <v/>
      </c>
      <c r="BD12">
        <f>IF(AND(BD$9+6&gt;=$D12,BD$9&lt;=$E12),1,"")</f>
        <v/>
      </c>
      <c r="BE12">
        <f>IF(AND(BE$9+6&gt;=$D12,BE$9&lt;=$E12),1,"")</f>
        <v/>
      </c>
      <c r="BF12">
        <f>IF(AND(BF$9+6&gt;=$D12,BF$9&lt;=$E12),1,"")</f>
        <v/>
      </c>
      <c r="BG12">
        <f>IF(AND(BG$9+6&gt;=$D12,BG$9&lt;=$E12),1,"")</f>
        <v/>
      </c>
    </row>
    <row r="13">
      <c r="B13" s="13" t="inlineStr">
        <is>
          <t>Map refreshed targets/indicators to Databook, systems, owners</t>
        </is>
      </c>
      <c r="C13" s="13" t="inlineStr">
        <is>
          <t>Requirements matrix</t>
        </is>
      </c>
      <c r="D13" s="14" t="n">
        <v>46286</v>
      </c>
      <c r="E13" s="14" t="n">
        <v>46311</v>
      </c>
      <c r="F13" s="13" t="inlineStr">
        <is>
          <t>Stefanus</t>
        </is>
      </c>
      <c r="G13" s="13" t="inlineStr">
        <is>
          <t>Gerard Healey</t>
        </is>
      </c>
      <c r="H13" s="13" t="inlineStr">
        <is>
          <t>Rose</t>
        </is>
      </c>
      <c r="I13" s="13" t="inlineStr">
        <is>
          <t>Data owners</t>
        </is>
      </c>
      <c r="J13" s="13" t="inlineStr">
        <is>
          <t>High</t>
        </is>
      </c>
      <c r="K13" s="13" t="inlineStr">
        <is>
          <t>Not yet started</t>
        </is>
      </c>
      <c r="L13">
        <f>IF(AND(L$9+6&gt;=$D13,L$9&lt;=$E13),1,"")</f>
        <v/>
      </c>
      <c r="M13">
        <f>IF(AND(M$9+6&gt;=$D13,M$9&lt;=$E13),1,"")</f>
        <v/>
      </c>
      <c r="N13">
        <f>IF(AND(N$9+6&gt;=$D13,N$9&lt;=$E13),1,"")</f>
        <v/>
      </c>
      <c r="O13">
        <f>IF(AND(O$9+6&gt;=$D13,O$9&lt;=$E13),1,"")</f>
        <v/>
      </c>
      <c r="P13">
        <f>IF(AND(P$9+6&gt;=$D13,P$9&lt;=$E13),1,"")</f>
        <v/>
      </c>
      <c r="Q13">
        <f>IF(AND(Q$9+6&gt;=$D13,Q$9&lt;=$E13),1,"")</f>
        <v/>
      </c>
      <c r="R13">
        <f>IF(AND(R$9+6&gt;=$D13,R$9&lt;=$E13),1,"")</f>
        <v/>
      </c>
      <c r="S13">
        <f>IF(AND(S$9+6&gt;=$D13,S$9&lt;=$E13),1,"")</f>
        <v/>
      </c>
      <c r="T13">
        <f>IF(AND(T$9+6&gt;=$D13,T$9&lt;=$E13),1,"")</f>
        <v/>
      </c>
      <c r="U13">
        <f>IF(AND(U$9+6&gt;=$D13,U$9&lt;=$E13),1,"")</f>
        <v/>
      </c>
      <c r="V13">
        <f>IF(AND(V$9+6&gt;=$D13,V$9&lt;=$E13),1,"")</f>
        <v/>
      </c>
      <c r="W13">
        <f>IF(AND(W$9+6&gt;=$D13,W$9&lt;=$E13),1,"")</f>
        <v/>
      </c>
      <c r="X13">
        <f>IF(AND(X$9+6&gt;=$D13,X$9&lt;=$E13),1,"")</f>
        <v/>
      </c>
      <c r="Y13">
        <f>IF(AND(Y$9+6&gt;=$D13,Y$9&lt;=$E13),1,"")</f>
        <v/>
      </c>
      <c r="Z13">
        <f>IF(AND(Z$9+6&gt;=$D13,Z$9&lt;=$E13),1,"")</f>
        <v/>
      </c>
      <c r="AA13">
        <f>IF(AND(AA$9+6&gt;=$D13,AA$9&lt;=$E13),1,"")</f>
        <v/>
      </c>
      <c r="AB13">
        <f>IF(AND(AB$9+6&gt;=$D13,AB$9&lt;=$E13),1,"")</f>
        <v/>
      </c>
      <c r="AC13">
        <f>IF(AND(AC$9+6&gt;=$D13,AC$9&lt;=$E13),1,"")</f>
        <v/>
      </c>
      <c r="AD13">
        <f>IF(AND(AD$9+6&gt;=$D13,AD$9&lt;=$E13),1,"")</f>
        <v/>
      </c>
      <c r="AE13">
        <f>IF(AND(AE$9+6&gt;=$D13,AE$9&lt;=$E13),1,"")</f>
        <v/>
      </c>
      <c r="AF13">
        <f>IF(AND(AF$9+6&gt;=$D13,AF$9&lt;=$E13),1,"")</f>
        <v/>
      </c>
      <c r="AG13">
        <f>IF(AND(AG$9+6&gt;=$D13,AG$9&lt;=$E13),1,"")</f>
        <v/>
      </c>
      <c r="AH13">
        <f>IF(AND(AH$9+6&gt;=$D13,AH$9&lt;=$E13),1,"")</f>
        <v/>
      </c>
      <c r="AI13">
        <f>IF(AND(AI$9+6&gt;=$D13,AI$9&lt;=$E13),1,"")</f>
        <v/>
      </c>
      <c r="AJ13">
        <f>IF(AND(AJ$9+6&gt;=$D13,AJ$9&lt;=$E13),1,"")</f>
        <v/>
      </c>
      <c r="AK13">
        <f>IF(AND(AK$9+6&gt;=$D13,AK$9&lt;=$E13),1,"")</f>
        <v/>
      </c>
      <c r="AL13">
        <f>IF(AND(AL$9+6&gt;=$D13,AL$9&lt;=$E13),1,"")</f>
        <v/>
      </c>
      <c r="AM13">
        <f>IF(AND(AM$9+6&gt;=$D13,AM$9&lt;=$E13),1,"")</f>
        <v/>
      </c>
      <c r="AN13">
        <f>IF(AND(AN$9+6&gt;=$D13,AN$9&lt;=$E13),1,"")</f>
        <v/>
      </c>
      <c r="AO13">
        <f>IF(AND(AO$9+6&gt;=$D13,AO$9&lt;=$E13),1,"")</f>
        <v/>
      </c>
      <c r="AP13">
        <f>IF(AND(AP$9+6&gt;=$D13,AP$9&lt;=$E13),1,"")</f>
        <v/>
      </c>
      <c r="AQ13">
        <f>IF(AND(AQ$9+6&gt;=$D13,AQ$9&lt;=$E13),1,"")</f>
        <v/>
      </c>
      <c r="AR13">
        <f>IF(AND(AR$9+6&gt;=$D13,AR$9&lt;=$E13),1,"")</f>
        <v/>
      </c>
      <c r="AS13">
        <f>IF(AND(AS$9+6&gt;=$D13,AS$9&lt;=$E13),1,"")</f>
        <v/>
      </c>
      <c r="AT13">
        <f>IF(AND(AT$9+6&gt;=$D13,AT$9&lt;=$E13),1,"")</f>
        <v/>
      </c>
      <c r="AU13">
        <f>IF(AND(AU$9+6&gt;=$D13,AU$9&lt;=$E13),1,"")</f>
        <v/>
      </c>
      <c r="AV13">
        <f>IF(AND(AV$9+6&gt;=$D13,AV$9&lt;=$E13),1,"")</f>
        <v/>
      </c>
      <c r="AW13">
        <f>IF(AND(AW$9+6&gt;=$D13,AW$9&lt;=$E13),1,"")</f>
        <v/>
      </c>
      <c r="AX13">
        <f>IF(AND(AX$9+6&gt;=$D13,AX$9&lt;=$E13),1,"")</f>
        <v/>
      </c>
      <c r="AY13">
        <f>IF(AND(AY$9+6&gt;=$D13,AY$9&lt;=$E13),1,"")</f>
        <v/>
      </c>
      <c r="AZ13">
        <f>IF(AND(AZ$9+6&gt;=$D13,AZ$9&lt;=$E13),1,"")</f>
        <v/>
      </c>
      <c r="BA13">
        <f>IF(AND(BA$9+6&gt;=$D13,BA$9&lt;=$E13),1,"")</f>
        <v/>
      </c>
      <c r="BB13">
        <f>IF(AND(BB$9+6&gt;=$D13,BB$9&lt;=$E13),1,"")</f>
        <v/>
      </c>
      <c r="BC13">
        <f>IF(AND(BC$9+6&gt;=$D13,BC$9&lt;=$E13),1,"")</f>
        <v/>
      </c>
      <c r="BD13">
        <f>IF(AND(BD$9+6&gt;=$D13,BD$9&lt;=$E13),1,"")</f>
        <v/>
      </c>
      <c r="BE13">
        <f>IF(AND(BE$9+6&gt;=$D13,BE$9&lt;=$E13),1,"")</f>
        <v/>
      </c>
      <c r="BF13">
        <f>IF(AND(BF$9+6&gt;=$D13,BF$9&lt;=$E13),1,"")</f>
        <v/>
      </c>
      <c r="BG13">
        <f>IF(AND(BG$9+6&gt;=$D13,BG$9&lt;=$E13),1,"")</f>
        <v/>
      </c>
    </row>
    <row r="14">
      <c r="B14" s="13" t="inlineStr">
        <is>
          <t>Confirm stakeholder structure (CGOP/CDEP/CDSS) and owners (Gerard: resilience, estate)</t>
        </is>
      </c>
      <c r="C14" s="13" t="inlineStr">
        <is>
          <t>Stakeholder map</t>
        </is>
      </c>
      <c r="D14" s="14" t="n">
        <v>46300</v>
      </c>
      <c r="E14" s="14" t="n">
        <v>46311</v>
      </c>
      <c r="F14" s="13" t="inlineStr">
        <is>
          <t>Stefanus</t>
        </is>
      </c>
      <c r="G14" s="13" t="inlineStr">
        <is>
          <t>Gerard Healey</t>
        </is>
      </c>
      <c r="H14" s="13" t="inlineStr"/>
      <c r="I14" s="13" t="inlineStr"/>
      <c r="J14" s="13" t="inlineStr">
        <is>
          <t>High</t>
        </is>
      </c>
      <c r="K14" s="13" t="inlineStr">
        <is>
          <t>Not yet started</t>
        </is>
      </c>
      <c r="L14">
        <f>IF(AND(L$9+6&gt;=$D14,L$9&lt;=$E14),1,"")</f>
        <v/>
      </c>
      <c r="M14">
        <f>IF(AND(M$9+6&gt;=$D14,M$9&lt;=$E14),1,"")</f>
        <v/>
      </c>
      <c r="N14">
        <f>IF(AND(N$9+6&gt;=$D14,N$9&lt;=$E14),1,"")</f>
        <v/>
      </c>
      <c r="O14">
        <f>IF(AND(O$9+6&gt;=$D14,O$9&lt;=$E14),1,"")</f>
        <v/>
      </c>
      <c r="P14">
        <f>IF(AND(P$9+6&gt;=$D14,P$9&lt;=$E14),1,"")</f>
        <v/>
      </c>
      <c r="Q14">
        <f>IF(AND(Q$9+6&gt;=$D14,Q$9&lt;=$E14),1,"")</f>
        <v/>
      </c>
      <c r="R14">
        <f>IF(AND(R$9+6&gt;=$D14,R$9&lt;=$E14),1,"")</f>
        <v/>
      </c>
      <c r="S14">
        <f>IF(AND(S$9+6&gt;=$D14,S$9&lt;=$E14),1,"")</f>
        <v/>
      </c>
      <c r="T14">
        <f>IF(AND(T$9+6&gt;=$D14,T$9&lt;=$E14),1,"")</f>
        <v/>
      </c>
      <c r="U14">
        <f>IF(AND(U$9+6&gt;=$D14,U$9&lt;=$E14),1,"")</f>
        <v/>
      </c>
      <c r="V14">
        <f>IF(AND(V$9+6&gt;=$D14,V$9&lt;=$E14),1,"")</f>
        <v/>
      </c>
      <c r="W14">
        <f>IF(AND(W$9+6&gt;=$D14,W$9&lt;=$E14),1,"")</f>
        <v/>
      </c>
      <c r="X14">
        <f>IF(AND(X$9+6&gt;=$D14,X$9&lt;=$E14),1,"")</f>
        <v/>
      </c>
      <c r="Y14">
        <f>IF(AND(Y$9+6&gt;=$D14,Y$9&lt;=$E14),1,"")</f>
        <v/>
      </c>
      <c r="Z14">
        <f>IF(AND(Z$9+6&gt;=$D14,Z$9&lt;=$E14),1,"")</f>
        <v/>
      </c>
      <c r="AA14">
        <f>IF(AND(AA$9+6&gt;=$D14,AA$9&lt;=$E14),1,"")</f>
        <v/>
      </c>
      <c r="AB14">
        <f>IF(AND(AB$9+6&gt;=$D14,AB$9&lt;=$E14),1,"")</f>
        <v/>
      </c>
      <c r="AC14">
        <f>IF(AND(AC$9+6&gt;=$D14,AC$9&lt;=$E14),1,"")</f>
        <v/>
      </c>
      <c r="AD14">
        <f>IF(AND(AD$9+6&gt;=$D14,AD$9&lt;=$E14),1,"")</f>
        <v/>
      </c>
      <c r="AE14">
        <f>IF(AND(AE$9+6&gt;=$D14,AE$9&lt;=$E14),1,"")</f>
        <v/>
      </c>
      <c r="AF14">
        <f>IF(AND(AF$9+6&gt;=$D14,AF$9&lt;=$E14),1,"")</f>
        <v/>
      </c>
      <c r="AG14">
        <f>IF(AND(AG$9+6&gt;=$D14,AG$9&lt;=$E14),1,"")</f>
        <v/>
      </c>
      <c r="AH14">
        <f>IF(AND(AH$9+6&gt;=$D14,AH$9&lt;=$E14),1,"")</f>
        <v/>
      </c>
      <c r="AI14">
        <f>IF(AND(AI$9+6&gt;=$D14,AI$9&lt;=$E14),1,"")</f>
        <v/>
      </c>
      <c r="AJ14">
        <f>IF(AND(AJ$9+6&gt;=$D14,AJ$9&lt;=$E14),1,"")</f>
        <v/>
      </c>
      <c r="AK14">
        <f>IF(AND(AK$9+6&gt;=$D14,AK$9&lt;=$E14),1,"")</f>
        <v/>
      </c>
      <c r="AL14">
        <f>IF(AND(AL$9+6&gt;=$D14,AL$9&lt;=$E14),1,"")</f>
        <v/>
      </c>
      <c r="AM14">
        <f>IF(AND(AM$9+6&gt;=$D14,AM$9&lt;=$E14),1,"")</f>
        <v/>
      </c>
      <c r="AN14">
        <f>IF(AND(AN$9+6&gt;=$D14,AN$9&lt;=$E14),1,"")</f>
        <v/>
      </c>
      <c r="AO14">
        <f>IF(AND(AO$9+6&gt;=$D14,AO$9&lt;=$E14),1,"")</f>
        <v/>
      </c>
      <c r="AP14">
        <f>IF(AND(AP$9+6&gt;=$D14,AP$9&lt;=$E14),1,"")</f>
        <v/>
      </c>
      <c r="AQ14">
        <f>IF(AND(AQ$9+6&gt;=$D14,AQ$9&lt;=$E14),1,"")</f>
        <v/>
      </c>
      <c r="AR14">
        <f>IF(AND(AR$9+6&gt;=$D14,AR$9&lt;=$E14),1,"")</f>
        <v/>
      </c>
      <c r="AS14">
        <f>IF(AND(AS$9+6&gt;=$D14,AS$9&lt;=$E14),1,"")</f>
        <v/>
      </c>
      <c r="AT14">
        <f>IF(AND(AT$9+6&gt;=$D14,AT$9&lt;=$E14),1,"")</f>
        <v/>
      </c>
      <c r="AU14">
        <f>IF(AND(AU$9+6&gt;=$D14,AU$9&lt;=$E14),1,"")</f>
        <v/>
      </c>
      <c r="AV14">
        <f>IF(AND(AV$9+6&gt;=$D14,AV$9&lt;=$E14),1,"")</f>
        <v/>
      </c>
      <c r="AW14">
        <f>IF(AND(AW$9+6&gt;=$D14,AW$9&lt;=$E14),1,"")</f>
        <v/>
      </c>
      <c r="AX14">
        <f>IF(AND(AX$9+6&gt;=$D14,AX$9&lt;=$E14),1,"")</f>
        <v/>
      </c>
      <c r="AY14">
        <f>IF(AND(AY$9+6&gt;=$D14,AY$9&lt;=$E14),1,"")</f>
        <v/>
      </c>
      <c r="AZ14">
        <f>IF(AND(AZ$9+6&gt;=$D14,AZ$9&lt;=$E14),1,"")</f>
        <v/>
      </c>
      <c r="BA14">
        <f>IF(AND(BA$9+6&gt;=$D14,BA$9&lt;=$E14),1,"")</f>
        <v/>
      </c>
      <c r="BB14">
        <f>IF(AND(BB$9+6&gt;=$D14,BB$9&lt;=$E14),1,"")</f>
        <v/>
      </c>
      <c r="BC14">
        <f>IF(AND(BC$9+6&gt;=$D14,BC$9&lt;=$E14),1,"")</f>
        <v/>
      </c>
      <c r="BD14">
        <f>IF(AND(BD$9+6&gt;=$D14,BD$9&lt;=$E14),1,"")</f>
        <v/>
      </c>
      <c r="BE14">
        <f>IF(AND(BE$9+6&gt;=$D14,BE$9&lt;=$E14),1,"")</f>
        <v/>
      </c>
      <c r="BF14">
        <f>IF(AND(BF$9+6&gt;=$D14,BF$9&lt;=$E14),1,"")</f>
        <v/>
      </c>
      <c r="BG14">
        <f>IF(AND(BG$9+6&gt;=$D14,BG$9&lt;=$E14),1,"")</f>
        <v/>
      </c>
    </row>
    <row r="15">
      <c r="B15" s="13" t="inlineStr">
        <is>
          <t>Pilot request templates with 4 faculties (ABP, Arts, FBE, Science)</t>
        </is>
      </c>
      <c r="C15" s="13" t="inlineStr">
        <is>
          <t>Pilot feedback</t>
        </is>
      </c>
      <c r="D15" s="14" t="n">
        <v>46307</v>
      </c>
      <c r="E15" s="14" t="n">
        <v>46325</v>
      </c>
      <c r="F15" s="13" t="inlineStr">
        <is>
          <t>Stefanus</t>
        </is>
      </c>
      <c r="G15" s="13" t="inlineStr">
        <is>
          <t>Gerard Healey</t>
        </is>
      </c>
      <c r="H15" s="13" t="inlineStr"/>
      <c r="I15" s="13" t="inlineStr">
        <is>
          <t>ADs Sustainability</t>
        </is>
      </c>
      <c r="J15" s="13" t="inlineStr">
        <is>
          <t>High</t>
        </is>
      </c>
      <c r="K15" s="13" t="inlineStr">
        <is>
          <t>Not yet started</t>
        </is>
      </c>
      <c r="L15">
        <f>IF(AND(L$9+6&gt;=$D15,L$9&lt;=$E15),1,"")</f>
        <v/>
      </c>
      <c r="M15">
        <f>IF(AND(M$9+6&gt;=$D15,M$9&lt;=$E15),1,"")</f>
        <v/>
      </c>
      <c r="N15">
        <f>IF(AND(N$9+6&gt;=$D15,N$9&lt;=$E15),1,"")</f>
        <v/>
      </c>
      <c r="O15">
        <f>IF(AND(O$9+6&gt;=$D15,O$9&lt;=$E15),1,"")</f>
        <v/>
      </c>
      <c r="P15">
        <f>IF(AND(P$9+6&gt;=$D15,P$9&lt;=$E15),1,"")</f>
        <v/>
      </c>
      <c r="Q15">
        <f>IF(AND(Q$9+6&gt;=$D15,Q$9&lt;=$E15),1,"")</f>
        <v/>
      </c>
      <c r="R15">
        <f>IF(AND(R$9+6&gt;=$D15,R$9&lt;=$E15),1,"")</f>
        <v/>
      </c>
      <c r="S15">
        <f>IF(AND(S$9+6&gt;=$D15,S$9&lt;=$E15),1,"")</f>
        <v/>
      </c>
      <c r="T15">
        <f>IF(AND(T$9+6&gt;=$D15,T$9&lt;=$E15),1,"")</f>
        <v/>
      </c>
      <c r="U15">
        <f>IF(AND(U$9+6&gt;=$D15,U$9&lt;=$E15),1,"")</f>
        <v/>
      </c>
      <c r="V15">
        <f>IF(AND(V$9+6&gt;=$D15,V$9&lt;=$E15),1,"")</f>
        <v/>
      </c>
      <c r="W15">
        <f>IF(AND(W$9+6&gt;=$D15,W$9&lt;=$E15),1,"")</f>
        <v/>
      </c>
      <c r="X15">
        <f>IF(AND(X$9+6&gt;=$D15,X$9&lt;=$E15),1,"")</f>
        <v/>
      </c>
      <c r="Y15">
        <f>IF(AND(Y$9+6&gt;=$D15,Y$9&lt;=$E15),1,"")</f>
        <v/>
      </c>
      <c r="Z15">
        <f>IF(AND(Z$9+6&gt;=$D15,Z$9&lt;=$E15),1,"")</f>
        <v/>
      </c>
      <c r="AA15">
        <f>IF(AND(AA$9+6&gt;=$D15,AA$9&lt;=$E15),1,"")</f>
        <v/>
      </c>
      <c r="AB15">
        <f>IF(AND(AB$9+6&gt;=$D15,AB$9&lt;=$E15),1,"")</f>
        <v/>
      </c>
      <c r="AC15">
        <f>IF(AND(AC$9+6&gt;=$D15,AC$9&lt;=$E15),1,"")</f>
        <v/>
      </c>
      <c r="AD15">
        <f>IF(AND(AD$9+6&gt;=$D15,AD$9&lt;=$E15),1,"")</f>
        <v/>
      </c>
      <c r="AE15">
        <f>IF(AND(AE$9+6&gt;=$D15,AE$9&lt;=$E15),1,"")</f>
        <v/>
      </c>
      <c r="AF15">
        <f>IF(AND(AF$9+6&gt;=$D15,AF$9&lt;=$E15),1,"")</f>
        <v/>
      </c>
      <c r="AG15">
        <f>IF(AND(AG$9+6&gt;=$D15,AG$9&lt;=$E15),1,"")</f>
        <v/>
      </c>
      <c r="AH15">
        <f>IF(AND(AH$9+6&gt;=$D15,AH$9&lt;=$E15),1,"")</f>
        <v/>
      </c>
      <c r="AI15">
        <f>IF(AND(AI$9+6&gt;=$D15,AI$9&lt;=$E15),1,"")</f>
        <v/>
      </c>
      <c r="AJ15">
        <f>IF(AND(AJ$9+6&gt;=$D15,AJ$9&lt;=$E15),1,"")</f>
        <v/>
      </c>
      <c r="AK15">
        <f>IF(AND(AK$9+6&gt;=$D15,AK$9&lt;=$E15),1,"")</f>
        <v/>
      </c>
      <c r="AL15">
        <f>IF(AND(AL$9+6&gt;=$D15,AL$9&lt;=$E15),1,"")</f>
        <v/>
      </c>
      <c r="AM15">
        <f>IF(AND(AM$9+6&gt;=$D15,AM$9&lt;=$E15),1,"")</f>
        <v/>
      </c>
      <c r="AN15">
        <f>IF(AND(AN$9+6&gt;=$D15,AN$9&lt;=$E15),1,"")</f>
        <v/>
      </c>
      <c r="AO15">
        <f>IF(AND(AO$9+6&gt;=$D15,AO$9&lt;=$E15),1,"")</f>
        <v/>
      </c>
      <c r="AP15">
        <f>IF(AND(AP$9+6&gt;=$D15,AP$9&lt;=$E15),1,"")</f>
        <v/>
      </c>
      <c r="AQ15">
        <f>IF(AND(AQ$9+6&gt;=$D15,AQ$9&lt;=$E15),1,"")</f>
        <v/>
      </c>
      <c r="AR15">
        <f>IF(AND(AR$9+6&gt;=$D15,AR$9&lt;=$E15),1,"")</f>
        <v/>
      </c>
      <c r="AS15">
        <f>IF(AND(AS$9+6&gt;=$D15,AS$9&lt;=$E15),1,"")</f>
        <v/>
      </c>
      <c r="AT15">
        <f>IF(AND(AT$9+6&gt;=$D15,AT$9&lt;=$E15),1,"")</f>
        <v/>
      </c>
      <c r="AU15">
        <f>IF(AND(AU$9+6&gt;=$D15,AU$9&lt;=$E15),1,"")</f>
        <v/>
      </c>
      <c r="AV15">
        <f>IF(AND(AV$9+6&gt;=$D15,AV$9&lt;=$E15),1,"")</f>
        <v/>
      </c>
      <c r="AW15">
        <f>IF(AND(AW$9+6&gt;=$D15,AW$9&lt;=$E15),1,"")</f>
        <v/>
      </c>
      <c r="AX15">
        <f>IF(AND(AX$9+6&gt;=$D15,AX$9&lt;=$E15),1,"")</f>
        <v/>
      </c>
      <c r="AY15">
        <f>IF(AND(AY$9+6&gt;=$D15,AY$9&lt;=$E15),1,"")</f>
        <v/>
      </c>
      <c r="AZ15">
        <f>IF(AND(AZ$9+6&gt;=$D15,AZ$9&lt;=$E15),1,"")</f>
        <v/>
      </c>
      <c r="BA15">
        <f>IF(AND(BA$9+6&gt;=$D15,BA$9&lt;=$E15),1,"")</f>
        <v/>
      </c>
      <c r="BB15">
        <f>IF(AND(BB$9+6&gt;=$D15,BB$9&lt;=$E15),1,"")</f>
        <v/>
      </c>
      <c r="BC15">
        <f>IF(AND(BC$9+6&gt;=$D15,BC$9&lt;=$E15),1,"")</f>
        <v/>
      </c>
      <c r="BD15">
        <f>IF(AND(BD$9+6&gt;=$D15,BD$9&lt;=$E15),1,"")</f>
        <v/>
      </c>
      <c r="BE15">
        <f>IF(AND(BE$9+6&gt;=$D15,BE$9&lt;=$E15),1,"")</f>
        <v/>
      </c>
      <c r="BF15">
        <f>IF(AND(BF$9+6&gt;=$D15,BF$9&lt;=$E15),1,"")</f>
        <v/>
      </c>
      <c r="BG15">
        <f>IF(AND(BG$9+6&gt;=$D15,BG$9&lt;=$E15),1,"")</f>
        <v/>
      </c>
    </row>
    <row r="16">
      <c r="B16" s="13" t="inlineStr">
        <is>
          <t>Approve Review Group criteria, decision rights, escalation pathway</t>
        </is>
      </c>
      <c r="C16" s="13" t="inlineStr">
        <is>
          <t>Before collection</t>
        </is>
      </c>
      <c r="D16" s="14" t="n">
        <v>46300</v>
      </c>
      <c r="E16" s="14" t="n">
        <v>46325</v>
      </c>
      <c r="F16" s="13" t="inlineStr">
        <is>
          <t>SST</t>
        </is>
      </c>
      <c r="G16" s="13" t="inlineStr">
        <is>
          <t>Director, Sustainability</t>
        </is>
      </c>
      <c r="H16" s="13" t="inlineStr"/>
      <c r="I16" s="13" t="inlineStr">
        <is>
          <t>Review Group</t>
        </is>
      </c>
      <c r="J16" s="13" t="inlineStr">
        <is>
          <t>Medium</t>
        </is>
      </c>
      <c r="K16" s="13" t="inlineStr">
        <is>
          <t>Not yet started</t>
        </is>
      </c>
      <c r="L16">
        <f>IF(AND(L$9+6&gt;=$D16,L$9&lt;=$E16),1,"")</f>
        <v/>
      </c>
      <c r="M16">
        <f>IF(AND(M$9+6&gt;=$D16,M$9&lt;=$E16),1,"")</f>
        <v/>
      </c>
      <c r="N16">
        <f>IF(AND(N$9+6&gt;=$D16,N$9&lt;=$E16),1,"")</f>
        <v/>
      </c>
      <c r="O16">
        <f>IF(AND(O$9+6&gt;=$D16,O$9&lt;=$E16),1,"")</f>
        <v/>
      </c>
      <c r="P16">
        <f>IF(AND(P$9+6&gt;=$D16,P$9&lt;=$E16),1,"")</f>
        <v/>
      </c>
      <c r="Q16">
        <f>IF(AND(Q$9+6&gt;=$D16,Q$9&lt;=$E16),1,"")</f>
        <v/>
      </c>
      <c r="R16">
        <f>IF(AND(R$9+6&gt;=$D16,R$9&lt;=$E16),1,"")</f>
        <v/>
      </c>
      <c r="S16">
        <f>IF(AND(S$9+6&gt;=$D16,S$9&lt;=$E16),1,"")</f>
        <v/>
      </c>
      <c r="T16">
        <f>IF(AND(T$9+6&gt;=$D16,T$9&lt;=$E16),1,"")</f>
        <v/>
      </c>
      <c r="U16">
        <f>IF(AND(U$9+6&gt;=$D16,U$9&lt;=$E16),1,"")</f>
        <v/>
      </c>
      <c r="V16">
        <f>IF(AND(V$9+6&gt;=$D16,V$9&lt;=$E16),1,"")</f>
        <v/>
      </c>
      <c r="W16">
        <f>IF(AND(W$9+6&gt;=$D16,W$9&lt;=$E16),1,"")</f>
        <v/>
      </c>
      <c r="X16">
        <f>IF(AND(X$9+6&gt;=$D16,X$9&lt;=$E16),1,"")</f>
        <v/>
      </c>
      <c r="Y16">
        <f>IF(AND(Y$9+6&gt;=$D16,Y$9&lt;=$E16),1,"")</f>
        <v/>
      </c>
      <c r="Z16">
        <f>IF(AND(Z$9+6&gt;=$D16,Z$9&lt;=$E16),1,"")</f>
        <v/>
      </c>
      <c r="AA16">
        <f>IF(AND(AA$9+6&gt;=$D16,AA$9&lt;=$E16),1,"")</f>
        <v/>
      </c>
      <c r="AB16">
        <f>IF(AND(AB$9+6&gt;=$D16,AB$9&lt;=$E16),1,"")</f>
        <v/>
      </c>
      <c r="AC16">
        <f>IF(AND(AC$9+6&gt;=$D16,AC$9&lt;=$E16),1,"")</f>
        <v/>
      </c>
      <c r="AD16">
        <f>IF(AND(AD$9+6&gt;=$D16,AD$9&lt;=$E16),1,"")</f>
        <v/>
      </c>
      <c r="AE16">
        <f>IF(AND(AE$9+6&gt;=$D16,AE$9&lt;=$E16),1,"")</f>
        <v/>
      </c>
      <c r="AF16">
        <f>IF(AND(AF$9+6&gt;=$D16,AF$9&lt;=$E16),1,"")</f>
        <v/>
      </c>
      <c r="AG16">
        <f>IF(AND(AG$9+6&gt;=$D16,AG$9&lt;=$E16),1,"")</f>
        <v/>
      </c>
      <c r="AH16">
        <f>IF(AND(AH$9+6&gt;=$D16,AH$9&lt;=$E16),1,"")</f>
        <v/>
      </c>
      <c r="AI16">
        <f>IF(AND(AI$9+6&gt;=$D16,AI$9&lt;=$E16),1,"")</f>
        <v/>
      </c>
      <c r="AJ16">
        <f>IF(AND(AJ$9+6&gt;=$D16,AJ$9&lt;=$E16),1,"")</f>
        <v/>
      </c>
      <c r="AK16">
        <f>IF(AND(AK$9+6&gt;=$D16,AK$9&lt;=$E16),1,"")</f>
        <v/>
      </c>
      <c r="AL16">
        <f>IF(AND(AL$9+6&gt;=$D16,AL$9&lt;=$E16),1,"")</f>
        <v/>
      </c>
      <c r="AM16">
        <f>IF(AND(AM$9+6&gt;=$D16,AM$9&lt;=$E16),1,"")</f>
        <v/>
      </c>
      <c r="AN16">
        <f>IF(AND(AN$9+6&gt;=$D16,AN$9&lt;=$E16),1,"")</f>
        <v/>
      </c>
      <c r="AO16">
        <f>IF(AND(AO$9+6&gt;=$D16,AO$9&lt;=$E16),1,"")</f>
        <v/>
      </c>
      <c r="AP16">
        <f>IF(AND(AP$9+6&gt;=$D16,AP$9&lt;=$E16),1,"")</f>
        <v/>
      </c>
      <c r="AQ16">
        <f>IF(AND(AQ$9+6&gt;=$D16,AQ$9&lt;=$E16),1,"")</f>
        <v/>
      </c>
      <c r="AR16">
        <f>IF(AND(AR$9+6&gt;=$D16,AR$9&lt;=$E16),1,"")</f>
        <v/>
      </c>
      <c r="AS16">
        <f>IF(AND(AS$9+6&gt;=$D16,AS$9&lt;=$E16),1,"")</f>
        <v/>
      </c>
      <c r="AT16">
        <f>IF(AND(AT$9+6&gt;=$D16,AT$9&lt;=$E16),1,"")</f>
        <v/>
      </c>
      <c r="AU16">
        <f>IF(AND(AU$9+6&gt;=$D16,AU$9&lt;=$E16),1,"")</f>
        <v/>
      </c>
      <c r="AV16">
        <f>IF(AND(AV$9+6&gt;=$D16,AV$9&lt;=$E16),1,"")</f>
        <v/>
      </c>
      <c r="AW16">
        <f>IF(AND(AW$9+6&gt;=$D16,AW$9&lt;=$E16),1,"")</f>
        <v/>
      </c>
      <c r="AX16">
        <f>IF(AND(AX$9+6&gt;=$D16,AX$9&lt;=$E16),1,"")</f>
        <v/>
      </c>
      <c r="AY16">
        <f>IF(AND(AY$9+6&gt;=$D16,AY$9&lt;=$E16),1,"")</f>
        <v/>
      </c>
      <c r="AZ16">
        <f>IF(AND(AZ$9+6&gt;=$D16,AZ$9&lt;=$E16),1,"")</f>
        <v/>
      </c>
      <c r="BA16">
        <f>IF(AND(BA$9+6&gt;=$D16,BA$9&lt;=$E16),1,"")</f>
        <v/>
      </c>
      <c r="BB16">
        <f>IF(AND(BB$9+6&gt;=$D16,BB$9&lt;=$E16),1,"")</f>
        <v/>
      </c>
      <c r="BC16">
        <f>IF(AND(BC$9+6&gt;=$D16,BC$9&lt;=$E16),1,"")</f>
        <v/>
      </c>
      <c r="BD16">
        <f>IF(AND(BD$9+6&gt;=$D16,BD$9&lt;=$E16),1,"")</f>
        <v/>
      </c>
      <c r="BE16">
        <f>IF(AND(BE$9+6&gt;=$D16,BE$9&lt;=$E16),1,"")</f>
        <v/>
      </c>
      <c r="BF16">
        <f>IF(AND(BF$9+6&gt;=$D16,BF$9&lt;=$E16),1,"")</f>
        <v/>
      </c>
      <c r="BG16">
        <f>IF(AND(BG$9+6&gt;=$D16,BG$9&lt;=$E16),1,"")</f>
        <v/>
      </c>
    </row>
    <row r="17">
      <c r="B17" s="11" t="inlineStr">
        <is>
          <t>Process design &amp; launch (Oct 2026)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</row>
    <row r="18">
      <c r="B18" s="13" t="inlineStr">
        <is>
          <t>Finalise templates and evidence register</t>
        </is>
      </c>
      <c r="C18" s="13" t="inlineStr">
        <is>
          <t>Templates final</t>
        </is>
      </c>
      <c r="D18" s="14" t="n">
        <v>46314</v>
      </c>
      <c r="E18" s="14" t="n">
        <v>46325</v>
      </c>
      <c r="F18" s="13" t="inlineStr">
        <is>
          <t>Stefanus</t>
        </is>
      </c>
      <c r="G18" s="13" t="inlineStr">
        <is>
          <t>Gerard Healey</t>
        </is>
      </c>
      <c r="H18" s="13" t="inlineStr"/>
      <c r="I18" s="13" t="inlineStr"/>
      <c r="J18" s="13" t="inlineStr">
        <is>
          <t>High</t>
        </is>
      </c>
      <c r="K18" s="13" t="inlineStr">
        <is>
          <t>Not yet started</t>
        </is>
      </c>
      <c r="L18">
        <f>IF(AND(L$9+6&gt;=$D18,L$9&lt;=$E18),1,"")</f>
        <v/>
      </c>
      <c r="M18">
        <f>IF(AND(M$9+6&gt;=$D18,M$9&lt;=$E18),1,"")</f>
        <v/>
      </c>
      <c r="N18">
        <f>IF(AND(N$9+6&gt;=$D18,N$9&lt;=$E18),1,"")</f>
        <v/>
      </c>
      <c r="O18">
        <f>IF(AND(O$9+6&gt;=$D18,O$9&lt;=$E18),1,"")</f>
        <v/>
      </c>
      <c r="P18">
        <f>IF(AND(P$9+6&gt;=$D18,P$9&lt;=$E18),1,"")</f>
        <v/>
      </c>
      <c r="Q18">
        <f>IF(AND(Q$9+6&gt;=$D18,Q$9&lt;=$E18),1,"")</f>
        <v/>
      </c>
      <c r="R18">
        <f>IF(AND(R$9+6&gt;=$D18,R$9&lt;=$E18),1,"")</f>
        <v/>
      </c>
      <c r="S18">
        <f>IF(AND(S$9+6&gt;=$D18,S$9&lt;=$E18),1,"")</f>
        <v/>
      </c>
      <c r="T18">
        <f>IF(AND(T$9+6&gt;=$D18,T$9&lt;=$E18),1,"")</f>
        <v/>
      </c>
      <c r="U18">
        <f>IF(AND(U$9+6&gt;=$D18,U$9&lt;=$E18),1,"")</f>
        <v/>
      </c>
      <c r="V18">
        <f>IF(AND(V$9+6&gt;=$D18,V$9&lt;=$E18),1,"")</f>
        <v/>
      </c>
      <c r="W18">
        <f>IF(AND(W$9+6&gt;=$D18,W$9&lt;=$E18),1,"")</f>
        <v/>
      </c>
      <c r="X18">
        <f>IF(AND(X$9+6&gt;=$D18,X$9&lt;=$E18),1,"")</f>
        <v/>
      </c>
      <c r="Y18">
        <f>IF(AND(Y$9+6&gt;=$D18,Y$9&lt;=$E18),1,"")</f>
        <v/>
      </c>
      <c r="Z18">
        <f>IF(AND(Z$9+6&gt;=$D18,Z$9&lt;=$E18),1,"")</f>
        <v/>
      </c>
      <c r="AA18">
        <f>IF(AND(AA$9+6&gt;=$D18,AA$9&lt;=$E18),1,"")</f>
        <v/>
      </c>
      <c r="AB18">
        <f>IF(AND(AB$9+6&gt;=$D18,AB$9&lt;=$E18),1,"")</f>
        <v/>
      </c>
      <c r="AC18">
        <f>IF(AND(AC$9+6&gt;=$D18,AC$9&lt;=$E18),1,"")</f>
        <v/>
      </c>
      <c r="AD18">
        <f>IF(AND(AD$9+6&gt;=$D18,AD$9&lt;=$E18),1,"")</f>
        <v/>
      </c>
      <c r="AE18">
        <f>IF(AND(AE$9+6&gt;=$D18,AE$9&lt;=$E18),1,"")</f>
        <v/>
      </c>
      <c r="AF18">
        <f>IF(AND(AF$9+6&gt;=$D18,AF$9&lt;=$E18),1,"")</f>
        <v/>
      </c>
      <c r="AG18">
        <f>IF(AND(AG$9+6&gt;=$D18,AG$9&lt;=$E18),1,"")</f>
        <v/>
      </c>
      <c r="AH18">
        <f>IF(AND(AH$9+6&gt;=$D18,AH$9&lt;=$E18),1,"")</f>
        <v/>
      </c>
      <c r="AI18">
        <f>IF(AND(AI$9+6&gt;=$D18,AI$9&lt;=$E18),1,"")</f>
        <v/>
      </c>
      <c r="AJ18">
        <f>IF(AND(AJ$9+6&gt;=$D18,AJ$9&lt;=$E18),1,"")</f>
        <v/>
      </c>
      <c r="AK18">
        <f>IF(AND(AK$9+6&gt;=$D18,AK$9&lt;=$E18),1,"")</f>
        <v/>
      </c>
      <c r="AL18">
        <f>IF(AND(AL$9+6&gt;=$D18,AL$9&lt;=$E18),1,"")</f>
        <v/>
      </c>
      <c r="AM18">
        <f>IF(AND(AM$9+6&gt;=$D18,AM$9&lt;=$E18),1,"")</f>
        <v/>
      </c>
      <c r="AN18">
        <f>IF(AND(AN$9+6&gt;=$D18,AN$9&lt;=$E18),1,"")</f>
        <v/>
      </c>
      <c r="AO18">
        <f>IF(AND(AO$9+6&gt;=$D18,AO$9&lt;=$E18),1,"")</f>
        <v/>
      </c>
      <c r="AP18">
        <f>IF(AND(AP$9+6&gt;=$D18,AP$9&lt;=$E18),1,"")</f>
        <v/>
      </c>
      <c r="AQ18">
        <f>IF(AND(AQ$9+6&gt;=$D18,AQ$9&lt;=$E18),1,"")</f>
        <v/>
      </c>
      <c r="AR18">
        <f>IF(AND(AR$9+6&gt;=$D18,AR$9&lt;=$E18),1,"")</f>
        <v/>
      </c>
      <c r="AS18">
        <f>IF(AND(AS$9+6&gt;=$D18,AS$9&lt;=$E18),1,"")</f>
        <v/>
      </c>
      <c r="AT18">
        <f>IF(AND(AT$9+6&gt;=$D18,AT$9&lt;=$E18),1,"")</f>
        <v/>
      </c>
      <c r="AU18">
        <f>IF(AND(AU$9+6&gt;=$D18,AU$9&lt;=$E18),1,"")</f>
        <v/>
      </c>
      <c r="AV18">
        <f>IF(AND(AV$9+6&gt;=$D18,AV$9&lt;=$E18),1,"")</f>
        <v/>
      </c>
      <c r="AW18">
        <f>IF(AND(AW$9+6&gt;=$D18,AW$9&lt;=$E18),1,"")</f>
        <v/>
      </c>
      <c r="AX18">
        <f>IF(AND(AX$9+6&gt;=$D18,AX$9&lt;=$E18),1,"")</f>
        <v/>
      </c>
      <c r="AY18">
        <f>IF(AND(AY$9+6&gt;=$D18,AY$9&lt;=$E18),1,"")</f>
        <v/>
      </c>
      <c r="AZ18">
        <f>IF(AND(AZ$9+6&gt;=$D18,AZ$9&lt;=$E18),1,"")</f>
        <v/>
      </c>
      <c r="BA18">
        <f>IF(AND(BA$9+6&gt;=$D18,BA$9&lt;=$E18),1,"")</f>
        <v/>
      </c>
      <c r="BB18">
        <f>IF(AND(BB$9+6&gt;=$D18,BB$9&lt;=$E18),1,"")</f>
        <v/>
      </c>
      <c r="BC18">
        <f>IF(AND(BC$9+6&gt;=$D18,BC$9&lt;=$E18),1,"")</f>
        <v/>
      </c>
      <c r="BD18">
        <f>IF(AND(BD$9+6&gt;=$D18,BD$9&lt;=$E18),1,"")</f>
        <v/>
      </c>
      <c r="BE18">
        <f>IF(AND(BE$9+6&gt;=$D18,BE$9&lt;=$E18),1,"")</f>
        <v/>
      </c>
      <c r="BF18">
        <f>IF(AND(BF$9+6&gt;=$D18,BF$9&lt;=$E18),1,"")</f>
        <v/>
      </c>
      <c r="BG18">
        <f>IF(AND(BG$9+6&gt;=$D18,BG$9&lt;=$E18),1,"")</f>
        <v/>
      </c>
    </row>
    <row r="19">
      <c r="B19" s="13" t="inlineStr">
        <is>
          <t>Coordinate with University Annual Report team (dependency map)</t>
        </is>
      </c>
      <c r="C19" s="13" t="inlineStr">
        <is>
          <t>Shared data map</t>
        </is>
      </c>
      <c r="D19" s="14" t="n">
        <v>46300</v>
      </c>
      <c r="E19" s="14" t="n">
        <v>46325</v>
      </c>
      <c r="F19" s="13" t="inlineStr">
        <is>
          <t>SST</t>
        </is>
      </c>
      <c r="G19" s="13" t="inlineStr">
        <is>
          <t>Director, Sustainability</t>
        </is>
      </c>
      <c r="H19" s="13" t="inlineStr"/>
      <c r="I19" s="13" t="inlineStr">
        <is>
          <t>Annual Report team</t>
        </is>
      </c>
      <c r="J19" s="13" t="inlineStr">
        <is>
          <t>High</t>
        </is>
      </c>
      <c r="K19" s="13" t="inlineStr">
        <is>
          <t>Not yet started</t>
        </is>
      </c>
      <c r="L19">
        <f>IF(AND(L$9+6&gt;=$D19,L$9&lt;=$E19),1,"")</f>
        <v/>
      </c>
      <c r="M19">
        <f>IF(AND(M$9+6&gt;=$D19,M$9&lt;=$E19),1,"")</f>
        <v/>
      </c>
      <c r="N19">
        <f>IF(AND(N$9+6&gt;=$D19,N$9&lt;=$E19),1,"")</f>
        <v/>
      </c>
      <c r="O19">
        <f>IF(AND(O$9+6&gt;=$D19,O$9&lt;=$E19),1,"")</f>
        <v/>
      </c>
      <c r="P19">
        <f>IF(AND(P$9+6&gt;=$D19,P$9&lt;=$E19),1,"")</f>
        <v/>
      </c>
      <c r="Q19">
        <f>IF(AND(Q$9+6&gt;=$D19,Q$9&lt;=$E19),1,"")</f>
        <v/>
      </c>
      <c r="R19">
        <f>IF(AND(R$9+6&gt;=$D19,R$9&lt;=$E19),1,"")</f>
        <v/>
      </c>
      <c r="S19">
        <f>IF(AND(S$9+6&gt;=$D19,S$9&lt;=$E19),1,"")</f>
        <v/>
      </c>
      <c r="T19">
        <f>IF(AND(T$9+6&gt;=$D19,T$9&lt;=$E19),1,"")</f>
        <v/>
      </c>
      <c r="U19">
        <f>IF(AND(U$9+6&gt;=$D19,U$9&lt;=$E19),1,"")</f>
        <v/>
      </c>
      <c r="V19">
        <f>IF(AND(V$9+6&gt;=$D19,V$9&lt;=$E19),1,"")</f>
        <v/>
      </c>
      <c r="W19">
        <f>IF(AND(W$9+6&gt;=$D19,W$9&lt;=$E19),1,"")</f>
        <v/>
      </c>
      <c r="X19">
        <f>IF(AND(X$9+6&gt;=$D19,X$9&lt;=$E19),1,"")</f>
        <v/>
      </c>
      <c r="Y19">
        <f>IF(AND(Y$9+6&gt;=$D19,Y$9&lt;=$E19),1,"")</f>
        <v/>
      </c>
      <c r="Z19">
        <f>IF(AND(Z$9+6&gt;=$D19,Z$9&lt;=$E19),1,"")</f>
        <v/>
      </c>
      <c r="AA19">
        <f>IF(AND(AA$9+6&gt;=$D19,AA$9&lt;=$E19),1,"")</f>
        <v/>
      </c>
      <c r="AB19">
        <f>IF(AND(AB$9+6&gt;=$D19,AB$9&lt;=$E19),1,"")</f>
        <v/>
      </c>
      <c r="AC19">
        <f>IF(AND(AC$9+6&gt;=$D19,AC$9&lt;=$E19),1,"")</f>
        <v/>
      </c>
      <c r="AD19">
        <f>IF(AND(AD$9+6&gt;=$D19,AD$9&lt;=$E19),1,"")</f>
        <v/>
      </c>
      <c r="AE19">
        <f>IF(AND(AE$9+6&gt;=$D19,AE$9&lt;=$E19),1,"")</f>
        <v/>
      </c>
      <c r="AF19">
        <f>IF(AND(AF$9+6&gt;=$D19,AF$9&lt;=$E19),1,"")</f>
        <v/>
      </c>
      <c r="AG19">
        <f>IF(AND(AG$9+6&gt;=$D19,AG$9&lt;=$E19),1,"")</f>
        <v/>
      </c>
      <c r="AH19">
        <f>IF(AND(AH$9+6&gt;=$D19,AH$9&lt;=$E19),1,"")</f>
        <v/>
      </c>
      <c r="AI19">
        <f>IF(AND(AI$9+6&gt;=$D19,AI$9&lt;=$E19),1,"")</f>
        <v/>
      </c>
      <c r="AJ19">
        <f>IF(AND(AJ$9+6&gt;=$D19,AJ$9&lt;=$E19),1,"")</f>
        <v/>
      </c>
      <c r="AK19">
        <f>IF(AND(AK$9+6&gt;=$D19,AK$9&lt;=$E19),1,"")</f>
        <v/>
      </c>
      <c r="AL19">
        <f>IF(AND(AL$9+6&gt;=$D19,AL$9&lt;=$E19),1,"")</f>
        <v/>
      </c>
      <c r="AM19">
        <f>IF(AND(AM$9+6&gt;=$D19,AM$9&lt;=$E19),1,"")</f>
        <v/>
      </c>
      <c r="AN19">
        <f>IF(AND(AN$9+6&gt;=$D19,AN$9&lt;=$E19),1,"")</f>
        <v/>
      </c>
      <c r="AO19">
        <f>IF(AND(AO$9+6&gt;=$D19,AO$9&lt;=$E19),1,"")</f>
        <v/>
      </c>
      <c r="AP19">
        <f>IF(AND(AP$9+6&gt;=$D19,AP$9&lt;=$E19),1,"")</f>
        <v/>
      </c>
      <c r="AQ19">
        <f>IF(AND(AQ$9+6&gt;=$D19,AQ$9&lt;=$E19),1,"")</f>
        <v/>
      </c>
      <c r="AR19">
        <f>IF(AND(AR$9+6&gt;=$D19,AR$9&lt;=$E19),1,"")</f>
        <v/>
      </c>
      <c r="AS19">
        <f>IF(AND(AS$9+6&gt;=$D19,AS$9&lt;=$E19),1,"")</f>
        <v/>
      </c>
      <c r="AT19">
        <f>IF(AND(AT$9+6&gt;=$D19,AT$9&lt;=$E19),1,"")</f>
        <v/>
      </c>
      <c r="AU19">
        <f>IF(AND(AU$9+6&gt;=$D19,AU$9&lt;=$E19),1,"")</f>
        <v/>
      </c>
      <c r="AV19">
        <f>IF(AND(AV$9+6&gt;=$D19,AV$9&lt;=$E19),1,"")</f>
        <v/>
      </c>
      <c r="AW19">
        <f>IF(AND(AW$9+6&gt;=$D19,AW$9&lt;=$E19),1,"")</f>
        <v/>
      </c>
      <c r="AX19">
        <f>IF(AND(AX$9+6&gt;=$D19,AX$9&lt;=$E19),1,"")</f>
        <v/>
      </c>
      <c r="AY19">
        <f>IF(AND(AY$9+6&gt;=$D19,AY$9&lt;=$E19),1,"")</f>
        <v/>
      </c>
      <c r="AZ19">
        <f>IF(AND(AZ$9+6&gt;=$D19,AZ$9&lt;=$E19),1,"")</f>
        <v/>
      </c>
      <c r="BA19">
        <f>IF(AND(BA$9+6&gt;=$D19,BA$9&lt;=$E19),1,"")</f>
        <v/>
      </c>
      <c r="BB19">
        <f>IF(AND(BB$9+6&gt;=$D19,BB$9&lt;=$E19),1,"")</f>
        <v/>
      </c>
      <c r="BC19">
        <f>IF(AND(BC$9+6&gt;=$D19,BC$9&lt;=$E19),1,"")</f>
        <v/>
      </c>
      <c r="BD19">
        <f>IF(AND(BD$9+6&gt;=$D19,BD$9&lt;=$E19),1,"")</f>
        <v/>
      </c>
      <c r="BE19">
        <f>IF(AND(BE$9+6&gt;=$D19,BE$9&lt;=$E19),1,"")</f>
        <v/>
      </c>
      <c r="BF19">
        <f>IF(AND(BF$9+6&gt;=$D19,BF$9&lt;=$E19),1,"")</f>
        <v/>
      </c>
      <c r="BG19">
        <f>IF(AND(BG$9+6&gt;=$D19,BG$9&lt;=$E19),1,"")</f>
        <v/>
      </c>
    </row>
    <row r="20">
      <c r="B20" s="13" t="inlineStr">
        <is>
          <t>Convene Strategic Comms, digital &amp; design; agree comms RASCI</t>
        </is>
      </c>
      <c r="C20" s="13" t="inlineStr">
        <is>
          <t>Kick-off</t>
        </is>
      </c>
      <c r="D20" s="14" t="n">
        <v>46300</v>
      </c>
      <c r="E20" s="14" t="n">
        <v>46318</v>
      </c>
      <c r="F20" s="13" t="inlineStr">
        <is>
          <t>SST</t>
        </is>
      </c>
      <c r="G20" s="13" t="inlineStr">
        <is>
          <t>Director, Sustainability</t>
        </is>
      </c>
      <c r="H20" s="13" t="inlineStr">
        <is>
          <t>Strategic Comms</t>
        </is>
      </c>
      <c r="I20" s="13" t="inlineStr">
        <is>
          <t>Design, digital</t>
        </is>
      </c>
      <c r="J20" s="13" t="inlineStr">
        <is>
          <t>High</t>
        </is>
      </c>
      <c r="K20" s="13" t="inlineStr">
        <is>
          <t>Not yet started</t>
        </is>
      </c>
      <c r="L20">
        <f>IF(AND(L$9+6&gt;=$D20,L$9&lt;=$E20),1,"")</f>
        <v/>
      </c>
      <c r="M20">
        <f>IF(AND(M$9+6&gt;=$D20,M$9&lt;=$E20),1,"")</f>
        <v/>
      </c>
      <c r="N20">
        <f>IF(AND(N$9+6&gt;=$D20,N$9&lt;=$E20),1,"")</f>
        <v/>
      </c>
      <c r="O20">
        <f>IF(AND(O$9+6&gt;=$D20,O$9&lt;=$E20),1,"")</f>
        <v/>
      </c>
      <c r="P20">
        <f>IF(AND(P$9+6&gt;=$D20,P$9&lt;=$E20),1,"")</f>
        <v/>
      </c>
      <c r="Q20">
        <f>IF(AND(Q$9+6&gt;=$D20,Q$9&lt;=$E20),1,"")</f>
        <v/>
      </c>
      <c r="R20">
        <f>IF(AND(R$9+6&gt;=$D20,R$9&lt;=$E20),1,"")</f>
        <v/>
      </c>
      <c r="S20">
        <f>IF(AND(S$9+6&gt;=$D20,S$9&lt;=$E20),1,"")</f>
        <v/>
      </c>
      <c r="T20">
        <f>IF(AND(T$9+6&gt;=$D20,T$9&lt;=$E20),1,"")</f>
        <v/>
      </c>
      <c r="U20">
        <f>IF(AND(U$9+6&gt;=$D20,U$9&lt;=$E20),1,"")</f>
        <v/>
      </c>
      <c r="V20">
        <f>IF(AND(V$9+6&gt;=$D20,V$9&lt;=$E20),1,"")</f>
        <v/>
      </c>
      <c r="W20">
        <f>IF(AND(W$9+6&gt;=$D20,W$9&lt;=$E20),1,"")</f>
        <v/>
      </c>
      <c r="X20">
        <f>IF(AND(X$9+6&gt;=$D20,X$9&lt;=$E20),1,"")</f>
        <v/>
      </c>
      <c r="Y20">
        <f>IF(AND(Y$9+6&gt;=$D20,Y$9&lt;=$E20),1,"")</f>
        <v/>
      </c>
      <c r="Z20">
        <f>IF(AND(Z$9+6&gt;=$D20,Z$9&lt;=$E20),1,"")</f>
        <v/>
      </c>
      <c r="AA20">
        <f>IF(AND(AA$9+6&gt;=$D20,AA$9&lt;=$E20),1,"")</f>
        <v/>
      </c>
      <c r="AB20">
        <f>IF(AND(AB$9+6&gt;=$D20,AB$9&lt;=$E20),1,"")</f>
        <v/>
      </c>
      <c r="AC20">
        <f>IF(AND(AC$9+6&gt;=$D20,AC$9&lt;=$E20),1,"")</f>
        <v/>
      </c>
      <c r="AD20">
        <f>IF(AND(AD$9+6&gt;=$D20,AD$9&lt;=$E20),1,"")</f>
        <v/>
      </c>
      <c r="AE20">
        <f>IF(AND(AE$9+6&gt;=$D20,AE$9&lt;=$E20),1,"")</f>
        <v/>
      </c>
      <c r="AF20">
        <f>IF(AND(AF$9+6&gt;=$D20,AF$9&lt;=$E20),1,"")</f>
        <v/>
      </c>
      <c r="AG20">
        <f>IF(AND(AG$9+6&gt;=$D20,AG$9&lt;=$E20),1,"")</f>
        <v/>
      </c>
      <c r="AH20">
        <f>IF(AND(AH$9+6&gt;=$D20,AH$9&lt;=$E20),1,"")</f>
        <v/>
      </c>
      <c r="AI20">
        <f>IF(AND(AI$9+6&gt;=$D20,AI$9&lt;=$E20),1,"")</f>
        <v/>
      </c>
      <c r="AJ20">
        <f>IF(AND(AJ$9+6&gt;=$D20,AJ$9&lt;=$E20),1,"")</f>
        <v/>
      </c>
      <c r="AK20">
        <f>IF(AND(AK$9+6&gt;=$D20,AK$9&lt;=$E20),1,"")</f>
        <v/>
      </c>
      <c r="AL20">
        <f>IF(AND(AL$9+6&gt;=$D20,AL$9&lt;=$E20),1,"")</f>
        <v/>
      </c>
      <c r="AM20">
        <f>IF(AND(AM$9+6&gt;=$D20,AM$9&lt;=$E20),1,"")</f>
        <v/>
      </c>
      <c r="AN20">
        <f>IF(AND(AN$9+6&gt;=$D20,AN$9&lt;=$E20),1,"")</f>
        <v/>
      </c>
      <c r="AO20">
        <f>IF(AND(AO$9+6&gt;=$D20,AO$9&lt;=$E20),1,"")</f>
        <v/>
      </c>
      <c r="AP20">
        <f>IF(AND(AP$9+6&gt;=$D20,AP$9&lt;=$E20),1,"")</f>
        <v/>
      </c>
      <c r="AQ20">
        <f>IF(AND(AQ$9+6&gt;=$D20,AQ$9&lt;=$E20),1,"")</f>
        <v/>
      </c>
      <c r="AR20">
        <f>IF(AND(AR$9+6&gt;=$D20,AR$9&lt;=$E20),1,"")</f>
        <v/>
      </c>
      <c r="AS20">
        <f>IF(AND(AS$9+6&gt;=$D20,AS$9&lt;=$E20),1,"")</f>
        <v/>
      </c>
      <c r="AT20">
        <f>IF(AND(AT$9+6&gt;=$D20,AT$9&lt;=$E20),1,"")</f>
        <v/>
      </c>
      <c r="AU20">
        <f>IF(AND(AU$9+6&gt;=$D20,AU$9&lt;=$E20),1,"")</f>
        <v/>
      </c>
      <c r="AV20">
        <f>IF(AND(AV$9+6&gt;=$D20,AV$9&lt;=$E20),1,"")</f>
        <v/>
      </c>
      <c r="AW20">
        <f>IF(AND(AW$9+6&gt;=$D20,AW$9&lt;=$E20),1,"")</f>
        <v/>
      </c>
      <c r="AX20">
        <f>IF(AND(AX$9+6&gt;=$D20,AX$9&lt;=$E20),1,"")</f>
        <v/>
      </c>
      <c r="AY20">
        <f>IF(AND(AY$9+6&gt;=$D20,AY$9&lt;=$E20),1,"")</f>
        <v/>
      </c>
      <c r="AZ20">
        <f>IF(AND(AZ$9+6&gt;=$D20,AZ$9&lt;=$E20),1,"")</f>
        <v/>
      </c>
      <c r="BA20">
        <f>IF(AND(BA$9+6&gt;=$D20,BA$9&lt;=$E20),1,"")</f>
        <v/>
      </c>
      <c r="BB20">
        <f>IF(AND(BB$9+6&gt;=$D20,BB$9&lt;=$E20),1,"")</f>
        <v/>
      </c>
      <c r="BC20">
        <f>IF(AND(BC$9+6&gt;=$D20,BC$9&lt;=$E20),1,"")</f>
        <v/>
      </c>
      <c r="BD20">
        <f>IF(AND(BD$9+6&gt;=$D20,BD$9&lt;=$E20),1,"")</f>
        <v/>
      </c>
      <c r="BE20">
        <f>IF(AND(BE$9+6&gt;=$D20,BE$9&lt;=$E20),1,"")</f>
        <v/>
      </c>
      <c r="BF20">
        <f>IF(AND(BF$9+6&gt;=$D20,BF$9&lt;=$E20),1,"")</f>
        <v/>
      </c>
      <c r="BG20">
        <f>IF(AND(BG$9+6&gt;=$D20,BG$9&lt;=$E20),1,"")</f>
        <v/>
      </c>
    </row>
    <row r="21">
      <c r="B21" s="13" t="inlineStr">
        <is>
          <t>Sustainability 2030 launch</t>
        </is>
      </c>
      <c r="C21" s="13" t="inlineStr">
        <is>
          <t>~20 Oct (TBC)</t>
        </is>
      </c>
      <c r="D21" s="14" t="n">
        <v>46315</v>
      </c>
      <c r="E21" s="14" t="n">
        <v>46315</v>
      </c>
      <c r="F21" s="13" t="inlineStr"/>
      <c r="G21" s="13" t="inlineStr"/>
      <c r="H21" s="13" t="inlineStr"/>
      <c r="I21" s="13" t="inlineStr"/>
      <c r="J21" s="13" t="inlineStr">
        <is>
          <t>Milestone</t>
        </is>
      </c>
      <c r="K21" s="13" t="inlineStr">
        <is>
          <t>Not yet started</t>
        </is>
      </c>
      <c r="L21">
        <f>IF(AND(L$9+6&gt;=$D21,L$9&lt;=$E21),1,"")</f>
        <v/>
      </c>
      <c r="M21">
        <f>IF(AND(M$9+6&gt;=$D21,M$9&lt;=$E21),1,"")</f>
        <v/>
      </c>
      <c r="N21">
        <f>IF(AND(N$9+6&gt;=$D21,N$9&lt;=$E21),1,"")</f>
        <v/>
      </c>
      <c r="O21">
        <f>IF(AND(O$9+6&gt;=$D21,O$9&lt;=$E21),1,"")</f>
        <v/>
      </c>
      <c r="P21">
        <f>IF(AND(P$9+6&gt;=$D21,P$9&lt;=$E21),1,"")</f>
        <v/>
      </c>
      <c r="Q21">
        <f>IF(AND(Q$9+6&gt;=$D21,Q$9&lt;=$E21),1,"")</f>
        <v/>
      </c>
      <c r="R21">
        <f>IF(AND(R$9+6&gt;=$D21,R$9&lt;=$E21),1,"")</f>
        <v/>
      </c>
      <c r="S21">
        <f>IF(AND(S$9+6&gt;=$D21,S$9&lt;=$E21),1,"")</f>
        <v/>
      </c>
      <c r="T21">
        <f>IF(AND(T$9+6&gt;=$D21,T$9&lt;=$E21),1,"")</f>
        <v/>
      </c>
      <c r="U21">
        <f>IF(AND(U$9+6&gt;=$D21,U$9&lt;=$E21),1,"")</f>
        <v/>
      </c>
      <c r="V21">
        <f>IF(AND(V$9+6&gt;=$D21,V$9&lt;=$E21),1,"")</f>
        <v/>
      </c>
      <c r="W21">
        <f>IF(AND(W$9+6&gt;=$D21,W$9&lt;=$E21),1,"")</f>
        <v/>
      </c>
      <c r="X21">
        <f>IF(AND(X$9+6&gt;=$D21,X$9&lt;=$E21),1,"")</f>
        <v/>
      </c>
      <c r="Y21">
        <f>IF(AND(Y$9+6&gt;=$D21,Y$9&lt;=$E21),1,"")</f>
        <v/>
      </c>
      <c r="Z21">
        <f>IF(AND(Z$9+6&gt;=$D21,Z$9&lt;=$E21),1,"")</f>
        <v/>
      </c>
      <c r="AA21">
        <f>IF(AND(AA$9+6&gt;=$D21,AA$9&lt;=$E21),1,"")</f>
        <v/>
      </c>
      <c r="AB21">
        <f>IF(AND(AB$9+6&gt;=$D21,AB$9&lt;=$E21),1,"")</f>
        <v/>
      </c>
      <c r="AC21">
        <f>IF(AND(AC$9+6&gt;=$D21,AC$9&lt;=$E21),1,"")</f>
        <v/>
      </c>
      <c r="AD21">
        <f>IF(AND(AD$9+6&gt;=$D21,AD$9&lt;=$E21),1,"")</f>
        <v/>
      </c>
      <c r="AE21">
        <f>IF(AND(AE$9+6&gt;=$D21,AE$9&lt;=$E21),1,"")</f>
        <v/>
      </c>
      <c r="AF21">
        <f>IF(AND(AF$9+6&gt;=$D21,AF$9&lt;=$E21),1,"")</f>
        <v/>
      </c>
      <c r="AG21">
        <f>IF(AND(AG$9+6&gt;=$D21,AG$9&lt;=$E21),1,"")</f>
        <v/>
      </c>
      <c r="AH21">
        <f>IF(AND(AH$9+6&gt;=$D21,AH$9&lt;=$E21),1,"")</f>
        <v/>
      </c>
      <c r="AI21">
        <f>IF(AND(AI$9+6&gt;=$D21,AI$9&lt;=$E21),1,"")</f>
        <v/>
      </c>
      <c r="AJ21">
        <f>IF(AND(AJ$9+6&gt;=$D21,AJ$9&lt;=$E21),1,"")</f>
        <v/>
      </c>
      <c r="AK21">
        <f>IF(AND(AK$9+6&gt;=$D21,AK$9&lt;=$E21),1,"")</f>
        <v/>
      </c>
      <c r="AL21">
        <f>IF(AND(AL$9+6&gt;=$D21,AL$9&lt;=$E21),1,"")</f>
        <v/>
      </c>
      <c r="AM21">
        <f>IF(AND(AM$9+6&gt;=$D21,AM$9&lt;=$E21),1,"")</f>
        <v/>
      </c>
      <c r="AN21">
        <f>IF(AND(AN$9+6&gt;=$D21,AN$9&lt;=$E21),1,"")</f>
        <v/>
      </c>
      <c r="AO21">
        <f>IF(AND(AO$9+6&gt;=$D21,AO$9&lt;=$E21),1,"")</f>
        <v/>
      </c>
      <c r="AP21">
        <f>IF(AND(AP$9+6&gt;=$D21,AP$9&lt;=$E21),1,"")</f>
        <v/>
      </c>
      <c r="AQ21">
        <f>IF(AND(AQ$9+6&gt;=$D21,AQ$9&lt;=$E21),1,"")</f>
        <v/>
      </c>
      <c r="AR21">
        <f>IF(AND(AR$9+6&gt;=$D21,AR$9&lt;=$E21),1,"")</f>
        <v/>
      </c>
      <c r="AS21">
        <f>IF(AND(AS$9+6&gt;=$D21,AS$9&lt;=$E21),1,"")</f>
        <v/>
      </c>
      <c r="AT21">
        <f>IF(AND(AT$9+6&gt;=$D21,AT$9&lt;=$E21),1,"")</f>
        <v/>
      </c>
      <c r="AU21">
        <f>IF(AND(AU$9+6&gt;=$D21,AU$9&lt;=$E21),1,"")</f>
        <v/>
      </c>
      <c r="AV21">
        <f>IF(AND(AV$9+6&gt;=$D21,AV$9&lt;=$E21),1,"")</f>
        <v/>
      </c>
      <c r="AW21">
        <f>IF(AND(AW$9+6&gt;=$D21,AW$9&lt;=$E21),1,"")</f>
        <v/>
      </c>
      <c r="AX21">
        <f>IF(AND(AX$9+6&gt;=$D21,AX$9&lt;=$E21),1,"")</f>
        <v/>
      </c>
      <c r="AY21">
        <f>IF(AND(AY$9+6&gt;=$D21,AY$9&lt;=$E21),1,"")</f>
        <v/>
      </c>
      <c r="AZ21">
        <f>IF(AND(AZ$9+6&gt;=$D21,AZ$9&lt;=$E21),1,"")</f>
        <v/>
      </c>
      <c r="BA21">
        <f>IF(AND(BA$9+6&gt;=$D21,BA$9&lt;=$E21),1,"")</f>
        <v/>
      </c>
      <c r="BB21">
        <f>IF(AND(BB$9+6&gt;=$D21,BB$9&lt;=$E21),1,"")</f>
        <v/>
      </c>
      <c r="BC21">
        <f>IF(AND(BC$9+6&gt;=$D21,BC$9&lt;=$E21),1,"")</f>
        <v/>
      </c>
      <c r="BD21">
        <f>IF(AND(BD$9+6&gt;=$D21,BD$9&lt;=$E21),1,"")</f>
        <v/>
      </c>
      <c r="BE21">
        <f>IF(AND(BE$9+6&gt;=$D21,BE$9&lt;=$E21),1,"")</f>
        <v/>
      </c>
      <c r="BF21">
        <f>IF(AND(BF$9+6&gt;=$D21,BF$9&lt;=$E21),1,"")</f>
        <v/>
      </c>
      <c r="BG21">
        <f>IF(AND(BG$9+6&gt;=$D21,BG$9&lt;=$E21),1,"")</f>
        <v/>
      </c>
    </row>
    <row r="22">
      <c r="B22" s="13" t="inlineStr">
        <is>
          <t>Brief contributor groups / working groups (after launch)</t>
        </is>
      </c>
      <c r="C22" s="13" t="inlineStr"/>
      <c r="D22" s="14" t="n">
        <v>46315</v>
      </c>
      <c r="E22" s="14" t="n">
        <v>46332</v>
      </c>
      <c r="F22" s="13" t="inlineStr">
        <is>
          <t>SST</t>
        </is>
      </c>
      <c r="G22" s="13" t="inlineStr"/>
      <c r="H22" s="13" t="inlineStr"/>
      <c r="I22" s="13" t="inlineStr">
        <is>
          <t>Working groups</t>
        </is>
      </c>
      <c r="J22" s="13" t="inlineStr">
        <is>
          <t>Medium</t>
        </is>
      </c>
      <c r="K22" s="13" t="inlineStr">
        <is>
          <t>Not yet started</t>
        </is>
      </c>
      <c r="L22">
        <f>IF(AND(L$9+6&gt;=$D22,L$9&lt;=$E22),1,"")</f>
        <v/>
      </c>
      <c r="M22">
        <f>IF(AND(M$9+6&gt;=$D22,M$9&lt;=$E22),1,"")</f>
        <v/>
      </c>
      <c r="N22">
        <f>IF(AND(N$9+6&gt;=$D22,N$9&lt;=$E22),1,"")</f>
        <v/>
      </c>
      <c r="O22">
        <f>IF(AND(O$9+6&gt;=$D22,O$9&lt;=$E22),1,"")</f>
        <v/>
      </c>
      <c r="P22">
        <f>IF(AND(P$9+6&gt;=$D22,P$9&lt;=$E22),1,"")</f>
        <v/>
      </c>
      <c r="Q22">
        <f>IF(AND(Q$9+6&gt;=$D22,Q$9&lt;=$E22),1,"")</f>
        <v/>
      </c>
      <c r="R22">
        <f>IF(AND(R$9+6&gt;=$D22,R$9&lt;=$E22),1,"")</f>
        <v/>
      </c>
      <c r="S22">
        <f>IF(AND(S$9+6&gt;=$D22,S$9&lt;=$E22),1,"")</f>
        <v/>
      </c>
      <c r="T22">
        <f>IF(AND(T$9+6&gt;=$D22,T$9&lt;=$E22),1,"")</f>
        <v/>
      </c>
      <c r="U22">
        <f>IF(AND(U$9+6&gt;=$D22,U$9&lt;=$E22),1,"")</f>
        <v/>
      </c>
      <c r="V22">
        <f>IF(AND(V$9+6&gt;=$D22,V$9&lt;=$E22),1,"")</f>
        <v/>
      </c>
      <c r="W22">
        <f>IF(AND(W$9+6&gt;=$D22,W$9&lt;=$E22),1,"")</f>
        <v/>
      </c>
      <c r="X22">
        <f>IF(AND(X$9+6&gt;=$D22,X$9&lt;=$E22),1,"")</f>
        <v/>
      </c>
      <c r="Y22">
        <f>IF(AND(Y$9+6&gt;=$D22,Y$9&lt;=$E22),1,"")</f>
        <v/>
      </c>
      <c r="Z22">
        <f>IF(AND(Z$9+6&gt;=$D22,Z$9&lt;=$E22),1,"")</f>
        <v/>
      </c>
      <c r="AA22">
        <f>IF(AND(AA$9+6&gt;=$D22,AA$9&lt;=$E22),1,"")</f>
        <v/>
      </c>
      <c r="AB22">
        <f>IF(AND(AB$9+6&gt;=$D22,AB$9&lt;=$E22),1,"")</f>
        <v/>
      </c>
      <c r="AC22">
        <f>IF(AND(AC$9+6&gt;=$D22,AC$9&lt;=$E22),1,"")</f>
        <v/>
      </c>
      <c r="AD22">
        <f>IF(AND(AD$9+6&gt;=$D22,AD$9&lt;=$E22),1,"")</f>
        <v/>
      </c>
      <c r="AE22">
        <f>IF(AND(AE$9+6&gt;=$D22,AE$9&lt;=$E22),1,"")</f>
        <v/>
      </c>
      <c r="AF22">
        <f>IF(AND(AF$9+6&gt;=$D22,AF$9&lt;=$E22),1,"")</f>
        <v/>
      </c>
      <c r="AG22">
        <f>IF(AND(AG$9+6&gt;=$D22,AG$9&lt;=$E22),1,"")</f>
        <v/>
      </c>
      <c r="AH22">
        <f>IF(AND(AH$9+6&gt;=$D22,AH$9&lt;=$E22),1,"")</f>
        <v/>
      </c>
      <c r="AI22">
        <f>IF(AND(AI$9+6&gt;=$D22,AI$9&lt;=$E22),1,"")</f>
        <v/>
      </c>
      <c r="AJ22">
        <f>IF(AND(AJ$9+6&gt;=$D22,AJ$9&lt;=$E22),1,"")</f>
        <v/>
      </c>
      <c r="AK22">
        <f>IF(AND(AK$9+6&gt;=$D22,AK$9&lt;=$E22),1,"")</f>
        <v/>
      </c>
      <c r="AL22">
        <f>IF(AND(AL$9+6&gt;=$D22,AL$9&lt;=$E22),1,"")</f>
        <v/>
      </c>
      <c r="AM22">
        <f>IF(AND(AM$9+6&gt;=$D22,AM$9&lt;=$E22),1,"")</f>
        <v/>
      </c>
      <c r="AN22">
        <f>IF(AND(AN$9+6&gt;=$D22,AN$9&lt;=$E22),1,"")</f>
        <v/>
      </c>
      <c r="AO22">
        <f>IF(AND(AO$9+6&gt;=$D22,AO$9&lt;=$E22),1,"")</f>
        <v/>
      </c>
      <c r="AP22">
        <f>IF(AND(AP$9+6&gt;=$D22,AP$9&lt;=$E22),1,"")</f>
        <v/>
      </c>
      <c r="AQ22">
        <f>IF(AND(AQ$9+6&gt;=$D22,AQ$9&lt;=$E22),1,"")</f>
        <v/>
      </c>
      <c r="AR22">
        <f>IF(AND(AR$9+6&gt;=$D22,AR$9&lt;=$E22),1,"")</f>
        <v/>
      </c>
      <c r="AS22">
        <f>IF(AND(AS$9+6&gt;=$D22,AS$9&lt;=$E22),1,"")</f>
        <v/>
      </c>
      <c r="AT22">
        <f>IF(AND(AT$9+6&gt;=$D22,AT$9&lt;=$E22),1,"")</f>
        <v/>
      </c>
      <c r="AU22">
        <f>IF(AND(AU$9+6&gt;=$D22,AU$9&lt;=$E22),1,"")</f>
        <v/>
      </c>
      <c r="AV22">
        <f>IF(AND(AV$9+6&gt;=$D22,AV$9&lt;=$E22),1,"")</f>
        <v/>
      </c>
      <c r="AW22">
        <f>IF(AND(AW$9+6&gt;=$D22,AW$9&lt;=$E22),1,"")</f>
        <v/>
      </c>
      <c r="AX22">
        <f>IF(AND(AX$9+6&gt;=$D22,AX$9&lt;=$E22),1,"")</f>
        <v/>
      </c>
      <c r="AY22">
        <f>IF(AND(AY$9+6&gt;=$D22,AY$9&lt;=$E22),1,"")</f>
        <v/>
      </c>
      <c r="AZ22">
        <f>IF(AND(AZ$9+6&gt;=$D22,AZ$9&lt;=$E22),1,"")</f>
        <v/>
      </c>
      <c r="BA22">
        <f>IF(AND(BA$9+6&gt;=$D22,BA$9&lt;=$E22),1,"")</f>
        <v/>
      </c>
      <c r="BB22">
        <f>IF(AND(BB$9+6&gt;=$D22,BB$9&lt;=$E22),1,"")</f>
        <v/>
      </c>
      <c r="BC22">
        <f>IF(AND(BC$9+6&gt;=$D22,BC$9&lt;=$E22),1,"")</f>
        <v/>
      </c>
      <c r="BD22">
        <f>IF(AND(BD$9+6&gt;=$D22,BD$9&lt;=$E22),1,"")</f>
        <v/>
      </c>
      <c r="BE22">
        <f>IF(AND(BE$9+6&gt;=$D22,BE$9&lt;=$E22),1,"")</f>
        <v/>
      </c>
      <c r="BF22">
        <f>IF(AND(BF$9+6&gt;=$D22,BF$9&lt;=$E22),1,"")</f>
        <v/>
      </c>
      <c r="BG22">
        <f>IF(AND(BG$9+6&gt;=$D22,BG$9&lt;=$E22),1,"")</f>
        <v/>
      </c>
    </row>
    <row r="23">
      <c r="B23" s="13" t="inlineStr">
        <is>
          <t>Joint ADs Sustainability &amp; ADs T&amp;L session</t>
        </is>
      </c>
      <c r="C23" s="13" t="inlineStr">
        <is>
          <t>Structured prompt in advance</t>
        </is>
      </c>
      <c r="D23" s="14" t="n">
        <v>46314</v>
      </c>
      <c r="E23" s="14" t="n">
        <v>46325</v>
      </c>
      <c r="F23" s="13" t="inlineStr">
        <is>
          <t>SST</t>
        </is>
      </c>
      <c r="G23" s="13" t="inlineStr"/>
      <c r="H23" s="13" t="inlineStr"/>
      <c r="I23" s="13" t="inlineStr">
        <is>
          <t>ADs</t>
        </is>
      </c>
      <c r="J23" s="13" t="inlineStr">
        <is>
          <t>Medium</t>
        </is>
      </c>
      <c r="K23" s="13" t="inlineStr">
        <is>
          <t>Not yet started</t>
        </is>
      </c>
      <c r="L23">
        <f>IF(AND(L$9+6&gt;=$D23,L$9&lt;=$E23),1,"")</f>
        <v/>
      </c>
      <c r="M23">
        <f>IF(AND(M$9+6&gt;=$D23,M$9&lt;=$E23),1,"")</f>
        <v/>
      </c>
      <c r="N23">
        <f>IF(AND(N$9+6&gt;=$D23,N$9&lt;=$E23),1,"")</f>
        <v/>
      </c>
      <c r="O23">
        <f>IF(AND(O$9+6&gt;=$D23,O$9&lt;=$E23),1,"")</f>
        <v/>
      </c>
      <c r="P23">
        <f>IF(AND(P$9+6&gt;=$D23,P$9&lt;=$E23),1,"")</f>
        <v/>
      </c>
      <c r="Q23">
        <f>IF(AND(Q$9+6&gt;=$D23,Q$9&lt;=$E23),1,"")</f>
        <v/>
      </c>
      <c r="R23">
        <f>IF(AND(R$9+6&gt;=$D23,R$9&lt;=$E23),1,"")</f>
        <v/>
      </c>
      <c r="S23">
        <f>IF(AND(S$9+6&gt;=$D23,S$9&lt;=$E23),1,"")</f>
        <v/>
      </c>
      <c r="T23">
        <f>IF(AND(T$9+6&gt;=$D23,T$9&lt;=$E23),1,"")</f>
        <v/>
      </c>
      <c r="U23">
        <f>IF(AND(U$9+6&gt;=$D23,U$9&lt;=$E23),1,"")</f>
        <v/>
      </c>
      <c r="V23">
        <f>IF(AND(V$9+6&gt;=$D23,V$9&lt;=$E23),1,"")</f>
        <v/>
      </c>
      <c r="W23">
        <f>IF(AND(W$9+6&gt;=$D23,W$9&lt;=$E23),1,"")</f>
        <v/>
      </c>
      <c r="X23">
        <f>IF(AND(X$9+6&gt;=$D23,X$9&lt;=$E23),1,"")</f>
        <v/>
      </c>
      <c r="Y23">
        <f>IF(AND(Y$9+6&gt;=$D23,Y$9&lt;=$E23),1,"")</f>
        <v/>
      </c>
      <c r="Z23">
        <f>IF(AND(Z$9+6&gt;=$D23,Z$9&lt;=$E23),1,"")</f>
        <v/>
      </c>
      <c r="AA23">
        <f>IF(AND(AA$9+6&gt;=$D23,AA$9&lt;=$E23),1,"")</f>
        <v/>
      </c>
      <c r="AB23">
        <f>IF(AND(AB$9+6&gt;=$D23,AB$9&lt;=$E23),1,"")</f>
        <v/>
      </c>
      <c r="AC23">
        <f>IF(AND(AC$9+6&gt;=$D23,AC$9&lt;=$E23),1,"")</f>
        <v/>
      </c>
      <c r="AD23">
        <f>IF(AND(AD$9+6&gt;=$D23,AD$9&lt;=$E23),1,"")</f>
        <v/>
      </c>
      <c r="AE23">
        <f>IF(AND(AE$9+6&gt;=$D23,AE$9&lt;=$E23),1,"")</f>
        <v/>
      </c>
      <c r="AF23">
        <f>IF(AND(AF$9+6&gt;=$D23,AF$9&lt;=$E23),1,"")</f>
        <v/>
      </c>
      <c r="AG23">
        <f>IF(AND(AG$9+6&gt;=$D23,AG$9&lt;=$E23),1,"")</f>
        <v/>
      </c>
      <c r="AH23">
        <f>IF(AND(AH$9+6&gt;=$D23,AH$9&lt;=$E23),1,"")</f>
        <v/>
      </c>
      <c r="AI23">
        <f>IF(AND(AI$9+6&gt;=$D23,AI$9&lt;=$E23),1,"")</f>
        <v/>
      </c>
      <c r="AJ23">
        <f>IF(AND(AJ$9+6&gt;=$D23,AJ$9&lt;=$E23),1,"")</f>
        <v/>
      </c>
      <c r="AK23">
        <f>IF(AND(AK$9+6&gt;=$D23,AK$9&lt;=$E23),1,"")</f>
        <v/>
      </c>
      <c r="AL23">
        <f>IF(AND(AL$9+6&gt;=$D23,AL$9&lt;=$E23),1,"")</f>
        <v/>
      </c>
      <c r="AM23">
        <f>IF(AND(AM$9+6&gt;=$D23,AM$9&lt;=$E23),1,"")</f>
        <v/>
      </c>
      <c r="AN23">
        <f>IF(AND(AN$9+6&gt;=$D23,AN$9&lt;=$E23),1,"")</f>
        <v/>
      </c>
      <c r="AO23">
        <f>IF(AND(AO$9+6&gt;=$D23,AO$9&lt;=$E23),1,"")</f>
        <v/>
      </c>
      <c r="AP23">
        <f>IF(AND(AP$9+6&gt;=$D23,AP$9&lt;=$E23),1,"")</f>
        <v/>
      </c>
      <c r="AQ23">
        <f>IF(AND(AQ$9+6&gt;=$D23,AQ$9&lt;=$E23),1,"")</f>
        <v/>
      </c>
      <c r="AR23">
        <f>IF(AND(AR$9+6&gt;=$D23,AR$9&lt;=$E23),1,"")</f>
        <v/>
      </c>
      <c r="AS23">
        <f>IF(AND(AS$9+6&gt;=$D23,AS$9&lt;=$E23),1,"")</f>
        <v/>
      </c>
      <c r="AT23">
        <f>IF(AND(AT$9+6&gt;=$D23,AT$9&lt;=$E23),1,"")</f>
        <v/>
      </c>
      <c r="AU23">
        <f>IF(AND(AU$9+6&gt;=$D23,AU$9&lt;=$E23),1,"")</f>
        <v/>
      </c>
      <c r="AV23">
        <f>IF(AND(AV$9+6&gt;=$D23,AV$9&lt;=$E23),1,"")</f>
        <v/>
      </c>
      <c r="AW23">
        <f>IF(AND(AW$9+6&gt;=$D23,AW$9&lt;=$E23),1,"")</f>
        <v/>
      </c>
      <c r="AX23">
        <f>IF(AND(AX$9+6&gt;=$D23,AX$9&lt;=$E23),1,"")</f>
        <v/>
      </c>
      <c r="AY23">
        <f>IF(AND(AY$9+6&gt;=$D23,AY$9&lt;=$E23),1,"")</f>
        <v/>
      </c>
      <c r="AZ23">
        <f>IF(AND(AZ$9+6&gt;=$D23,AZ$9&lt;=$E23),1,"")</f>
        <v/>
      </c>
      <c r="BA23">
        <f>IF(AND(BA$9+6&gt;=$D23,BA$9&lt;=$E23),1,"")</f>
        <v/>
      </c>
      <c r="BB23">
        <f>IF(AND(BB$9+6&gt;=$D23,BB$9&lt;=$E23),1,"")</f>
        <v/>
      </c>
      <c r="BC23">
        <f>IF(AND(BC$9+6&gt;=$D23,BC$9&lt;=$E23),1,"")</f>
        <v/>
      </c>
      <c r="BD23">
        <f>IF(AND(BD$9+6&gt;=$D23,BD$9&lt;=$E23),1,"")</f>
        <v/>
      </c>
      <c r="BE23">
        <f>IF(AND(BE$9+6&gt;=$D23,BE$9&lt;=$E23),1,"")</f>
        <v/>
      </c>
      <c r="BF23">
        <f>IF(AND(BF$9+6&gt;=$D23,BF$9&lt;=$E23),1,"")</f>
        <v/>
      </c>
      <c r="BG23">
        <f>IF(AND(BG$9+6&gt;=$D23,BG$9&lt;=$E23),1,"")</f>
        <v/>
      </c>
    </row>
    <row r="24">
      <c r="B24" s="13" t="inlineStr">
        <is>
          <t>Early engagement: socialise requirements in existing meetings (esp. education-related)</t>
        </is>
      </c>
      <c r="C24" s="13" t="inlineStr">
        <is>
          <t>Stakeholder awareness</t>
        </is>
      </c>
      <c r="D24" s="14" t="n">
        <v>46321</v>
      </c>
      <c r="E24" s="14" t="n">
        <v>46325</v>
      </c>
      <c r="F24" s="13" t="inlineStr">
        <is>
          <t>SST</t>
        </is>
      </c>
      <c r="G24" s="13" t="inlineStr"/>
      <c r="H24" s="13" t="inlineStr"/>
      <c r="I24" s="13" t="inlineStr">
        <is>
          <t>Faculties, central units</t>
        </is>
      </c>
      <c r="J24" s="13" t="inlineStr">
        <is>
          <t>High</t>
        </is>
      </c>
      <c r="K24" s="13" t="inlineStr">
        <is>
          <t>Not yet started</t>
        </is>
      </c>
      <c r="L24">
        <f>IF(AND(L$9+6&gt;=$D24,L$9&lt;=$E24),1,"")</f>
        <v/>
      </c>
      <c r="M24">
        <f>IF(AND(M$9+6&gt;=$D24,M$9&lt;=$E24),1,"")</f>
        <v/>
      </c>
      <c r="N24">
        <f>IF(AND(N$9+6&gt;=$D24,N$9&lt;=$E24),1,"")</f>
        <v/>
      </c>
      <c r="O24">
        <f>IF(AND(O$9+6&gt;=$D24,O$9&lt;=$E24),1,"")</f>
        <v/>
      </c>
      <c r="P24">
        <f>IF(AND(P$9+6&gt;=$D24,P$9&lt;=$E24),1,"")</f>
        <v/>
      </c>
      <c r="Q24">
        <f>IF(AND(Q$9+6&gt;=$D24,Q$9&lt;=$E24),1,"")</f>
        <v/>
      </c>
      <c r="R24">
        <f>IF(AND(R$9+6&gt;=$D24,R$9&lt;=$E24),1,"")</f>
        <v/>
      </c>
      <c r="S24">
        <f>IF(AND(S$9+6&gt;=$D24,S$9&lt;=$E24),1,"")</f>
        <v/>
      </c>
      <c r="T24">
        <f>IF(AND(T$9+6&gt;=$D24,T$9&lt;=$E24),1,"")</f>
        <v/>
      </c>
      <c r="U24">
        <f>IF(AND(U$9+6&gt;=$D24,U$9&lt;=$E24),1,"")</f>
        <v/>
      </c>
      <c r="V24">
        <f>IF(AND(V$9+6&gt;=$D24,V$9&lt;=$E24),1,"")</f>
        <v/>
      </c>
      <c r="W24">
        <f>IF(AND(W$9+6&gt;=$D24,W$9&lt;=$E24),1,"")</f>
        <v/>
      </c>
      <c r="X24">
        <f>IF(AND(X$9+6&gt;=$D24,X$9&lt;=$E24),1,"")</f>
        <v/>
      </c>
      <c r="Y24">
        <f>IF(AND(Y$9+6&gt;=$D24,Y$9&lt;=$E24),1,"")</f>
        <v/>
      </c>
      <c r="Z24">
        <f>IF(AND(Z$9+6&gt;=$D24,Z$9&lt;=$E24),1,"")</f>
        <v/>
      </c>
      <c r="AA24">
        <f>IF(AND(AA$9+6&gt;=$D24,AA$9&lt;=$E24),1,"")</f>
        <v/>
      </c>
      <c r="AB24">
        <f>IF(AND(AB$9+6&gt;=$D24,AB$9&lt;=$E24),1,"")</f>
        <v/>
      </c>
      <c r="AC24">
        <f>IF(AND(AC$9+6&gt;=$D24,AC$9&lt;=$E24),1,"")</f>
        <v/>
      </c>
      <c r="AD24">
        <f>IF(AND(AD$9+6&gt;=$D24,AD$9&lt;=$E24),1,"")</f>
        <v/>
      </c>
      <c r="AE24">
        <f>IF(AND(AE$9+6&gt;=$D24,AE$9&lt;=$E24),1,"")</f>
        <v/>
      </c>
      <c r="AF24">
        <f>IF(AND(AF$9+6&gt;=$D24,AF$9&lt;=$E24),1,"")</f>
        <v/>
      </c>
      <c r="AG24">
        <f>IF(AND(AG$9+6&gt;=$D24,AG$9&lt;=$E24),1,"")</f>
        <v/>
      </c>
      <c r="AH24">
        <f>IF(AND(AH$9+6&gt;=$D24,AH$9&lt;=$E24),1,"")</f>
        <v/>
      </c>
      <c r="AI24">
        <f>IF(AND(AI$9+6&gt;=$D24,AI$9&lt;=$E24),1,"")</f>
        <v/>
      </c>
      <c r="AJ24">
        <f>IF(AND(AJ$9+6&gt;=$D24,AJ$9&lt;=$E24),1,"")</f>
        <v/>
      </c>
      <c r="AK24">
        <f>IF(AND(AK$9+6&gt;=$D24,AK$9&lt;=$E24),1,"")</f>
        <v/>
      </c>
      <c r="AL24">
        <f>IF(AND(AL$9+6&gt;=$D24,AL$9&lt;=$E24),1,"")</f>
        <v/>
      </c>
      <c r="AM24">
        <f>IF(AND(AM$9+6&gt;=$D24,AM$9&lt;=$E24),1,"")</f>
        <v/>
      </c>
      <c r="AN24">
        <f>IF(AND(AN$9+6&gt;=$D24,AN$9&lt;=$E24),1,"")</f>
        <v/>
      </c>
      <c r="AO24">
        <f>IF(AND(AO$9+6&gt;=$D24,AO$9&lt;=$E24),1,"")</f>
        <v/>
      </c>
      <c r="AP24">
        <f>IF(AND(AP$9+6&gt;=$D24,AP$9&lt;=$E24),1,"")</f>
        <v/>
      </c>
      <c r="AQ24">
        <f>IF(AND(AQ$9+6&gt;=$D24,AQ$9&lt;=$E24),1,"")</f>
        <v/>
      </c>
      <c r="AR24">
        <f>IF(AND(AR$9+6&gt;=$D24,AR$9&lt;=$E24),1,"")</f>
        <v/>
      </c>
      <c r="AS24">
        <f>IF(AND(AS$9+6&gt;=$D24,AS$9&lt;=$E24),1,"")</f>
        <v/>
      </c>
      <c r="AT24">
        <f>IF(AND(AT$9+6&gt;=$D24,AT$9&lt;=$E24),1,"")</f>
        <v/>
      </c>
      <c r="AU24">
        <f>IF(AND(AU$9+6&gt;=$D24,AU$9&lt;=$E24),1,"")</f>
        <v/>
      </c>
      <c r="AV24">
        <f>IF(AND(AV$9+6&gt;=$D24,AV$9&lt;=$E24),1,"")</f>
        <v/>
      </c>
      <c r="AW24">
        <f>IF(AND(AW$9+6&gt;=$D24,AW$9&lt;=$E24),1,"")</f>
        <v/>
      </c>
      <c r="AX24">
        <f>IF(AND(AX$9+6&gt;=$D24,AX$9&lt;=$E24),1,"")</f>
        <v/>
      </c>
      <c r="AY24">
        <f>IF(AND(AY$9+6&gt;=$D24,AY$9&lt;=$E24),1,"")</f>
        <v/>
      </c>
      <c r="AZ24">
        <f>IF(AND(AZ$9+6&gt;=$D24,AZ$9&lt;=$E24),1,"")</f>
        <v/>
      </c>
      <c r="BA24">
        <f>IF(AND(BA$9+6&gt;=$D24,BA$9&lt;=$E24),1,"")</f>
        <v/>
      </c>
      <c r="BB24">
        <f>IF(AND(BB$9+6&gt;=$D24,BB$9&lt;=$E24),1,"")</f>
        <v/>
      </c>
      <c r="BC24">
        <f>IF(AND(BC$9+6&gt;=$D24,BC$9&lt;=$E24),1,"")</f>
        <v/>
      </c>
      <c r="BD24">
        <f>IF(AND(BD$9+6&gt;=$D24,BD$9&lt;=$E24),1,"")</f>
        <v/>
      </c>
      <c r="BE24">
        <f>IF(AND(BE$9+6&gt;=$D24,BE$9&lt;=$E24),1,"")</f>
        <v/>
      </c>
      <c r="BF24">
        <f>IF(AND(BF$9+6&gt;=$D24,BF$9&lt;=$E24),1,"")</f>
        <v/>
      </c>
      <c r="BG24">
        <f>IF(AND(BG$9+6&gt;=$D24,BG$9&lt;=$E24),1,"")</f>
        <v/>
      </c>
    </row>
    <row r="25">
      <c r="B25" s="11" t="inlineStr">
        <is>
          <t>Collection &amp; evidence (Nov–Dec 2026)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</row>
    <row r="26">
      <c r="B26" s="13" t="inlineStr">
        <is>
          <t>Collection launch: issue tailored requests (separate workbook per faculty/unit)</t>
        </is>
      </c>
      <c r="C26" s="13" t="inlineStr">
        <is>
          <t>Requests formally issued</t>
        </is>
      </c>
      <c r="D26" s="14" t="n">
        <v>46328</v>
      </c>
      <c r="E26" s="14" t="n">
        <v>46332</v>
      </c>
      <c r="F26" s="13" t="inlineStr">
        <is>
          <t>SST</t>
        </is>
      </c>
      <c r="G26" s="13" t="inlineStr">
        <is>
          <t>Director, Sustainability</t>
        </is>
      </c>
      <c r="H26" s="13" t="inlineStr">
        <is>
          <t>COO (sponsor)</t>
        </is>
      </c>
      <c r="I26" s="13" t="inlineStr"/>
      <c r="J26" s="13" t="inlineStr">
        <is>
          <t>High</t>
        </is>
      </c>
      <c r="K26" s="13" t="inlineStr">
        <is>
          <t>Not yet started</t>
        </is>
      </c>
      <c r="L26">
        <f>IF(AND(L$9+6&gt;=$D26,L$9&lt;=$E26),1,"")</f>
        <v/>
      </c>
      <c r="M26">
        <f>IF(AND(M$9+6&gt;=$D26,M$9&lt;=$E26),1,"")</f>
        <v/>
      </c>
      <c r="N26">
        <f>IF(AND(N$9+6&gt;=$D26,N$9&lt;=$E26),1,"")</f>
        <v/>
      </c>
      <c r="O26">
        <f>IF(AND(O$9+6&gt;=$D26,O$9&lt;=$E26),1,"")</f>
        <v/>
      </c>
      <c r="P26">
        <f>IF(AND(P$9+6&gt;=$D26,P$9&lt;=$E26),1,"")</f>
        <v/>
      </c>
      <c r="Q26">
        <f>IF(AND(Q$9+6&gt;=$D26,Q$9&lt;=$E26),1,"")</f>
        <v/>
      </c>
      <c r="R26">
        <f>IF(AND(R$9+6&gt;=$D26,R$9&lt;=$E26),1,"")</f>
        <v/>
      </c>
      <c r="S26">
        <f>IF(AND(S$9+6&gt;=$D26,S$9&lt;=$E26),1,"")</f>
        <v/>
      </c>
      <c r="T26">
        <f>IF(AND(T$9+6&gt;=$D26,T$9&lt;=$E26),1,"")</f>
        <v/>
      </c>
      <c r="U26">
        <f>IF(AND(U$9+6&gt;=$D26,U$9&lt;=$E26),1,"")</f>
        <v/>
      </c>
      <c r="V26">
        <f>IF(AND(V$9+6&gt;=$D26,V$9&lt;=$E26),1,"")</f>
        <v/>
      </c>
      <c r="W26">
        <f>IF(AND(W$9+6&gt;=$D26,W$9&lt;=$E26),1,"")</f>
        <v/>
      </c>
      <c r="X26">
        <f>IF(AND(X$9+6&gt;=$D26,X$9&lt;=$E26),1,"")</f>
        <v/>
      </c>
      <c r="Y26">
        <f>IF(AND(Y$9+6&gt;=$D26,Y$9&lt;=$E26),1,"")</f>
        <v/>
      </c>
      <c r="Z26">
        <f>IF(AND(Z$9+6&gt;=$D26,Z$9&lt;=$E26),1,"")</f>
        <v/>
      </c>
      <c r="AA26">
        <f>IF(AND(AA$9+6&gt;=$D26,AA$9&lt;=$E26),1,"")</f>
        <v/>
      </c>
      <c r="AB26">
        <f>IF(AND(AB$9+6&gt;=$D26,AB$9&lt;=$E26),1,"")</f>
        <v/>
      </c>
      <c r="AC26">
        <f>IF(AND(AC$9+6&gt;=$D26,AC$9&lt;=$E26),1,"")</f>
        <v/>
      </c>
      <c r="AD26">
        <f>IF(AND(AD$9+6&gt;=$D26,AD$9&lt;=$E26),1,"")</f>
        <v/>
      </c>
      <c r="AE26">
        <f>IF(AND(AE$9+6&gt;=$D26,AE$9&lt;=$E26),1,"")</f>
        <v/>
      </c>
      <c r="AF26">
        <f>IF(AND(AF$9+6&gt;=$D26,AF$9&lt;=$E26),1,"")</f>
        <v/>
      </c>
      <c r="AG26">
        <f>IF(AND(AG$9+6&gt;=$D26,AG$9&lt;=$E26),1,"")</f>
        <v/>
      </c>
      <c r="AH26">
        <f>IF(AND(AH$9+6&gt;=$D26,AH$9&lt;=$E26),1,"")</f>
        <v/>
      </c>
      <c r="AI26">
        <f>IF(AND(AI$9+6&gt;=$D26,AI$9&lt;=$E26),1,"")</f>
        <v/>
      </c>
      <c r="AJ26">
        <f>IF(AND(AJ$9+6&gt;=$D26,AJ$9&lt;=$E26),1,"")</f>
        <v/>
      </c>
      <c r="AK26">
        <f>IF(AND(AK$9+6&gt;=$D26,AK$9&lt;=$E26),1,"")</f>
        <v/>
      </c>
      <c r="AL26">
        <f>IF(AND(AL$9+6&gt;=$D26,AL$9&lt;=$E26),1,"")</f>
        <v/>
      </c>
      <c r="AM26">
        <f>IF(AND(AM$9+6&gt;=$D26,AM$9&lt;=$E26),1,"")</f>
        <v/>
      </c>
      <c r="AN26">
        <f>IF(AND(AN$9+6&gt;=$D26,AN$9&lt;=$E26),1,"")</f>
        <v/>
      </c>
      <c r="AO26">
        <f>IF(AND(AO$9+6&gt;=$D26,AO$9&lt;=$E26),1,"")</f>
        <v/>
      </c>
      <c r="AP26">
        <f>IF(AND(AP$9+6&gt;=$D26,AP$9&lt;=$E26),1,"")</f>
        <v/>
      </c>
      <c r="AQ26">
        <f>IF(AND(AQ$9+6&gt;=$D26,AQ$9&lt;=$E26),1,"")</f>
        <v/>
      </c>
      <c r="AR26">
        <f>IF(AND(AR$9+6&gt;=$D26,AR$9&lt;=$E26),1,"")</f>
        <v/>
      </c>
      <c r="AS26">
        <f>IF(AND(AS$9+6&gt;=$D26,AS$9&lt;=$E26),1,"")</f>
        <v/>
      </c>
      <c r="AT26">
        <f>IF(AND(AT$9+6&gt;=$D26,AT$9&lt;=$E26),1,"")</f>
        <v/>
      </c>
      <c r="AU26">
        <f>IF(AND(AU$9+6&gt;=$D26,AU$9&lt;=$E26),1,"")</f>
        <v/>
      </c>
      <c r="AV26">
        <f>IF(AND(AV$9+6&gt;=$D26,AV$9&lt;=$E26),1,"")</f>
        <v/>
      </c>
      <c r="AW26">
        <f>IF(AND(AW$9+6&gt;=$D26,AW$9&lt;=$E26),1,"")</f>
        <v/>
      </c>
      <c r="AX26">
        <f>IF(AND(AX$9+6&gt;=$D26,AX$9&lt;=$E26),1,"")</f>
        <v/>
      </c>
      <c r="AY26">
        <f>IF(AND(AY$9+6&gt;=$D26,AY$9&lt;=$E26),1,"")</f>
        <v/>
      </c>
      <c r="AZ26">
        <f>IF(AND(AZ$9+6&gt;=$D26,AZ$9&lt;=$E26),1,"")</f>
        <v/>
      </c>
      <c r="BA26">
        <f>IF(AND(BA$9+6&gt;=$D26,BA$9&lt;=$E26),1,"")</f>
        <v/>
      </c>
      <c r="BB26">
        <f>IF(AND(BB$9+6&gt;=$D26,BB$9&lt;=$E26),1,"")</f>
        <v/>
      </c>
      <c r="BC26">
        <f>IF(AND(BC$9+6&gt;=$D26,BC$9&lt;=$E26),1,"")</f>
        <v/>
      </c>
      <c r="BD26">
        <f>IF(AND(BD$9+6&gt;=$D26,BD$9&lt;=$E26),1,"")</f>
        <v/>
      </c>
      <c r="BE26">
        <f>IF(AND(BE$9+6&gt;=$D26,BE$9&lt;=$E26),1,"")</f>
        <v/>
      </c>
      <c r="BF26">
        <f>IF(AND(BF$9+6&gt;=$D26,BF$9&lt;=$E26),1,"")</f>
        <v/>
      </c>
      <c r="BG26">
        <f>IF(AND(BG$9+6&gt;=$D26,BG$9&lt;=$E26),1,"")</f>
        <v/>
      </c>
    </row>
    <row r="27">
      <c r="B27" s="13" t="inlineStr">
        <is>
          <t>Collection period: stakeholders prepare responses and evidence</t>
        </is>
      </c>
      <c r="C27" s="13" t="inlineStr">
        <is>
          <t>Initial submission</t>
        </is>
      </c>
      <c r="D27" s="14" t="n">
        <v>46328</v>
      </c>
      <c r="E27" s="14" t="n">
        <v>46371</v>
      </c>
      <c r="F27" s="13" t="inlineStr">
        <is>
          <t>Faculties, central units</t>
        </is>
      </c>
      <c r="G27" s="13" t="inlineStr"/>
      <c r="H27" s="13" t="inlineStr">
        <is>
          <t>SST</t>
        </is>
      </c>
      <c r="I27" s="13" t="inlineStr"/>
      <c r="J27" s="13" t="inlineStr">
        <is>
          <t>High</t>
        </is>
      </c>
      <c r="K27" s="13" t="inlineStr">
        <is>
          <t>Not yet started</t>
        </is>
      </c>
      <c r="L27">
        <f>IF(AND(L$9+6&gt;=$D27,L$9&lt;=$E27),1,"")</f>
        <v/>
      </c>
      <c r="M27">
        <f>IF(AND(M$9+6&gt;=$D27,M$9&lt;=$E27),1,"")</f>
        <v/>
      </c>
      <c r="N27">
        <f>IF(AND(N$9+6&gt;=$D27,N$9&lt;=$E27),1,"")</f>
        <v/>
      </c>
      <c r="O27">
        <f>IF(AND(O$9+6&gt;=$D27,O$9&lt;=$E27),1,"")</f>
        <v/>
      </c>
      <c r="P27">
        <f>IF(AND(P$9+6&gt;=$D27,P$9&lt;=$E27),1,"")</f>
        <v/>
      </c>
      <c r="Q27">
        <f>IF(AND(Q$9+6&gt;=$D27,Q$9&lt;=$E27),1,"")</f>
        <v/>
      </c>
      <c r="R27">
        <f>IF(AND(R$9+6&gt;=$D27,R$9&lt;=$E27),1,"")</f>
        <v/>
      </c>
      <c r="S27">
        <f>IF(AND(S$9+6&gt;=$D27,S$9&lt;=$E27),1,"")</f>
        <v/>
      </c>
      <c r="T27">
        <f>IF(AND(T$9+6&gt;=$D27,T$9&lt;=$E27),1,"")</f>
        <v/>
      </c>
      <c r="U27">
        <f>IF(AND(U$9+6&gt;=$D27,U$9&lt;=$E27),1,"")</f>
        <v/>
      </c>
      <c r="V27">
        <f>IF(AND(V$9+6&gt;=$D27,V$9&lt;=$E27),1,"")</f>
        <v/>
      </c>
      <c r="W27">
        <f>IF(AND(W$9+6&gt;=$D27,W$9&lt;=$E27),1,"")</f>
        <v/>
      </c>
      <c r="X27">
        <f>IF(AND(X$9+6&gt;=$D27,X$9&lt;=$E27),1,"")</f>
        <v/>
      </c>
      <c r="Y27">
        <f>IF(AND(Y$9+6&gt;=$D27,Y$9&lt;=$E27),1,"")</f>
        <v/>
      </c>
      <c r="Z27">
        <f>IF(AND(Z$9+6&gt;=$D27,Z$9&lt;=$E27),1,"")</f>
        <v/>
      </c>
      <c r="AA27">
        <f>IF(AND(AA$9+6&gt;=$D27,AA$9&lt;=$E27),1,"")</f>
        <v/>
      </c>
      <c r="AB27">
        <f>IF(AND(AB$9+6&gt;=$D27,AB$9&lt;=$E27),1,"")</f>
        <v/>
      </c>
      <c r="AC27">
        <f>IF(AND(AC$9+6&gt;=$D27,AC$9&lt;=$E27),1,"")</f>
        <v/>
      </c>
      <c r="AD27">
        <f>IF(AND(AD$9+6&gt;=$D27,AD$9&lt;=$E27),1,"")</f>
        <v/>
      </c>
      <c r="AE27">
        <f>IF(AND(AE$9+6&gt;=$D27,AE$9&lt;=$E27),1,"")</f>
        <v/>
      </c>
      <c r="AF27">
        <f>IF(AND(AF$9+6&gt;=$D27,AF$9&lt;=$E27),1,"")</f>
        <v/>
      </c>
      <c r="AG27">
        <f>IF(AND(AG$9+6&gt;=$D27,AG$9&lt;=$E27),1,"")</f>
        <v/>
      </c>
      <c r="AH27">
        <f>IF(AND(AH$9+6&gt;=$D27,AH$9&lt;=$E27),1,"")</f>
        <v/>
      </c>
      <c r="AI27">
        <f>IF(AND(AI$9+6&gt;=$D27,AI$9&lt;=$E27),1,"")</f>
        <v/>
      </c>
      <c r="AJ27">
        <f>IF(AND(AJ$9+6&gt;=$D27,AJ$9&lt;=$E27),1,"")</f>
        <v/>
      </c>
      <c r="AK27">
        <f>IF(AND(AK$9+6&gt;=$D27,AK$9&lt;=$E27),1,"")</f>
        <v/>
      </c>
      <c r="AL27">
        <f>IF(AND(AL$9+6&gt;=$D27,AL$9&lt;=$E27),1,"")</f>
        <v/>
      </c>
      <c r="AM27">
        <f>IF(AND(AM$9+6&gt;=$D27,AM$9&lt;=$E27),1,"")</f>
        <v/>
      </c>
      <c r="AN27">
        <f>IF(AND(AN$9+6&gt;=$D27,AN$9&lt;=$E27),1,"")</f>
        <v/>
      </c>
      <c r="AO27">
        <f>IF(AND(AO$9+6&gt;=$D27,AO$9&lt;=$E27),1,"")</f>
        <v/>
      </c>
      <c r="AP27">
        <f>IF(AND(AP$9+6&gt;=$D27,AP$9&lt;=$E27),1,"")</f>
        <v/>
      </c>
      <c r="AQ27">
        <f>IF(AND(AQ$9+6&gt;=$D27,AQ$9&lt;=$E27),1,"")</f>
        <v/>
      </c>
      <c r="AR27">
        <f>IF(AND(AR$9+6&gt;=$D27,AR$9&lt;=$E27),1,"")</f>
        <v/>
      </c>
      <c r="AS27">
        <f>IF(AND(AS$9+6&gt;=$D27,AS$9&lt;=$E27),1,"")</f>
        <v/>
      </c>
      <c r="AT27">
        <f>IF(AND(AT$9+6&gt;=$D27,AT$9&lt;=$E27),1,"")</f>
        <v/>
      </c>
      <c r="AU27">
        <f>IF(AND(AU$9+6&gt;=$D27,AU$9&lt;=$E27),1,"")</f>
        <v/>
      </c>
      <c r="AV27">
        <f>IF(AND(AV$9+6&gt;=$D27,AV$9&lt;=$E27),1,"")</f>
        <v/>
      </c>
      <c r="AW27">
        <f>IF(AND(AW$9+6&gt;=$D27,AW$9&lt;=$E27),1,"")</f>
        <v/>
      </c>
      <c r="AX27">
        <f>IF(AND(AX$9+6&gt;=$D27,AX$9&lt;=$E27),1,"")</f>
        <v/>
      </c>
      <c r="AY27">
        <f>IF(AND(AY$9+6&gt;=$D27,AY$9&lt;=$E27),1,"")</f>
        <v/>
      </c>
      <c r="AZ27">
        <f>IF(AND(AZ$9+6&gt;=$D27,AZ$9&lt;=$E27),1,"")</f>
        <v/>
      </c>
      <c r="BA27">
        <f>IF(AND(BA$9+6&gt;=$D27,BA$9&lt;=$E27),1,"")</f>
        <v/>
      </c>
      <c r="BB27">
        <f>IF(AND(BB$9+6&gt;=$D27,BB$9&lt;=$E27),1,"")</f>
        <v/>
      </c>
      <c r="BC27">
        <f>IF(AND(BC$9+6&gt;=$D27,BC$9&lt;=$E27),1,"")</f>
        <v/>
      </c>
      <c r="BD27">
        <f>IF(AND(BD$9+6&gt;=$D27,BD$9&lt;=$E27),1,"")</f>
        <v/>
      </c>
      <c r="BE27">
        <f>IF(AND(BE$9+6&gt;=$D27,BE$9&lt;=$E27),1,"")</f>
        <v/>
      </c>
      <c r="BF27">
        <f>IF(AND(BF$9+6&gt;=$D27,BF$9&lt;=$E27),1,"")</f>
        <v/>
      </c>
      <c r="BG27">
        <f>IF(AND(BG$9+6&gt;=$D27,BG$9&lt;=$E27),1,"")</f>
        <v/>
      </c>
    </row>
    <row r="28">
      <c r="B28" s="13" t="inlineStr">
        <is>
          <t>CDSS answers questions and records clarifications centrally</t>
        </is>
      </c>
      <c r="C28" s="13" t="inlineStr">
        <is>
          <t>Clarifications log</t>
        </is>
      </c>
      <c r="D28" s="14" t="n">
        <v>46328</v>
      </c>
      <c r="E28" s="14" t="n">
        <v>46371</v>
      </c>
      <c r="F28" s="13" t="inlineStr">
        <is>
          <t>CDSS</t>
        </is>
      </c>
      <c r="G28" s="13" t="inlineStr"/>
      <c r="H28" s="13" t="inlineStr"/>
      <c r="I28" s="13" t="inlineStr"/>
      <c r="J28" s="13" t="inlineStr">
        <is>
          <t>Medium</t>
        </is>
      </c>
      <c r="K28" s="13" t="inlineStr">
        <is>
          <t>Not yet started</t>
        </is>
      </c>
      <c r="L28">
        <f>IF(AND(L$9+6&gt;=$D28,L$9&lt;=$E28),1,"")</f>
        <v/>
      </c>
      <c r="M28">
        <f>IF(AND(M$9+6&gt;=$D28,M$9&lt;=$E28),1,"")</f>
        <v/>
      </c>
      <c r="N28">
        <f>IF(AND(N$9+6&gt;=$D28,N$9&lt;=$E28),1,"")</f>
        <v/>
      </c>
      <c r="O28">
        <f>IF(AND(O$9+6&gt;=$D28,O$9&lt;=$E28),1,"")</f>
        <v/>
      </c>
      <c r="P28">
        <f>IF(AND(P$9+6&gt;=$D28,P$9&lt;=$E28),1,"")</f>
        <v/>
      </c>
      <c r="Q28">
        <f>IF(AND(Q$9+6&gt;=$D28,Q$9&lt;=$E28),1,"")</f>
        <v/>
      </c>
      <c r="R28">
        <f>IF(AND(R$9+6&gt;=$D28,R$9&lt;=$E28),1,"")</f>
        <v/>
      </c>
      <c r="S28">
        <f>IF(AND(S$9+6&gt;=$D28,S$9&lt;=$E28),1,"")</f>
        <v/>
      </c>
      <c r="T28">
        <f>IF(AND(T$9+6&gt;=$D28,T$9&lt;=$E28),1,"")</f>
        <v/>
      </c>
      <c r="U28">
        <f>IF(AND(U$9+6&gt;=$D28,U$9&lt;=$E28),1,"")</f>
        <v/>
      </c>
      <c r="V28">
        <f>IF(AND(V$9+6&gt;=$D28,V$9&lt;=$E28),1,"")</f>
        <v/>
      </c>
      <c r="W28">
        <f>IF(AND(W$9+6&gt;=$D28,W$9&lt;=$E28),1,"")</f>
        <v/>
      </c>
      <c r="X28">
        <f>IF(AND(X$9+6&gt;=$D28,X$9&lt;=$E28),1,"")</f>
        <v/>
      </c>
      <c r="Y28">
        <f>IF(AND(Y$9+6&gt;=$D28,Y$9&lt;=$E28),1,"")</f>
        <v/>
      </c>
      <c r="Z28">
        <f>IF(AND(Z$9+6&gt;=$D28,Z$9&lt;=$E28),1,"")</f>
        <v/>
      </c>
      <c r="AA28">
        <f>IF(AND(AA$9+6&gt;=$D28,AA$9&lt;=$E28),1,"")</f>
        <v/>
      </c>
      <c r="AB28">
        <f>IF(AND(AB$9+6&gt;=$D28,AB$9&lt;=$E28),1,"")</f>
        <v/>
      </c>
      <c r="AC28">
        <f>IF(AND(AC$9+6&gt;=$D28,AC$9&lt;=$E28),1,"")</f>
        <v/>
      </c>
      <c r="AD28">
        <f>IF(AND(AD$9+6&gt;=$D28,AD$9&lt;=$E28),1,"")</f>
        <v/>
      </c>
      <c r="AE28">
        <f>IF(AND(AE$9+6&gt;=$D28,AE$9&lt;=$E28),1,"")</f>
        <v/>
      </c>
      <c r="AF28">
        <f>IF(AND(AF$9+6&gt;=$D28,AF$9&lt;=$E28),1,"")</f>
        <v/>
      </c>
      <c r="AG28">
        <f>IF(AND(AG$9+6&gt;=$D28,AG$9&lt;=$E28),1,"")</f>
        <v/>
      </c>
      <c r="AH28">
        <f>IF(AND(AH$9+6&gt;=$D28,AH$9&lt;=$E28),1,"")</f>
        <v/>
      </c>
      <c r="AI28">
        <f>IF(AND(AI$9+6&gt;=$D28,AI$9&lt;=$E28),1,"")</f>
        <v/>
      </c>
      <c r="AJ28">
        <f>IF(AND(AJ$9+6&gt;=$D28,AJ$9&lt;=$E28),1,"")</f>
        <v/>
      </c>
      <c r="AK28">
        <f>IF(AND(AK$9+6&gt;=$D28,AK$9&lt;=$E28),1,"")</f>
        <v/>
      </c>
      <c r="AL28">
        <f>IF(AND(AL$9+6&gt;=$D28,AL$9&lt;=$E28),1,"")</f>
        <v/>
      </c>
      <c r="AM28">
        <f>IF(AND(AM$9+6&gt;=$D28,AM$9&lt;=$E28),1,"")</f>
        <v/>
      </c>
      <c r="AN28">
        <f>IF(AND(AN$9+6&gt;=$D28,AN$9&lt;=$E28),1,"")</f>
        <v/>
      </c>
      <c r="AO28">
        <f>IF(AND(AO$9+6&gt;=$D28,AO$9&lt;=$E28),1,"")</f>
        <v/>
      </c>
      <c r="AP28">
        <f>IF(AND(AP$9+6&gt;=$D28,AP$9&lt;=$E28),1,"")</f>
        <v/>
      </c>
      <c r="AQ28">
        <f>IF(AND(AQ$9+6&gt;=$D28,AQ$9&lt;=$E28),1,"")</f>
        <v/>
      </c>
      <c r="AR28">
        <f>IF(AND(AR$9+6&gt;=$D28,AR$9&lt;=$E28),1,"")</f>
        <v/>
      </c>
      <c r="AS28">
        <f>IF(AND(AS$9+6&gt;=$D28,AS$9&lt;=$E28),1,"")</f>
        <v/>
      </c>
      <c r="AT28">
        <f>IF(AND(AT$9+6&gt;=$D28,AT$9&lt;=$E28),1,"")</f>
        <v/>
      </c>
      <c r="AU28">
        <f>IF(AND(AU$9+6&gt;=$D28,AU$9&lt;=$E28),1,"")</f>
        <v/>
      </c>
      <c r="AV28">
        <f>IF(AND(AV$9+6&gt;=$D28,AV$9&lt;=$E28),1,"")</f>
        <v/>
      </c>
      <c r="AW28">
        <f>IF(AND(AW$9+6&gt;=$D28,AW$9&lt;=$E28),1,"")</f>
        <v/>
      </c>
      <c r="AX28">
        <f>IF(AND(AX$9+6&gt;=$D28,AX$9&lt;=$E28),1,"")</f>
        <v/>
      </c>
      <c r="AY28">
        <f>IF(AND(AY$9+6&gt;=$D28,AY$9&lt;=$E28),1,"")</f>
        <v/>
      </c>
      <c r="AZ28">
        <f>IF(AND(AZ$9+6&gt;=$D28,AZ$9&lt;=$E28),1,"")</f>
        <v/>
      </c>
      <c r="BA28">
        <f>IF(AND(BA$9+6&gt;=$D28,BA$9&lt;=$E28),1,"")</f>
        <v/>
      </c>
      <c r="BB28">
        <f>IF(AND(BB$9+6&gt;=$D28,BB$9&lt;=$E28),1,"")</f>
        <v/>
      </c>
      <c r="BC28">
        <f>IF(AND(BC$9+6&gt;=$D28,BC$9&lt;=$E28),1,"")</f>
        <v/>
      </c>
      <c r="BD28">
        <f>IF(AND(BD$9+6&gt;=$D28,BD$9&lt;=$E28),1,"")</f>
        <v/>
      </c>
      <c r="BE28">
        <f>IF(AND(BE$9+6&gt;=$D28,BE$9&lt;=$E28),1,"")</f>
        <v/>
      </c>
      <c r="BF28">
        <f>IF(AND(BF$9+6&gt;=$D28,BF$9&lt;=$E28),1,"")</f>
        <v/>
      </c>
      <c r="BG28">
        <f>IF(AND(BG$9+6&gt;=$D28,BG$9&lt;=$E28),1,"")</f>
        <v/>
      </c>
    </row>
    <row r="29">
      <c r="B29" s="13" t="inlineStr">
        <is>
          <t>Optional 1:1 meetings (on request)</t>
        </is>
      </c>
      <c r="C29" s="13" t="inlineStr"/>
      <c r="D29" s="14" t="n">
        <v>46328</v>
      </c>
      <c r="E29" s="14" t="n">
        <v>46371</v>
      </c>
      <c r="F29" s="13" t="inlineStr">
        <is>
          <t>SST</t>
        </is>
      </c>
      <c r="G29" s="13" t="inlineStr"/>
      <c r="H29" s="13" t="inlineStr"/>
      <c r="I29" s="13" t="inlineStr">
        <is>
          <t>Data owners</t>
        </is>
      </c>
      <c r="J29" s="13" t="inlineStr">
        <is>
          <t>Medium</t>
        </is>
      </c>
      <c r="K29" s="13" t="inlineStr">
        <is>
          <t>Not yet started</t>
        </is>
      </c>
      <c r="L29">
        <f>IF(AND(L$9+6&gt;=$D29,L$9&lt;=$E29),1,"")</f>
        <v/>
      </c>
      <c r="M29">
        <f>IF(AND(M$9+6&gt;=$D29,M$9&lt;=$E29),1,"")</f>
        <v/>
      </c>
      <c r="N29">
        <f>IF(AND(N$9+6&gt;=$D29,N$9&lt;=$E29),1,"")</f>
        <v/>
      </c>
      <c r="O29">
        <f>IF(AND(O$9+6&gt;=$D29,O$9&lt;=$E29),1,"")</f>
        <v/>
      </c>
      <c r="P29">
        <f>IF(AND(P$9+6&gt;=$D29,P$9&lt;=$E29),1,"")</f>
        <v/>
      </c>
      <c r="Q29">
        <f>IF(AND(Q$9+6&gt;=$D29,Q$9&lt;=$E29),1,"")</f>
        <v/>
      </c>
      <c r="R29">
        <f>IF(AND(R$9+6&gt;=$D29,R$9&lt;=$E29),1,"")</f>
        <v/>
      </c>
      <c r="S29">
        <f>IF(AND(S$9+6&gt;=$D29,S$9&lt;=$E29),1,"")</f>
        <v/>
      </c>
      <c r="T29">
        <f>IF(AND(T$9+6&gt;=$D29,T$9&lt;=$E29),1,"")</f>
        <v/>
      </c>
      <c r="U29">
        <f>IF(AND(U$9+6&gt;=$D29,U$9&lt;=$E29),1,"")</f>
        <v/>
      </c>
      <c r="V29">
        <f>IF(AND(V$9+6&gt;=$D29,V$9&lt;=$E29),1,"")</f>
        <v/>
      </c>
      <c r="W29">
        <f>IF(AND(W$9+6&gt;=$D29,W$9&lt;=$E29),1,"")</f>
        <v/>
      </c>
      <c r="X29">
        <f>IF(AND(X$9+6&gt;=$D29,X$9&lt;=$E29),1,"")</f>
        <v/>
      </c>
      <c r="Y29">
        <f>IF(AND(Y$9+6&gt;=$D29,Y$9&lt;=$E29),1,"")</f>
        <v/>
      </c>
      <c r="Z29">
        <f>IF(AND(Z$9+6&gt;=$D29,Z$9&lt;=$E29),1,"")</f>
        <v/>
      </c>
      <c r="AA29">
        <f>IF(AND(AA$9+6&gt;=$D29,AA$9&lt;=$E29),1,"")</f>
        <v/>
      </c>
      <c r="AB29">
        <f>IF(AND(AB$9+6&gt;=$D29,AB$9&lt;=$E29),1,"")</f>
        <v/>
      </c>
      <c r="AC29">
        <f>IF(AND(AC$9+6&gt;=$D29,AC$9&lt;=$E29),1,"")</f>
        <v/>
      </c>
      <c r="AD29">
        <f>IF(AND(AD$9+6&gt;=$D29,AD$9&lt;=$E29),1,"")</f>
        <v/>
      </c>
      <c r="AE29">
        <f>IF(AND(AE$9+6&gt;=$D29,AE$9&lt;=$E29),1,"")</f>
        <v/>
      </c>
      <c r="AF29">
        <f>IF(AND(AF$9+6&gt;=$D29,AF$9&lt;=$E29),1,"")</f>
        <v/>
      </c>
      <c r="AG29">
        <f>IF(AND(AG$9+6&gt;=$D29,AG$9&lt;=$E29),1,"")</f>
        <v/>
      </c>
      <c r="AH29">
        <f>IF(AND(AH$9+6&gt;=$D29,AH$9&lt;=$E29),1,"")</f>
        <v/>
      </c>
      <c r="AI29">
        <f>IF(AND(AI$9+6&gt;=$D29,AI$9&lt;=$E29),1,"")</f>
        <v/>
      </c>
      <c r="AJ29">
        <f>IF(AND(AJ$9+6&gt;=$D29,AJ$9&lt;=$E29),1,"")</f>
        <v/>
      </c>
      <c r="AK29">
        <f>IF(AND(AK$9+6&gt;=$D29,AK$9&lt;=$E29),1,"")</f>
        <v/>
      </c>
      <c r="AL29">
        <f>IF(AND(AL$9+6&gt;=$D29,AL$9&lt;=$E29),1,"")</f>
        <v/>
      </c>
      <c r="AM29">
        <f>IF(AND(AM$9+6&gt;=$D29,AM$9&lt;=$E29),1,"")</f>
        <v/>
      </c>
      <c r="AN29">
        <f>IF(AND(AN$9+6&gt;=$D29,AN$9&lt;=$E29),1,"")</f>
        <v/>
      </c>
      <c r="AO29">
        <f>IF(AND(AO$9+6&gt;=$D29,AO$9&lt;=$E29),1,"")</f>
        <v/>
      </c>
      <c r="AP29">
        <f>IF(AND(AP$9+6&gt;=$D29,AP$9&lt;=$E29),1,"")</f>
        <v/>
      </c>
      <c r="AQ29">
        <f>IF(AND(AQ$9+6&gt;=$D29,AQ$9&lt;=$E29),1,"")</f>
        <v/>
      </c>
      <c r="AR29">
        <f>IF(AND(AR$9+6&gt;=$D29,AR$9&lt;=$E29),1,"")</f>
        <v/>
      </c>
      <c r="AS29">
        <f>IF(AND(AS$9+6&gt;=$D29,AS$9&lt;=$E29),1,"")</f>
        <v/>
      </c>
      <c r="AT29">
        <f>IF(AND(AT$9+6&gt;=$D29,AT$9&lt;=$E29),1,"")</f>
        <v/>
      </c>
      <c r="AU29">
        <f>IF(AND(AU$9+6&gt;=$D29,AU$9&lt;=$E29),1,"")</f>
        <v/>
      </c>
      <c r="AV29">
        <f>IF(AND(AV$9+6&gt;=$D29,AV$9&lt;=$E29),1,"")</f>
        <v/>
      </c>
      <c r="AW29">
        <f>IF(AND(AW$9+6&gt;=$D29,AW$9&lt;=$E29),1,"")</f>
        <v/>
      </c>
      <c r="AX29">
        <f>IF(AND(AX$9+6&gt;=$D29,AX$9&lt;=$E29),1,"")</f>
        <v/>
      </c>
      <c r="AY29">
        <f>IF(AND(AY$9+6&gt;=$D29,AY$9&lt;=$E29),1,"")</f>
        <v/>
      </c>
      <c r="AZ29">
        <f>IF(AND(AZ$9+6&gt;=$D29,AZ$9&lt;=$E29),1,"")</f>
        <v/>
      </c>
      <c r="BA29">
        <f>IF(AND(BA$9+6&gt;=$D29,BA$9&lt;=$E29),1,"")</f>
        <v/>
      </c>
      <c r="BB29">
        <f>IF(AND(BB$9+6&gt;=$D29,BB$9&lt;=$E29),1,"")</f>
        <v/>
      </c>
      <c r="BC29">
        <f>IF(AND(BC$9+6&gt;=$D29,BC$9&lt;=$E29),1,"")</f>
        <v/>
      </c>
      <c r="BD29">
        <f>IF(AND(BD$9+6&gt;=$D29,BD$9&lt;=$E29),1,"")</f>
        <v/>
      </c>
      <c r="BE29">
        <f>IF(AND(BE$9+6&gt;=$D29,BE$9&lt;=$E29),1,"")</f>
        <v/>
      </c>
      <c r="BF29">
        <f>IF(AND(BF$9+6&gt;=$D29,BF$9&lt;=$E29),1,"")</f>
        <v/>
      </c>
      <c r="BG29">
        <f>IF(AND(BG$9+6&gt;=$D29,BG$9&lt;=$E29),1,"")</f>
        <v/>
      </c>
    </row>
    <row r="30">
      <c r="B30" s="13" t="inlineStr">
        <is>
          <t>Responses and highlighted stories due</t>
        </is>
      </c>
      <c r="C30" s="13" t="inlineStr">
        <is>
          <t>15 Dec</t>
        </is>
      </c>
      <c r="D30" s="14" t="n">
        <v>46371</v>
      </c>
      <c r="E30" s="14" t="n">
        <v>46371</v>
      </c>
      <c r="F30" s="13" t="inlineStr"/>
      <c r="G30" s="13" t="inlineStr"/>
      <c r="H30" s="13" t="inlineStr"/>
      <c r="I30" s="13" t="inlineStr"/>
      <c r="J30" s="13" t="inlineStr">
        <is>
          <t>Milestone</t>
        </is>
      </c>
      <c r="K30" s="13" t="inlineStr">
        <is>
          <t>Not yet started</t>
        </is>
      </c>
      <c r="L30">
        <f>IF(AND(L$9+6&gt;=$D30,L$9&lt;=$E30),1,"")</f>
        <v/>
      </c>
      <c r="M30">
        <f>IF(AND(M$9+6&gt;=$D30,M$9&lt;=$E30),1,"")</f>
        <v/>
      </c>
      <c r="N30">
        <f>IF(AND(N$9+6&gt;=$D30,N$9&lt;=$E30),1,"")</f>
        <v/>
      </c>
      <c r="O30">
        <f>IF(AND(O$9+6&gt;=$D30,O$9&lt;=$E30),1,"")</f>
        <v/>
      </c>
      <c r="P30">
        <f>IF(AND(P$9+6&gt;=$D30,P$9&lt;=$E30),1,"")</f>
        <v/>
      </c>
      <c r="Q30">
        <f>IF(AND(Q$9+6&gt;=$D30,Q$9&lt;=$E30),1,"")</f>
        <v/>
      </c>
      <c r="R30">
        <f>IF(AND(R$9+6&gt;=$D30,R$9&lt;=$E30),1,"")</f>
        <v/>
      </c>
      <c r="S30">
        <f>IF(AND(S$9+6&gt;=$D30,S$9&lt;=$E30),1,"")</f>
        <v/>
      </c>
      <c r="T30">
        <f>IF(AND(T$9+6&gt;=$D30,T$9&lt;=$E30),1,"")</f>
        <v/>
      </c>
      <c r="U30">
        <f>IF(AND(U$9+6&gt;=$D30,U$9&lt;=$E30),1,"")</f>
        <v/>
      </c>
      <c r="V30">
        <f>IF(AND(V$9+6&gt;=$D30,V$9&lt;=$E30),1,"")</f>
        <v/>
      </c>
      <c r="W30">
        <f>IF(AND(W$9+6&gt;=$D30,W$9&lt;=$E30),1,"")</f>
        <v/>
      </c>
      <c r="X30">
        <f>IF(AND(X$9+6&gt;=$D30,X$9&lt;=$E30),1,"")</f>
        <v/>
      </c>
      <c r="Y30">
        <f>IF(AND(Y$9+6&gt;=$D30,Y$9&lt;=$E30),1,"")</f>
        <v/>
      </c>
      <c r="Z30">
        <f>IF(AND(Z$9+6&gt;=$D30,Z$9&lt;=$E30),1,"")</f>
        <v/>
      </c>
      <c r="AA30">
        <f>IF(AND(AA$9+6&gt;=$D30,AA$9&lt;=$E30),1,"")</f>
        <v/>
      </c>
      <c r="AB30">
        <f>IF(AND(AB$9+6&gt;=$D30,AB$9&lt;=$E30),1,"")</f>
        <v/>
      </c>
      <c r="AC30">
        <f>IF(AND(AC$9+6&gt;=$D30,AC$9&lt;=$E30),1,"")</f>
        <v/>
      </c>
      <c r="AD30">
        <f>IF(AND(AD$9+6&gt;=$D30,AD$9&lt;=$E30),1,"")</f>
        <v/>
      </c>
      <c r="AE30">
        <f>IF(AND(AE$9+6&gt;=$D30,AE$9&lt;=$E30),1,"")</f>
        <v/>
      </c>
      <c r="AF30">
        <f>IF(AND(AF$9+6&gt;=$D30,AF$9&lt;=$E30),1,"")</f>
        <v/>
      </c>
      <c r="AG30">
        <f>IF(AND(AG$9+6&gt;=$D30,AG$9&lt;=$E30),1,"")</f>
        <v/>
      </c>
      <c r="AH30">
        <f>IF(AND(AH$9+6&gt;=$D30,AH$9&lt;=$E30),1,"")</f>
        <v/>
      </c>
      <c r="AI30">
        <f>IF(AND(AI$9+6&gt;=$D30,AI$9&lt;=$E30),1,"")</f>
        <v/>
      </c>
      <c r="AJ30">
        <f>IF(AND(AJ$9+6&gt;=$D30,AJ$9&lt;=$E30),1,"")</f>
        <v/>
      </c>
      <c r="AK30">
        <f>IF(AND(AK$9+6&gt;=$D30,AK$9&lt;=$E30),1,"")</f>
        <v/>
      </c>
      <c r="AL30">
        <f>IF(AND(AL$9+6&gt;=$D30,AL$9&lt;=$E30),1,"")</f>
        <v/>
      </c>
      <c r="AM30">
        <f>IF(AND(AM$9+6&gt;=$D30,AM$9&lt;=$E30),1,"")</f>
        <v/>
      </c>
      <c r="AN30">
        <f>IF(AND(AN$9+6&gt;=$D30,AN$9&lt;=$E30),1,"")</f>
        <v/>
      </c>
      <c r="AO30">
        <f>IF(AND(AO$9+6&gt;=$D30,AO$9&lt;=$E30),1,"")</f>
        <v/>
      </c>
      <c r="AP30">
        <f>IF(AND(AP$9+6&gt;=$D30,AP$9&lt;=$E30),1,"")</f>
        <v/>
      </c>
      <c r="AQ30">
        <f>IF(AND(AQ$9+6&gt;=$D30,AQ$9&lt;=$E30),1,"")</f>
        <v/>
      </c>
      <c r="AR30">
        <f>IF(AND(AR$9+6&gt;=$D30,AR$9&lt;=$E30),1,"")</f>
        <v/>
      </c>
      <c r="AS30">
        <f>IF(AND(AS$9+6&gt;=$D30,AS$9&lt;=$E30),1,"")</f>
        <v/>
      </c>
      <c r="AT30">
        <f>IF(AND(AT$9+6&gt;=$D30,AT$9&lt;=$E30),1,"")</f>
        <v/>
      </c>
      <c r="AU30">
        <f>IF(AND(AU$9+6&gt;=$D30,AU$9&lt;=$E30),1,"")</f>
        <v/>
      </c>
      <c r="AV30">
        <f>IF(AND(AV$9+6&gt;=$D30,AV$9&lt;=$E30),1,"")</f>
        <v/>
      </c>
      <c r="AW30">
        <f>IF(AND(AW$9+6&gt;=$D30,AW$9&lt;=$E30),1,"")</f>
        <v/>
      </c>
      <c r="AX30">
        <f>IF(AND(AX$9+6&gt;=$D30,AX$9&lt;=$E30),1,"")</f>
        <v/>
      </c>
      <c r="AY30">
        <f>IF(AND(AY$9+6&gt;=$D30,AY$9&lt;=$E30),1,"")</f>
        <v/>
      </c>
      <c r="AZ30">
        <f>IF(AND(AZ$9+6&gt;=$D30,AZ$9&lt;=$E30),1,"")</f>
        <v/>
      </c>
      <c r="BA30">
        <f>IF(AND(BA$9+6&gt;=$D30,BA$9&lt;=$E30),1,"")</f>
        <v/>
      </c>
      <c r="BB30">
        <f>IF(AND(BB$9+6&gt;=$D30,BB$9&lt;=$E30),1,"")</f>
        <v/>
      </c>
      <c r="BC30">
        <f>IF(AND(BC$9+6&gt;=$D30,BC$9&lt;=$E30),1,"")</f>
        <v/>
      </c>
      <c r="BD30">
        <f>IF(AND(BD$9+6&gt;=$D30,BD$9&lt;=$E30),1,"")</f>
        <v/>
      </c>
      <c r="BE30">
        <f>IF(AND(BE$9+6&gt;=$D30,BE$9&lt;=$E30),1,"")</f>
        <v/>
      </c>
      <c r="BF30">
        <f>IF(AND(BF$9+6&gt;=$D30,BF$9&lt;=$E30),1,"")</f>
        <v/>
      </c>
      <c r="BG30">
        <f>IF(AND(BG$9+6&gt;=$D30,BG$9&lt;=$E30),1,"")</f>
        <v/>
      </c>
    </row>
    <row r="31">
      <c r="B31" s="13" t="inlineStr">
        <is>
          <t>First review: completeness and evidence quality</t>
        </is>
      </c>
      <c r="C31" s="13" t="inlineStr">
        <is>
          <t>First QA assessment</t>
        </is>
      </c>
      <c r="D31" s="14" t="n">
        <v>46370</v>
      </c>
      <c r="E31" s="14" t="n">
        <v>46374</v>
      </c>
      <c r="F31" s="13" t="inlineStr">
        <is>
          <t>SST</t>
        </is>
      </c>
      <c r="G31" s="13" t="inlineStr"/>
      <c r="H31" s="13" t="inlineStr"/>
      <c r="I31" s="13" t="inlineStr"/>
      <c r="J31" s="13" t="inlineStr">
        <is>
          <t>High</t>
        </is>
      </c>
      <c r="K31" s="13" t="inlineStr">
        <is>
          <t>Not yet started</t>
        </is>
      </c>
      <c r="L31">
        <f>IF(AND(L$9+6&gt;=$D31,L$9&lt;=$E31),1,"")</f>
        <v/>
      </c>
      <c r="M31">
        <f>IF(AND(M$9+6&gt;=$D31,M$9&lt;=$E31),1,"")</f>
        <v/>
      </c>
      <c r="N31">
        <f>IF(AND(N$9+6&gt;=$D31,N$9&lt;=$E31),1,"")</f>
        <v/>
      </c>
      <c r="O31">
        <f>IF(AND(O$9+6&gt;=$D31,O$9&lt;=$E31),1,"")</f>
        <v/>
      </c>
      <c r="P31">
        <f>IF(AND(P$9+6&gt;=$D31,P$9&lt;=$E31),1,"")</f>
        <v/>
      </c>
      <c r="Q31">
        <f>IF(AND(Q$9+6&gt;=$D31,Q$9&lt;=$E31),1,"")</f>
        <v/>
      </c>
      <c r="R31">
        <f>IF(AND(R$9+6&gt;=$D31,R$9&lt;=$E31),1,"")</f>
        <v/>
      </c>
      <c r="S31">
        <f>IF(AND(S$9+6&gt;=$D31,S$9&lt;=$E31),1,"")</f>
        <v/>
      </c>
      <c r="T31">
        <f>IF(AND(T$9+6&gt;=$D31,T$9&lt;=$E31),1,"")</f>
        <v/>
      </c>
      <c r="U31">
        <f>IF(AND(U$9+6&gt;=$D31,U$9&lt;=$E31),1,"")</f>
        <v/>
      </c>
      <c r="V31">
        <f>IF(AND(V$9+6&gt;=$D31,V$9&lt;=$E31),1,"")</f>
        <v/>
      </c>
      <c r="W31">
        <f>IF(AND(W$9+6&gt;=$D31,W$9&lt;=$E31),1,"")</f>
        <v/>
      </c>
      <c r="X31">
        <f>IF(AND(X$9+6&gt;=$D31,X$9&lt;=$E31),1,"")</f>
        <v/>
      </c>
      <c r="Y31">
        <f>IF(AND(Y$9+6&gt;=$D31,Y$9&lt;=$E31),1,"")</f>
        <v/>
      </c>
      <c r="Z31">
        <f>IF(AND(Z$9+6&gt;=$D31,Z$9&lt;=$E31),1,"")</f>
        <v/>
      </c>
      <c r="AA31">
        <f>IF(AND(AA$9+6&gt;=$D31,AA$9&lt;=$E31),1,"")</f>
        <v/>
      </c>
      <c r="AB31">
        <f>IF(AND(AB$9+6&gt;=$D31,AB$9&lt;=$E31),1,"")</f>
        <v/>
      </c>
      <c r="AC31">
        <f>IF(AND(AC$9+6&gt;=$D31,AC$9&lt;=$E31),1,"")</f>
        <v/>
      </c>
      <c r="AD31">
        <f>IF(AND(AD$9+6&gt;=$D31,AD$9&lt;=$E31),1,"")</f>
        <v/>
      </c>
      <c r="AE31">
        <f>IF(AND(AE$9+6&gt;=$D31,AE$9&lt;=$E31),1,"")</f>
        <v/>
      </c>
      <c r="AF31">
        <f>IF(AND(AF$9+6&gt;=$D31,AF$9&lt;=$E31),1,"")</f>
        <v/>
      </c>
      <c r="AG31">
        <f>IF(AND(AG$9+6&gt;=$D31,AG$9&lt;=$E31),1,"")</f>
        <v/>
      </c>
      <c r="AH31">
        <f>IF(AND(AH$9+6&gt;=$D31,AH$9&lt;=$E31),1,"")</f>
        <v/>
      </c>
      <c r="AI31">
        <f>IF(AND(AI$9+6&gt;=$D31,AI$9&lt;=$E31),1,"")</f>
        <v/>
      </c>
      <c r="AJ31">
        <f>IF(AND(AJ$9+6&gt;=$D31,AJ$9&lt;=$E31),1,"")</f>
        <v/>
      </c>
      <c r="AK31">
        <f>IF(AND(AK$9+6&gt;=$D31,AK$9&lt;=$E31),1,"")</f>
        <v/>
      </c>
      <c r="AL31">
        <f>IF(AND(AL$9+6&gt;=$D31,AL$9&lt;=$E31),1,"")</f>
        <v/>
      </c>
      <c r="AM31">
        <f>IF(AND(AM$9+6&gt;=$D31,AM$9&lt;=$E31),1,"")</f>
        <v/>
      </c>
      <c r="AN31">
        <f>IF(AND(AN$9+6&gt;=$D31,AN$9&lt;=$E31),1,"")</f>
        <v/>
      </c>
      <c r="AO31">
        <f>IF(AND(AO$9+6&gt;=$D31,AO$9&lt;=$E31),1,"")</f>
        <v/>
      </c>
      <c r="AP31">
        <f>IF(AND(AP$9+6&gt;=$D31,AP$9&lt;=$E31),1,"")</f>
        <v/>
      </c>
      <c r="AQ31">
        <f>IF(AND(AQ$9+6&gt;=$D31,AQ$9&lt;=$E31),1,"")</f>
        <v/>
      </c>
      <c r="AR31">
        <f>IF(AND(AR$9+6&gt;=$D31,AR$9&lt;=$E31),1,"")</f>
        <v/>
      </c>
      <c r="AS31">
        <f>IF(AND(AS$9+6&gt;=$D31,AS$9&lt;=$E31),1,"")</f>
        <v/>
      </c>
      <c r="AT31">
        <f>IF(AND(AT$9+6&gt;=$D31,AT$9&lt;=$E31),1,"")</f>
        <v/>
      </c>
      <c r="AU31">
        <f>IF(AND(AU$9+6&gt;=$D31,AU$9&lt;=$E31),1,"")</f>
        <v/>
      </c>
      <c r="AV31">
        <f>IF(AND(AV$9+6&gt;=$D31,AV$9&lt;=$E31),1,"")</f>
        <v/>
      </c>
      <c r="AW31">
        <f>IF(AND(AW$9+6&gt;=$D31,AW$9&lt;=$E31),1,"")</f>
        <v/>
      </c>
      <c r="AX31">
        <f>IF(AND(AX$9+6&gt;=$D31,AX$9&lt;=$E31),1,"")</f>
        <v/>
      </c>
      <c r="AY31">
        <f>IF(AND(AY$9+6&gt;=$D31,AY$9&lt;=$E31),1,"")</f>
        <v/>
      </c>
      <c r="AZ31">
        <f>IF(AND(AZ$9+6&gt;=$D31,AZ$9&lt;=$E31),1,"")</f>
        <v/>
      </c>
      <c r="BA31">
        <f>IF(AND(BA$9+6&gt;=$D31,BA$9&lt;=$E31),1,"")</f>
        <v/>
      </c>
      <c r="BB31">
        <f>IF(AND(BB$9+6&gt;=$D31,BB$9&lt;=$E31),1,"")</f>
        <v/>
      </c>
      <c r="BC31">
        <f>IF(AND(BC$9+6&gt;=$D31,BC$9&lt;=$E31),1,"")</f>
        <v/>
      </c>
      <c r="BD31">
        <f>IF(AND(BD$9+6&gt;=$D31,BD$9&lt;=$E31),1,"")</f>
        <v/>
      </c>
      <c r="BE31">
        <f>IF(AND(BE$9+6&gt;=$D31,BE$9&lt;=$E31),1,"")</f>
        <v/>
      </c>
      <c r="BF31">
        <f>IF(AND(BF$9+6&gt;=$D31,BF$9&lt;=$E31),1,"")</f>
        <v/>
      </c>
      <c r="BG31">
        <f>IF(AND(BG$9+6&gt;=$D31,BG$9&lt;=$E31),1,"")</f>
        <v/>
      </c>
    </row>
    <row r="32">
      <c r="B32" s="13" t="inlineStr">
        <is>
          <t>Targeted follow-up where evidence is incomplete, ambiguous or missing (no second broad request; ask availability)</t>
        </is>
      </c>
      <c r="C32" s="13" t="inlineStr">
        <is>
          <t>Resolved gaps</t>
        </is>
      </c>
      <c r="D32" s="14" t="n">
        <v>46370</v>
      </c>
      <c r="E32" s="14" t="n">
        <v>46380</v>
      </c>
      <c r="F32" s="13" t="inlineStr">
        <is>
          <t>SST</t>
        </is>
      </c>
      <c r="G32" s="13" t="inlineStr"/>
      <c r="H32" s="13" t="inlineStr"/>
      <c r="I32" s="13" t="inlineStr">
        <is>
          <t>Data owners</t>
        </is>
      </c>
      <c r="J32" s="13" t="inlineStr">
        <is>
          <t>High</t>
        </is>
      </c>
      <c r="K32" s="13" t="inlineStr">
        <is>
          <t>Not yet started</t>
        </is>
      </c>
      <c r="L32">
        <f>IF(AND(L$9+6&gt;=$D32,L$9&lt;=$E32),1,"")</f>
        <v/>
      </c>
      <c r="M32">
        <f>IF(AND(M$9+6&gt;=$D32,M$9&lt;=$E32),1,"")</f>
        <v/>
      </c>
      <c r="N32">
        <f>IF(AND(N$9+6&gt;=$D32,N$9&lt;=$E32),1,"")</f>
        <v/>
      </c>
      <c r="O32">
        <f>IF(AND(O$9+6&gt;=$D32,O$9&lt;=$E32),1,"")</f>
        <v/>
      </c>
      <c r="P32">
        <f>IF(AND(P$9+6&gt;=$D32,P$9&lt;=$E32),1,"")</f>
        <v/>
      </c>
      <c r="Q32">
        <f>IF(AND(Q$9+6&gt;=$D32,Q$9&lt;=$E32),1,"")</f>
        <v/>
      </c>
      <c r="R32">
        <f>IF(AND(R$9+6&gt;=$D32,R$9&lt;=$E32),1,"")</f>
        <v/>
      </c>
      <c r="S32">
        <f>IF(AND(S$9+6&gt;=$D32,S$9&lt;=$E32),1,"")</f>
        <v/>
      </c>
      <c r="T32">
        <f>IF(AND(T$9+6&gt;=$D32,T$9&lt;=$E32),1,"")</f>
        <v/>
      </c>
      <c r="U32">
        <f>IF(AND(U$9+6&gt;=$D32,U$9&lt;=$E32),1,"")</f>
        <v/>
      </c>
      <c r="V32">
        <f>IF(AND(V$9+6&gt;=$D32,V$9&lt;=$E32),1,"")</f>
        <v/>
      </c>
      <c r="W32">
        <f>IF(AND(W$9+6&gt;=$D32,W$9&lt;=$E32),1,"")</f>
        <v/>
      </c>
      <c r="X32">
        <f>IF(AND(X$9+6&gt;=$D32,X$9&lt;=$E32),1,"")</f>
        <v/>
      </c>
      <c r="Y32">
        <f>IF(AND(Y$9+6&gt;=$D32,Y$9&lt;=$E32),1,"")</f>
        <v/>
      </c>
      <c r="Z32">
        <f>IF(AND(Z$9+6&gt;=$D32,Z$9&lt;=$E32),1,"")</f>
        <v/>
      </c>
      <c r="AA32">
        <f>IF(AND(AA$9+6&gt;=$D32,AA$9&lt;=$E32),1,"")</f>
        <v/>
      </c>
      <c r="AB32">
        <f>IF(AND(AB$9+6&gt;=$D32,AB$9&lt;=$E32),1,"")</f>
        <v/>
      </c>
      <c r="AC32">
        <f>IF(AND(AC$9+6&gt;=$D32,AC$9&lt;=$E32),1,"")</f>
        <v/>
      </c>
      <c r="AD32">
        <f>IF(AND(AD$9+6&gt;=$D32,AD$9&lt;=$E32),1,"")</f>
        <v/>
      </c>
      <c r="AE32">
        <f>IF(AND(AE$9+6&gt;=$D32,AE$9&lt;=$E32),1,"")</f>
        <v/>
      </c>
      <c r="AF32">
        <f>IF(AND(AF$9+6&gt;=$D32,AF$9&lt;=$E32),1,"")</f>
        <v/>
      </c>
      <c r="AG32">
        <f>IF(AND(AG$9+6&gt;=$D32,AG$9&lt;=$E32),1,"")</f>
        <v/>
      </c>
      <c r="AH32">
        <f>IF(AND(AH$9+6&gt;=$D32,AH$9&lt;=$E32),1,"")</f>
        <v/>
      </c>
      <c r="AI32">
        <f>IF(AND(AI$9+6&gt;=$D32,AI$9&lt;=$E32),1,"")</f>
        <v/>
      </c>
      <c r="AJ32">
        <f>IF(AND(AJ$9+6&gt;=$D32,AJ$9&lt;=$E32),1,"")</f>
        <v/>
      </c>
      <c r="AK32">
        <f>IF(AND(AK$9+6&gt;=$D32,AK$9&lt;=$E32),1,"")</f>
        <v/>
      </c>
      <c r="AL32">
        <f>IF(AND(AL$9+6&gt;=$D32,AL$9&lt;=$E32),1,"")</f>
        <v/>
      </c>
      <c r="AM32">
        <f>IF(AND(AM$9+6&gt;=$D32,AM$9&lt;=$E32),1,"")</f>
        <v/>
      </c>
      <c r="AN32">
        <f>IF(AND(AN$9+6&gt;=$D32,AN$9&lt;=$E32),1,"")</f>
        <v/>
      </c>
      <c r="AO32">
        <f>IF(AND(AO$9+6&gt;=$D32,AO$9&lt;=$E32),1,"")</f>
        <v/>
      </c>
      <c r="AP32">
        <f>IF(AND(AP$9+6&gt;=$D32,AP$9&lt;=$E32),1,"")</f>
        <v/>
      </c>
      <c r="AQ32">
        <f>IF(AND(AQ$9+6&gt;=$D32,AQ$9&lt;=$E32),1,"")</f>
        <v/>
      </c>
      <c r="AR32">
        <f>IF(AND(AR$9+6&gt;=$D32,AR$9&lt;=$E32),1,"")</f>
        <v/>
      </c>
      <c r="AS32">
        <f>IF(AND(AS$9+6&gt;=$D32,AS$9&lt;=$E32),1,"")</f>
        <v/>
      </c>
      <c r="AT32">
        <f>IF(AND(AT$9+6&gt;=$D32,AT$9&lt;=$E32),1,"")</f>
        <v/>
      </c>
      <c r="AU32">
        <f>IF(AND(AU$9+6&gt;=$D32,AU$9&lt;=$E32),1,"")</f>
        <v/>
      </c>
      <c r="AV32">
        <f>IF(AND(AV$9+6&gt;=$D32,AV$9&lt;=$E32),1,"")</f>
        <v/>
      </c>
      <c r="AW32">
        <f>IF(AND(AW$9+6&gt;=$D32,AW$9&lt;=$E32),1,"")</f>
        <v/>
      </c>
      <c r="AX32">
        <f>IF(AND(AX$9+6&gt;=$D32,AX$9&lt;=$E32),1,"")</f>
        <v/>
      </c>
      <c r="AY32">
        <f>IF(AND(AY$9+6&gt;=$D32,AY$9&lt;=$E32),1,"")</f>
        <v/>
      </c>
      <c r="AZ32">
        <f>IF(AND(AZ$9+6&gt;=$D32,AZ$9&lt;=$E32),1,"")</f>
        <v/>
      </c>
      <c r="BA32">
        <f>IF(AND(BA$9+6&gt;=$D32,BA$9&lt;=$E32),1,"")</f>
        <v/>
      </c>
      <c r="BB32">
        <f>IF(AND(BB$9+6&gt;=$D32,BB$9&lt;=$E32),1,"")</f>
        <v/>
      </c>
      <c r="BC32">
        <f>IF(AND(BC$9+6&gt;=$D32,BC$9&lt;=$E32),1,"")</f>
        <v/>
      </c>
      <c r="BD32">
        <f>IF(AND(BD$9+6&gt;=$D32,BD$9&lt;=$E32),1,"")</f>
        <v/>
      </c>
      <c r="BE32">
        <f>IF(AND(BE$9+6&gt;=$D32,BE$9&lt;=$E32),1,"")</f>
        <v/>
      </c>
      <c r="BF32">
        <f>IF(AND(BF$9+6&gt;=$D32,BF$9&lt;=$E32),1,"")</f>
        <v/>
      </c>
      <c r="BG32">
        <f>IF(AND(BG$9+6&gt;=$D32,BG$9&lt;=$E32),1,"")</f>
        <v/>
      </c>
    </row>
    <row r="33">
      <c r="B33" s="13" t="inlineStr">
        <is>
          <t>Consolidation: finalise master, identify unresolved gaps, prepare drafting material</t>
        </is>
      </c>
      <c r="C33" s="13" t="inlineStr">
        <is>
          <t>Consolidated master spreadsheet</t>
        </is>
      </c>
      <c r="D33" s="14" t="n">
        <v>46377</v>
      </c>
      <c r="E33" s="14" t="n">
        <v>46380</v>
      </c>
      <c r="F33" s="13" t="inlineStr">
        <is>
          <t>SST</t>
        </is>
      </c>
      <c r="G33" s="13" t="inlineStr">
        <is>
          <t>Director, Sustainability</t>
        </is>
      </c>
      <c r="H33" s="13" t="inlineStr"/>
      <c r="I33" s="13" t="inlineStr"/>
      <c r="J33" s="13" t="inlineStr">
        <is>
          <t>High</t>
        </is>
      </c>
      <c r="K33" s="13" t="inlineStr">
        <is>
          <t>Not yet started</t>
        </is>
      </c>
      <c r="L33">
        <f>IF(AND(L$9+6&gt;=$D33,L$9&lt;=$E33),1,"")</f>
        <v/>
      </c>
      <c r="M33">
        <f>IF(AND(M$9+6&gt;=$D33,M$9&lt;=$E33),1,"")</f>
        <v/>
      </c>
      <c r="N33">
        <f>IF(AND(N$9+6&gt;=$D33,N$9&lt;=$E33),1,"")</f>
        <v/>
      </c>
      <c r="O33">
        <f>IF(AND(O$9+6&gt;=$D33,O$9&lt;=$E33),1,"")</f>
        <v/>
      </c>
      <c r="P33">
        <f>IF(AND(P$9+6&gt;=$D33,P$9&lt;=$E33),1,"")</f>
        <v/>
      </c>
      <c r="Q33">
        <f>IF(AND(Q$9+6&gt;=$D33,Q$9&lt;=$E33),1,"")</f>
        <v/>
      </c>
      <c r="R33">
        <f>IF(AND(R$9+6&gt;=$D33,R$9&lt;=$E33),1,"")</f>
        <v/>
      </c>
      <c r="S33">
        <f>IF(AND(S$9+6&gt;=$D33,S$9&lt;=$E33),1,"")</f>
        <v/>
      </c>
      <c r="T33">
        <f>IF(AND(T$9+6&gt;=$D33,T$9&lt;=$E33),1,"")</f>
        <v/>
      </c>
      <c r="U33">
        <f>IF(AND(U$9+6&gt;=$D33,U$9&lt;=$E33),1,"")</f>
        <v/>
      </c>
      <c r="V33">
        <f>IF(AND(V$9+6&gt;=$D33,V$9&lt;=$E33),1,"")</f>
        <v/>
      </c>
      <c r="W33">
        <f>IF(AND(W$9+6&gt;=$D33,W$9&lt;=$E33),1,"")</f>
        <v/>
      </c>
      <c r="X33">
        <f>IF(AND(X$9+6&gt;=$D33,X$9&lt;=$E33),1,"")</f>
        <v/>
      </c>
      <c r="Y33">
        <f>IF(AND(Y$9+6&gt;=$D33,Y$9&lt;=$E33),1,"")</f>
        <v/>
      </c>
      <c r="Z33">
        <f>IF(AND(Z$9+6&gt;=$D33,Z$9&lt;=$E33),1,"")</f>
        <v/>
      </c>
      <c r="AA33">
        <f>IF(AND(AA$9+6&gt;=$D33,AA$9&lt;=$E33),1,"")</f>
        <v/>
      </c>
      <c r="AB33">
        <f>IF(AND(AB$9+6&gt;=$D33,AB$9&lt;=$E33),1,"")</f>
        <v/>
      </c>
      <c r="AC33">
        <f>IF(AND(AC$9+6&gt;=$D33,AC$9&lt;=$E33),1,"")</f>
        <v/>
      </c>
      <c r="AD33">
        <f>IF(AND(AD$9+6&gt;=$D33,AD$9&lt;=$E33),1,"")</f>
        <v/>
      </c>
      <c r="AE33">
        <f>IF(AND(AE$9+6&gt;=$D33,AE$9&lt;=$E33),1,"")</f>
        <v/>
      </c>
      <c r="AF33">
        <f>IF(AND(AF$9+6&gt;=$D33,AF$9&lt;=$E33),1,"")</f>
        <v/>
      </c>
      <c r="AG33">
        <f>IF(AND(AG$9+6&gt;=$D33,AG$9&lt;=$E33),1,"")</f>
        <v/>
      </c>
      <c r="AH33">
        <f>IF(AND(AH$9+6&gt;=$D33,AH$9&lt;=$E33),1,"")</f>
        <v/>
      </c>
      <c r="AI33">
        <f>IF(AND(AI$9+6&gt;=$D33,AI$9&lt;=$E33),1,"")</f>
        <v/>
      </c>
      <c r="AJ33">
        <f>IF(AND(AJ$9+6&gt;=$D33,AJ$9&lt;=$E33),1,"")</f>
        <v/>
      </c>
      <c r="AK33">
        <f>IF(AND(AK$9+6&gt;=$D33,AK$9&lt;=$E33),1,"")</f>
        <v/>
      </c>
      <c r="AL33">
        <f>IF(AND(AL$9+6&gt;=$D33,AL$9&lt;=$E33),1,"")</f>
        <v/>
      </c>
      <c r="AM33">
        <f>IF(AND(AM$9+6&gt;=$D33,AM$9&lt;=$E33),1,"")</f>
        <v/>
      </c>
      <c r="AN33">
        <f>IF(AND(AN$9+6&gt;=$D33,AN$9&lt;=$E33),1,"")</f>
        <v/>
      </c>
      <c r="AO33">
        <f>IF(AND(AO$9+6&gt;=$D33,AO$9&lt;=$E33),1,"")</f>
        <v/>
      </c>
      <c r="AP33">
        <f>IF(AND(AP$9+6&gt;=$D33,AP$9&lt;=$E33),1,"")</f>
        <v/>
      </c>
      <c r="AQ33">
        <f>IF(AND(AQ$9+6&gt;=$D33,AQ$9&lt;=$E33),1,"")</f>
        <v/>
      </c>
      <c r="AR33">
        <f>IF(AND(AR$9+6&gt;=$D33,AR$9&lt;=$E33),1,"")</f>
        <v/>
      </c>
      <c r="AS33">
        <f>IF(AND(AS$9+6&gt;=$D33,AS$9&lt;=$E33),1,"")</f>
        <v/>
      </c>
      <c r="AT33">
        <f>IF(AND(AT$9+6&gt;=$D33,AT$9&lt;=$E33),1,"")</f>
        <v/>
      </c>
      <c r="AU33">
        <f>IF(AND(AU$9+6&gt;=$D33,AU$9&lt;=$E33),1,"")</f>
        <v/>
      </c>
      <c r="AV33">
        <f>IF(AND(AV$9+6&gt;=$D33,AV$9&lt;=$E33),1,"")</f>
        <v/>
      </c>
      <c r="AW33">
        <f>IF(AND(AW$9+6&gt;=$D33,AW$9&lt;=$E33),1,"")</f>
        <v/>
      </c>
      <c r="AX33">
        <f>IF(AND(AX$9+6&gt;=$D33,AX$9&lt;=$E33),1,"")</f>
        <v/>
      </c>
      <c r="AY33">
        <f>IF(AND(AY$9+6&gt;=$D33,AY$9&lt;=$E33),1,"")</f>
        <v/>
      </c>
      <c r="AZ33">
        <f>IF(AND(AZ$9+6&gt;=$D33,AZ$9&lt;=$E33),1,"")</f>
        <v/>
      </c>
      <c r="BA33">
        <f>IF(AND(BA$9+6&gt;=$D33,BA$9&lt;=$E33),1,"")</f>
        <v/>
      </c>
      <c r="BB33">
        <f>IF(AND(BB$9+6&gt;=$D33,BB$9&lt;=$E33),1,"")</f>
        <v/>
      </c>
      <c r="BC33">
        <f>IF(AND(BC$9+6&gt;=$D33,BC$9&lt;=$E33),1,"")</f>
        <v/>
      </c>
      <c r="BD33">
        <f>IF(AND(BD$9+6&gt;=$D33,BD$9&lt;=$E33),1,"")</f>
        <v/>
      </c>
      <c r="BE33">
        <f>IF(AND(BE$9+6&gt;=$D33,BE$9&lt;=$E33),1,"")</f>
        <v/>
      </c>
      <c r="BF33">
        <f>IF(AND(BF$9+6&gt;=$D33,BF$9&lt;=$E33),1,"")</f>
        <v/>
      </c>
      <c r="BG33">
        <f>IF(AND(BG$9+6&gt;=$D33,BG$9&lt;=$E33),1,"")</f>
        <v/>
      </c>
    </row>
    <row r="34">
      <c r="B34" s="11" t="inlineStr">
        <is>
          <t>Drafting &amp; data validation (Jan 2027)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</row>
    <row r="35">
      <c r="B35" s="13" t="inlineStr">
        <is>
          <t>Commence drafting from consolidated master</t>
        </is>
      </c>
      <c r="C35" s="13" t="inlineStr"/>
      <c r="D35" s="14" t="n">
        <v>46391</v>
      </c>
      <c r="E35" s="14" t="n">
        <v>46423</v>
      </c>
      <c r="F35" s="13" t="inlineStr">
        <is>
          <t>SST</t>
        </is>
      </c>
      <c r="G35" s="13" t="inlineStr"/>
      <c r="H35" s="13" t="inlineStr"/>
      <c r="I35" s="13" t="inlineStr"/>
      <c r="J35" s="13" t="inlineStr">
        <is>
          <t>High</t>
        </is>
      </c>
      <c r="K35" s="13" t="inlineStr">
        <is>
          <t>Not yet started</t>
        </is>
      </c>
      <c r="L35">
        <f>IF(AND(L$9+6&gt;=$D35,L$9&lt;=$E35),1,"")</f>
        <v/>
      </c>
      <c r="M35">
        <f>IF(AND(M$9+6&gt;=$D35,M$9&lt;=$E35),1,"")</f>
        <v/>
      </c>
      <c r="N35">
        <f>IF(AND(N$9+6&gt;=$D35,N$9&lt;=$E35),1,"")</f>
        <v/>
      </c>
      <c r="O35">
        <f>IF(AND(O$9+6&gt;=$D35,O$9&lt;=$E35),1,"")</f>
        <v/>
      </c>
      <c r="P35">
        <f>IF(AND(P$9+6&gt;=$D35,P$9&lt;=$E35),1,"")</f>
        <v/>
      </c>
      <c r="Q35">
        <f>IF(AND(Q$9+6&gt;=$D35,Q$9&lt;=$E35),1,"")</f>
        <v/>
      </c>
      <c r="R35">
        <f>IF(AND(R$9+6&gt;=$D35,R$9&lt;=$E35),1,"")</f>
        <v/>
      </c>
      <c r="S35">
        <f>IF(AND(S$9+6&gt;=$D35,S$9&lt;=$E35),1,"")</f>
        <v/>
      </c>
      <c r="T35">
        <f>IF(AND(T$9+6&gt;=$D35,T$9&lt;=$E35),1,"")</f>
        <v/>
      </c>
      <c r="U35">
        <f>IF(AND(U$9+6&gt;=$D35,U$9&lt;=$E35),1,"")</f>
        <v/>
      </c>
      <c r="V35">
        <f>IF(AND(V$9+6&gt;=$D35,V$9&lt;=$E35),1,"")</f>
        <v/>
      </c>
      <c r="W35">
        <f>IF(AND(W$9+6&gt;=$D35,W$9&lt;=$E35),1,"")</f>
        <v/>
      </c>
      <c r="X35">
        <f>IF(AND(X$9+6&gt;=$D35,X$9&lt;=$E35),1,"")</f>
        <v/>
      </c>
      <c r="Y35">
        <f>IF(AND(Y$9+6&gt;=$D35,Y$9&lt;=$E35),1,"")</f>
        <v/>
      </c>
      <c r="Z35">
        <f>IF(AND(Z$9+6&gt;=$D35,Z$9&lt;=$E35),1,"")</f>
        <v/>
      </c>
      <c r="AA35">
        <f>IF(AND(AA$9+6&gt;=$D35,AA$9&lt;=$E35),1,"")</f>
        <v/>
      </c>
      <c r="AB35">
        <f>IF(AND(AB$9+6&gt;=$D35,AB$9&lt;=$E35),1,"")</f>
        <v/>
      </c>
      <c r="AC35">
        <f>IF(AND(AC$9+6&gt;=$D35,AC$9&lt;=$E35),1,"")</f>
        <v/>
      </c>
      <c r="AD35">
        <f>IF(AND(AD$9+6&gt;=$D35,AD$9&lt;=$E35),1,"")</f>
        <v/>
      </c>
      <c r="AE35">
        <f>IF(AND(AE$9+6&gt;=$D35,AE$9&lt;=$E35),1,"")</f>
        <v/>
      </c>
      <c r="AF35">
        <f>IF(AND(AF$9+6&gt;=$D35,AF$9&lt;=$E35),1,"")</f>
        <v/>
      </c>
      <c r="AG35">
        <f>IF(AND(AG$9+6&gt;=$D35,AG$9&lt;=$E35),1,"")</f>
        <v/>
      </c>
      <c r="AH35">
        <f>IF(AND(AH$9+6&gt;=$D35,AH$9&lt;=$E35),1,"")</f>
        <v/>
      </c>
      <c r="AI35">
        <f>IF(AND(AI$9+6&gt;=$D35,AI$9&lt;=$E35),1,"")</f>
        <v/>
      </c>
      <c r="AJ35">
        <f>IF(AND(AJ$9+6&gt;=$D35,AJ$9&lt;=$E35),1,"")</f>
        <v/>
      </c>
      <c r="AK35">
        <f>IF(AND(AK$9+6&gt;=$D35,AK$9&lt;=$E35),1,"")</f>
        <v/>
      </c>
      <c r="AL35">
        <f>IF(AND(AL$9+6&gt;=$D35,AL$9&lt;=$E35),1,"")</f>
        <v/>
      </c>
      <c r="AM35">
        <f>IF(AND(AM$9+6&gt;=$D35,AM$9&lt;=$E35),1,"")</f>
        <v/>
      </c>
      <c r="AN35">
        <f>IF(AND(AN$9+6&gt;=$D35,AN$9&lt;=$E35),1,"")</f>
        <v/>
      </c>
      <c r="AO35">
        <f>IF(AND(AO$9+6&gt;=$D35,AO$9&lt;=$E35),1,"")</f>
        <v/>
      </c>
      <c r="AP35">
        <f>IF(AND(AP$9+6&gt;=$D35,AP$9&lt;=$E35),1,"")</f>
        <v/>
      </c>
      <c r="AQ35">
        <f>IF(AND(AQ$9+6&gt;=$D35,AQ$9&lt;=$E35),1,"")</f>
        <v/>
      </c>
      <c r="AR35">
        <f>IF(AND(AR$9+6&gt;=$D35,AR$9&lt;=$E35),1,"")</f>
        <v/>
      </c>
      <c r="AS35">
        <f>IF(AND(AS$9+6&gt;=$D35,AS$9&lt;=$E35),1,"")</f>
        <v/>
      </c>
      <c r="AT35">
        <f>IF(AND(AT$9+6&gt;=$D35,AT$9&lt;=$E35),1,"")</f>
        <v/>
      </c>
      <c r="AU35">
        <f>IF(AND(AU$9+6&gt;=$D35,AU$9&lt;=$E35),1,"")</f>
        <v/>
      </c>
      <c r="AV35">
        <f>IF(AND(AV$9+6&gt;=$D35,AV$9&lt;=$E35),1,"")</f>
        <v/>
      </c>
      <c r="AW35">
        <f>IF(AND(AW$9+6&gt;=$D35,AW$9&lt;=$E35),1,"")</f>
        <v/>
      </c>
      <c r="AX35">
        <f>IF(AND(AX$9+6&gt;=$D35,AX$9&lt;=$E35),1,"")</f>
        <v/>
      </c>
      <c r="AY35">
        <f>IF(AND(AY$9+6&gt;=$D35,AY$9&lt;=$E35),1,"")</f>
        <v/>
      </c>
      <c r="AZ35">
        <f>IF(AND(AZ$9+6&gt;=$D35,AZ$9&lt;=$E35),1,"")</f>
        <v/>
      </c>
      <c r="BA35">
        <f>IF(AND(BA$9+6&gt;=$D35,BA$9&lt;=$E35),1,"")</f>
        <v/>
      </c>
      <c r="BB35">
        <f>IF(AND(BB$9+6&gt;=$D35,BB$9&lt;=$E35),1,"")</f>
        <v/>
      </c>
      <c r="BC35">
        <f>IF(AND(BC$9+6&gt;=$D35,BC$9&lt;=$E35),1,"")</f>
        <v/>
      </c>
      <c r="BD35">
        <f>IF(AND(BD$9+6&gt;=$D35,BD$9&lt;=$E35),1,"")</f>
        <v/>
      </c>
      <c r="BE35">
        <f>IF(AND(BE$9+6&gt;=$D35,BE$9&lt;=$E35),1,"")</f>
        <v/>
      </c>
      <c r="BF35">
        <f>IF(AND(BF$9+6&gt;=$D35,BF$9&lt;=$E35),1,"")</f>
        <v/>
      </c>
      <c r="BG35">
        <f>IF(AND(BG$9+6&gt;=$D35,BG$9&lt;=$E35),1,"")</f>
        <v/>
      </c>
    </row>
    <row r="36">
      <c r="B36" s="13" t="inlineStr">
        <is>
          <t>Confirm final quantitative figures (Databook)</t>
        </is>
      </c>
      <c r="C36" s="13" t="inlineStr"/>
      <c r="D36" s="14" t="n">
        <v>46391</v>
      </c>
      <c r="E36" s="14" t="n">
        <v>46416</v>
      </c>
      <c r="F36" s="13" t="inlineStr">
        <is>
          <t>SST</t>
        </is>
      </c>
      <c r="G36" s="13" t="inlineStr"/>
      <c r="H36" s="13" t="inlineStr">
        <is>
          <t>Data owners</t>
        </is>
      </c>
      <c r="I36" s="13" t="inlineStr"/>
      <c r="J36" s="13" t="inlineStr">
        <is>
          <t>High</t>
        </is>
      </c>
      <c r="K36" s="13" t="inlineStr">
        <is>
          <t>Not yet started</t>
        </is>
      </c>
      <c r="L36">
        <f>IF(AND(L$9+6&gt;=$D36,L$9&lt;=$E36),1,"")</f>
        <v/>
      </c>
      <c r="M36">
        <f>IF(AND(M$9+6&gt;=$D36,M$9&lt;=$E36),1,"")</f>
        <v/>
      </c>
      <c r="N36">
        <f>IF(AND(N$9+6&gt;=$D36,N$9&lt;=$E36),1,"")</f>
        <v/>
      </c>
      <c r="O36">
        <f>IF(AND(O$9+6&gt;=$D36,O$9&lt;=$E36),1,"")</f>
        <v/>
      </c>
      <c r="P36">
        <f>IF(AND(P$9+6&gt;=$D36,P$9&lt;=$E36),1,"")</f>
        <v/>
      </c>
      <c r="Q36">
        <f>IF(AND(Q$9+6&gt;=$D36,Q$9&lt;=$E36),1,"")</f>
        <v/>
      </c>
      <c r="R36">
        <f>IF(AND(R$9+6&gt;=$D36,R$9&lt;=$E36),1,"")</f>
        <v/>
      </c>
      <c r="S36">
        <f>IF(AND(S$9+6&gt;=$D36,S$9&lt;=$E36),1,"")</f>
        <v/>
      </c>
      <c r="T36">
        <f>IF(AND(T$9+6&gt;=$D36,T$9&lt;=$E36),1,"")</f>
        <v/>
      </c>
      <c r="U36">
        <f>IF(AND(U$9+6&gt;=$D36,U$9&lt;=$E36),1,"")</f>
        <v/>
      </c>
      <c r="V36">
        <f>IF(AND(V$9+6&gt;=$D36,V$9&lt;=$E36),1,"")</f>
        <v/>
      </c>
      <c r="W36">
        <f>IF(AND(W$9+6&gt;=$D36,W$9&lt;=$E36),1,"")</f>
        <v/>
      </c>
      <c r="X36">
        <f>IF(AND(X$9+6&gt;=$D36,X$9&lt;=$E36),1,"")</f>
        <v/>
      </c>
      <c r="Y36">
        <f>IF(AND(Y$9+6&gt;=$D36,Y$9&lt;=$E36),1,"")</f>
        <v/>
      </c>
      <c r="Z36">
        <f>IF(AND(Z$9+6&gt;=$D36,Z$9&lt;=$E36),1,"")</f>
        <v/>
      </c>
      <c r="AA36">
        <f>IF(AND(AA$9+6&gt;=$D36,AA$9&lt;=$E36),1,"")</f>
        <v/>
      </c>
      <c r="AB36">
        <f>IF(AND(AB$9+6&gt;=$D36,AB$9&lt;=$E36),1,"")</f>
        <v/>
      </c>
      <c r="AC36">
        <f>IF(AND(AC$9+6&gt;=$D36,AC$9&lt;=$E36),1,"")</f>
        <v/>
      </c>
      <c r="AD36">
        <f>IF(AND(AD$9+6&gt;=$D36,AD$9&lt;=$E36),1,"")</f>
        <v/>
      </c>
      <c r="AE36">
        <f>IF(AND(AE$9+6&gt;=$D36,AE$9&lt;=$E36),1,"")</f>
        <v/>
      </c>
      <c r="AF36">
        <f>IF(AND(AF$9+6&gt;=$D36,AF$9&lt;=$E36),1,"")</f>
        <v/>
      </c>
      <c r="AG36">
        <f>IF(AND(AG$9+6&gt;=$D36,AG$9&lt;=$E36),1,"")</f>
        <v/>
      </c>
      <c r="AH36">
        <f>IF(AND(AH$9+6&gt;=$D36,AH$9&lt;=$E36),1,"")</f>
        <v/>
      </c>
      <c r="AI36">
        <f>IF(AND(AI$9+6&gt;=$D36,AI$9&lt;=$E36),1,"")</f>
        <v/>
      </c>
      <c r="AJ36">
        <f>IF(AND(AJ$9+6&gt;=$D36,AJ$9&lt;=$E36),1,"")</f>
        <v/>
      </c>
      <c r="AK36">
        <f>IF(AND(AK$9+6&gt;=$D36,AK$9&lt;=$E36),1,"")</f>
        <v/>
      </c>
      <c r="AL36">
        <f>IF(AND(AL$9+6&gt;=$D36,AL$9&lt;=$E36),1,"")</f>
        <v/>
      </c>
      <c r="AM36">
        <f>IF(AND(AM$9+6&gt;=$D36,AM$9&lt;=$E36),1,"")</f>
        <v/>
      </c>
      <c r="AN36">
        <f>IF(AND(AN$9+6&gt;=$D36,AN$9&lt;=$E36),1,"")</f>
        <v/>
      </c>
      <c r="AO36">
        <f>IF(AND(AO$9+6&gt;=$D36,AO$9&lt;=$E36),1,"")</f>
        <v/>
      </c>
      <c r="AP36">
        <f>IF(AND(AP$9+6&gt;=$D36,AP$9&lt;=$E36),1,"")</f>
        <v/>
      </c>
      <c r="AQ36">
        <f>IF(AND(AQ$9+6&gt;=$D36,AQ$9&lt;=$E36),1,"")</f>
        <v/>
      </c>
      <c r="AR36">
        <f>IF(AND(AR$9+6&gt;=$D36,AR$9&lt;=$E36),1,"")</f>
        <v/>
      </c>
      <c r="AS36">
        <f>IF(AND(AS$9+6&gt;=$D36,AS$9&lt;=$E36),1,"")</f>
        <v/>
      </c>
      <c r="AT36">
        <f>IF(AND(AT$9+6&gt;=$D36,AT$9&lt;=$E36),1,"")</f>
        <v/>
      </c>
      <c r="AU36">
        <f>IF(AND(AU$9+6&gt;=$D36,AU$9&lt;=$E36),1,"")</f>
        <v/>
      </c>
      <c r="AV36">
        <f>IF(AND(AV$9+6&gt;=$D36,AV$9&lt;=$E36),1,"")</f>
        <v/>
      </c>
      <c r="AW36">
        <f>IF(AND(AW$9+6&gt;=$D36,AW$9&lt;=$E36),1,"")</f>
        <v/>
      </c>
      <c r="AX36">
        <f>IF(AND(AX$9+6&gt;=$D36,AX$9&lt;=$E36),1,"")</f>
        <v/>
      </c>
      <c r="AY36">
        <f>IF(AND(AY$9+6&gt;=$D36,AY$9&lt;=$E36),1,"")</f>
        <v/>
      </c>
      <c r="AZ36">
        <f>IF(AND(AZ$9+6&gt;=$D36,AZ$9&lt;=$E36),1,"")</f>
        <v/>
      </c>
      <c r="BA36">
        <f>IF(AND(BA$9+6&gt;=$D36,BA$9&lt;=$E36),1,"")</f>
        <v/>
      </c>
      <c r="BB36">
        <f>IF(AND(BB$9+6&gt;=$D36,BB$9&lt;=$E36),1,"")</f>
        <v/>
      </c>
      <c r="BC36">
        <f>IF(AND(BC$9+6&gt;=$D36,BC$9&lt;=$E36),1,"")</f>
        <v/>
      </c>
      <c r="BD36">
        <f>IF(AND(BD$9+6&gt;=$D36,BD$9&lt;=$E36),1,"")</f>
        <v/>
      </c>
      <c r="BE36">
        <f>IF(AND(BE$9+6&gt;=$D36,BE$9&lt;=$E36),1,"")</f>
        <v/>
      </c>
      <c r="BF36">
        <f>IF(AND(BF$9+6&gt;=$D36,BF$9&lt;=$E36),1,"")</f>
        <v/>
      </c>
      <c r="BG36">
        <f>IF(AND(BG$9+6&gt;=$D36,BG$9&lt;=$E36),1,"")</f>
        <v/>
      </c>
    </row>
    <row r="37">
      <c r="B37" s="13" t="inlineStr">
        <is>
          <t>Preliminary target status assessment (internal) – A1/T2 tabs</t>
        </is>
      </c>
      <c r="C37" s="13" t="inlineStr"/>
      <c r="D37" s="14" t="n">
        <v>46405</v>
      </c>
      <c r="E37" s="14" t="n">
        <v>46423</v>
      </c>
      <c r="F37" s="13" t="inlineStr">
        <is>
          <t>Rose (TBC)</t>
        </is>
      </c>
      <c r="G37" s="13" t="inlineStr">
        <is>
          <t>Director, Sustainability</t>
        </is>
      </c>
      <c r="H37" s="13" t="inlineStr">
        <is>
          <t>SST</t>
        </is>
      </c>
      <c r="I37" s="13" t="inlineStr"/>
      <c r="J37" s="13" t="inlineStr">
        <is>
          <t>High</t>
        </is>
      </c>
      <c r="K37" s="13" t="inlineStr">
        <is>
          <t>Not yet started</t>
        </is>
      </c>
      <c r="L37">
        <f>IF(AND(L$9+6&gt;=$D37,L$9&lt;=$E37),1,"")</f>
        <v/>
      </c>
      <c r="M37">
        <f>IF(AND(M$9+6&gt;=$D37,M$9&lt;=$E37),1,"")</f>
        <v/>
      </c>
      <c r="N37">
        <f>IF(AND(N$9+6&gt;=$D37,N$9&lt;=$E37),1,"")</f>
        <v/>
      </c>
      <c r="O37">
        <f>IF(AND(O$9+6&gt;=$D37,O$9&lt;=$E37),1,"")</f>
        <v/>
      </c>
      <c r="P37">
        <f>IF(AND(P$9+6&gt;=$D37,P$9&lt;=$E37),1,"")</f>
        <v/>
      </c>
      <c r="Q37">
        <f>IF(AND(Q$9+6&gt;=$D37,Q$9&lt;=$E37),1,"")</f>
        <v/>
      </c>
      <c r="R37">
        <f>IF(AND(R$9+6&gt;=$D37,R$9&lt;=$E37),1,"")</f>
        <v/>
      </c>
      <c r="S37">
        <f>IF(AND(S$9+6&gt;=$D37,S$9&lt;=$E37),1,"")</f>
        <v/>
      </c>
      <c r="T37">
        <f>IF(AND(T$9+6&gt;=$D37,T$9&lt;=$E37),1,"")</f>
        <v/>
      </c>
      <c r="U37">
        <f>IF(AND(U$9+6&gt;=$D37,U$9&lt;=$E37),1,"")</f>
        <v/>
      </c>
      <c r="V37">
        <f>IF(AND(V$9+6&gt;=$D37,V$9&lt;=$E37),1,"")</f>
        <v/>
      </c>
      <c r="W37">
        <f>IF(AND(W$9+6&gt;=$D37,W$9&lt;=$E37),1,"")</f>
        <v/>
      </c>
      <c r="X37">
        <f>IF(AND(X$9+6&gt;=$D37,X$9&lt;=$E37),1,"")</f>
        <v/>
      </c>
      <c r="Y37">
        <f>IF(AND(Y$9+6&gt;=$D37,Y$9&lt;=$E37),1,"")</f>
        <v/>
      </c>
      <c r="Z37">
        <f>IF(AND(Z$9+6&gt;=$D37,Z$9&lt;=$E37),1,"")</f>
        <v/>
      </c>
      <c r="AA37">
        <f>IF(AND(AA$9+6&gt;=$D37,AA$9&lt;=$E37),1,"")</f>
        <v/>
      </c>
      <c r="AB37">
        <f>IF(AND(AB$9+6&gt;=$D37,AB$9&lt;=$E37),1,"")</f>
        <v/>
      </c>
      <c r="AC37">
        <f>IF(AND(AC$9+6&gt;=$D37,AC$9&lt;=$E37),1,"")</f>
        <v/>
      </c>
      <c r="AD37">
        <f>IF(AND(AD$9+6&gt;=$D37,AD$9&lt;=$E37),1,"")</f>
        <v/>
      </c>
      <c r="AE37">
        <f>IF(AND(AE$9+6&gt;=$D37,AE$9&lt;=$E37),1,"")</f>
        <v/>
      </c>
      <c r="AF37">
        <f>IF(AND(AF$9+6&gt;=$D37,AF$9&lt;=$E37),1,"")</f>
        <v/>
      </c>
      <c r="AG37">
        <f>IF(AND(AG$9+6&gt;=$D37,AG$9&lt;=$E37),1,"")</f>
        <v/>
      </c>
      <c r="AH37">
        <f>IF(AND(AH$9+6&gt;=$D37,AH$9&lt;=$E37),1,"")</f>
        <v/>
      </c>
      <c r="AI37">
        <f>IF(AND(AI$9+6&gt;=$D37,AI$9&lt;=$E37),1,"")</f>
        <v/>
      </c>
      <c r="AJ37">
        <f>IF(AND(AJ$9+6&gt;=$D37,AJ$9&lt;=$E37),1,"")</f>
        <v/>
      </c>
      <c r="AK37">
        <f>IF(AND(AK$9+6&gt;=$D37,AK$9&lt;=$E37),1,"")</f>
        <v/>
      </c>
      <c r="AL37">
        <f>IF(AND(AL$9+6&gt;=$D37,AL$9&lt;=$E37),1,"")</f>
        <v/>
      </c>
      <c r="AM37">
        <f>IF(AND(AM$9+6&gt;=$D37,AM$9&lt;=$E37),1,"")</f>
        <v/>
      </c>
      <c r="AN37">
        <f>IF(AND(AN$9+6&gt;=$D37,AN$9&lt;=$E37),1,"")</f>
        <v/>
      </c>
      <c r="AO37">
        <f>IF(AND(AO$9+6&gt;=$D37,AO$9&lt;=$E37),1,"")</f>
        <v/>
      </c>
      <c r="AP37">
        <f>IF(AND(AP$9+6&gt;=$D37,AP$9&lt;=$E37),1,"")</f>
        <v/>
      </c>
      <c r="AQ37">
        <f>IF(AND(AQ$9+6&gt;=$D37,AQ$9&lt;=$E37),1,"")</f>
        <v/>
      </c>
      <c r="AR37">
        <f>IF(AND(AR$9+6&gt;=$D37,AR$9&lt;=$E37),1,"")</f>
        <v/>
      </c>
      <c r="AS37">
        <f>IF(AND(AS$9+6&gt;=$D37,AS$9&lt;=$E37),1,"")</f>
        <v/>
      </c>
      <c r="AT37">
        <f>IF(AND(AT$9+6&gt;=$D37,AT$9&lt;=$E37),1,"")</f>
        <v/>
      </c>
      <c r="AU37">
        <f>IF(AND(AU$9+6&gt;=$D37,AU$9&lt;=$E37),1,"")</f>
        <v/>
      </c>
      <c r="AV37">
        <f>IF(AND(AV$9+6&gt;=$D37,AV$9&lt;=$E37),1,"")</f>
        <v/>
      </c>
      <c r="AW37">
        <f>IF(AND(AW$9+6&gt;=$D37,AW$9&lt;=$E37),1,"")</f>
        <v/>
      </c>
      <c r="AX37">
        <f>IF(AND(AX$9+6&gt;=$D37,AX$9&lt;=$E37),1,"")</f>
        <v/>
      </c>
      <c r="AY37">
        <f>IF(AND(AY$9+6&gt;=$D37,AY$9&lt;=$E37),1,"")</f>
        <v/>
      </c>
      <c r="AZ37">
        <f>IF(AND(AZ$9+6&gt;=$D37,AZ$9&lt;=$E37),1,"")</f>
        <v/>
      </c>
      <c r="BA37">
        <f>IF(AND(BA$9+6&gt;=$D37,BA$9&lt;=$E37),1,"")</f>
        <v/>
      </c>
      <c r="BB37">
        <f>IF(AND(BB$9+6&gt;=$D37,BB$9&lt;=$E37),1,"")</f>
        <v/>
      </c>
      <c r="BC37">
        <f>IF(AND(BC$9+6&gt;=$D37,BC$9&lt;=$E37),1,"")</f>
        <v/>
      </c>
      <c r="BD37">
        <f>IF(AND(BD$9+6&gt;=$D37,BD$9&lt;=$E37),1,"")</f>
        <v/>
      </c>
      <c r="BE37">
        <f>IF(AND(BE$9+6&gt;=$D37,BE$9&lt;=$E37),1,"")</f>
        <v/>
      </c>
      <c r="BF37">
        <f>IF(AND(BF$9+6&gt;=$D37,BF$9&lt;=$E37),1,"")</f>
        <v/>
      </c>
      <c r="BG37">
        <f>IF(AND(BG$9+6&gt;=$D37,BG$9&lt;=$E37),1,"")</f>
        <v/>
      </c>
    </row>
    <row r="38">
      <c r="B38" s="13" t="inlineStr">
        <is>
          <t>Full draft + issues paper; close evidence gaps</t>
        </is>
      </c>
      <c r="C38" s="13" t="inlineStr"/>
      <c r="D38" s="14" t="n">
        <v>46398</v>
      </c>
      <c r="E38" s="14" t="n">
        <v>46423</v>
      </c>
      <c r="F38" s="13" t="inlineStr">
        <is>
          <t>SST</t>
        </is>
      </c>
      <c r="G38" s="13" t="inlineStr">
        <is>
          <t>Director, Sustainability</t>
        </is>
      </c>
      <c r="H38" s="13" t="inlineStr"/>
      <c r="I38" s="13" t="inlineStr"/>
      <c r="J38" s="13" t="inlineStr">
        <is>
          <t>High</t>
        </is>
      </c>
      <c r="K38" s="13" t="inlineStr">
        <is>
          <t>Not yet started</t>
        </is>
      </c>
      <c r="L38">
        <f>IF(AND(L$9+6&gt;=$D38,L$9&lt;=$E38),1,"")</f>
        <v/>
      </c>
      <c r="M38">
        <f>IF(AND(M$9+6&gt;=$D38,M$9&lt;=$E38),1,"")</f>
        <v/>
      </c>
      <c r="N38">
        <f>IF(AND(N$9+6&gt;=$D38,N$9&lt;=$E38),1,"")</f>
        <v/>
      </c>
      <c r="O38">
        <f>IF(AND(O$9+6&gt;=$D38,O$9&lt;=$E38),1,"")</f>
        <v/>
      </c>
      <c r="P38">
        <f>IF(AND(P$9+6&gt;=$D38,P$9&lt;=$E38),1,"")</f>
        <v/>
      </c>
      <c r="Q38">
        <f>IF(AND(Q$9+6&gt;=$D38,Q$9&lt;=$E38),1,"")</f>
        <v/>
      </c>
      <c r="R38">
        <f>IF(AND(R$9+6&gt;=$D38,R$9&lt;=$E38),1,"")</f>
        <v/>
      </c>
      <c r="S38">
        <f>IF(AND(S$9+6&gt;=$D38,S$9&lt;=$E38),1,"")</f>
        <v/>
      </c>
      <c r="T38">
        <f>IF(AND(T$9+6&gt;=$D38,T$9&lt;=$E38),1,"")</f>
        <v/>
      </c>
      <c r="U38">
        <f>IF(AND(U$9+6&gt;=$D38,U$9&lt;=$E38),1,"")</f>
        <v/>
      </c>
      <c r="V38">
        <f>IF(AND(V$9+6&gt;=$D38,V$9&lt;=$E38),1,"")</f>
        <v/>
      </c>
      <c r="W38">
        <f>IF(AND(W$9+6&gt;=$D38,W$9&lt;=$E38),1,"")</f>
        <v/>
      </c>
      <c r="X38">
        <f>IF(AND(X$9+6&gt;=$D38,X$9&lt;=$E38),1,"")</f>
        <v/>
      </c>
      <c r="Y38">
        <f>IF(AND(Y$9+6&gt;=$D38,Y$9&lt;=$E38),1,"")</f>
        <v/>
      </c>
      <c r="Z38">
        <f>IF(AND(Z$9+6&gt;=$D38,Z$9&lt;=$E38),1,"")</f>
        <v/>
      </c>
      <c r="AA38">
        <f>IF(AND(AA$9+6&gt;=$D38,AA$9&lt;=$E38),1,"")</f>
        <v/>
      </c>
      <c r="AB38">
        <f>IF(AND(AB$9+6&gt;=$D38,AB$9&lt;=$E38),1,"")</f>
        <v/>
      </c>
      <c r="AC38">
        <f>IF(AND(AC$9+6&gt;=$D38,AC$9&lt;=$E38),1,"")</f>
        <v/>
      </c>
      <c r="AD38">
        <f>IF(AND(AD$9+6&gt;=$D38,AD$9&lt;=$E38),1,"")</f>
        <v/>
      </c>
      <c r="AE38">
        <f>IF(AND(AE$9+6&gt;=$D38,AE$9&lt;=$E38),1,"")</f>
        <v/>
      </c>
      <c r="AF38">
        <f>IF(AND(AF$9+6&gt;=$D38,AF$9&lt;=$E38),1,"")</f>
        <v/>
      </c>
      <c r="AG38">
        <f>IF(AND(AG$9+6&gt;=$D38,AG$9&lt;=$E38),1,"")</f>
        <v/>
      </c>
      <c r="AH38">
        <f>IF(AND(AH$9+6&gt;=$D38,AH$9&lt;=$E38),1,"")</f>
        <v/>
      </c>
      <c r="AI38">
        <f>IF(AND(AI$9+6&gt;=$D38,AI$9&lt;=$E38),1,"")</f>
        <v/>
      </c>
      <c r="AJ38">
        <f>IF(AND(AJ$9+6&gt;=$D38,AJ$9&lt;=$E38),1,"")</f>
        <v/>
      </c>
      <c r="AK38">
        <f>IF(AND(AK$9+6&gt;=$D38,AK$9&lt;=$E38),1,"")</f>
        <v/>
      </c>
      <c r="AL38">
        <f>IF(AND(AL$9+6&gt;=$D38,AL$9&lt;=$E38),1,"")</f>
        <v/>
      </c>
      <c r="AM38">
        <f>IF(AND(AM$9+6&gt;=$D38,AM$9&lt;=$E38),1,"")</f>
        <v/>
      </c>
      <c r="AN38">
        <f>IF(AND(AN$9+6&gt;=$D38,AN$9&lt;=$E38),1,"")</f>
        <v/>
      </c>
      <c r="AO38">
        <f>IF(AND(AO$9+6&gt;=$D38,AO$9&lt;=$E38),1,"")</f>
        <v/>
      </c>
      <c r="AP38">
        <f>IF(AND(AP$9+6&gt;=$D38,AP$9&lt;=$E38),1,"")</f>
        <v/>
      </c>
      <c r="AQ38">
        <f>IF(AND(AQ$9+6&gt;=$D38,AQ$9&lt;=$E38),1,"")</f>
        <v/>
      </c>
      <c r="AR38">
        <f>IF(AND(AR$9+6&gt;=$D38,AR$9&lt;=$E38),1,"")</f>
        <v/>
      </c>
      <c r="AS38">
        <f>IF(AND(AS$9+6&gt;=$D38,AS$9&lt;=$E38),1,"")</f>
        <v/>
      </c>
      <c r="AT38">
        <f>IF(AND(AT$9+6&gt;=$D38,AT$9&lt;=$E38),1,"")</f>
        <v/>
      </c>
      <c r="AU38">
        <f>IF(AND(AU$9+6&gt;=$D38,AU$9&lt;=$E38),1,"")</f>
        <v/>
      </c>
      <c r="AV38">
        <f>IF(AND(AV$9+6&gt;=$D38,AV$9&lt;=$E38),1,"")</f>
        <v/>
      </c>
      <c r="AW38">
        <f>IF(AND(AW$9+6&gt;=$D38,AW$9&lt;=$E38),1,"")</f>
        <v/>
      </c>
      <c r="AX38">
        <f>IF(AND(AX$9+6&gt;=$D38,AX$9&lt;=$E38),1,"")</f>
        <v/>
      </c>
      <c r="AY38">
        <f>IF(AND(AY$9+6&gt;=$D38,AY$9&lt;=$E38),1,"")</f>
        <v/>
      </c>
      <c r="AZ38">
        <f>IF(AND(AZ$9+6&gt;=$D38,AZ$9&lt;=$E38),1,"")</f>
        <v/>
      </c>
      <c r="BA38">
        <f>IF(AND(BA$9+6&gt;=$D38,BA$9&lt;=$E38),1,"")</f>
        <v/>
      </c>
      <c r="BB38">
        <f>IF(AND(BB$9+6&gt;=$D38,BB$9&lt;=$E38),1,"")</f>
        <v/>
      </c>
      <c r="BC38">
        <f>IF(AND(BC$9+6&gt;=$D38,BC$9&lt;=$E38),1,"")</f>
        <v/>
      </c>
      <c r="BD38">
        <f>IF(AND(BD$9+6&gt;=$D38,BD$9&lt;=$E38),1,"")</f>
        <v/>
      </c>
      <c r="BE38">
        <f>IF(AND(BE$9+6&gt;=$D38,BE$9&lt;=$E38),1,"")</f>
        <v/>
      </c>
      <c r="BF38">
        <f>IF(AND(BF$9+6&gt;=$D38,BF$9&lt;=$E38),1,"")</f>
        <v/>
      </c>
      <c r="BG38">
        <f>IF(AND(BG$9+6&gt;=$D38,BG$9&lt;=$E38),1,"")</f>
        <v/>
      </c>
    </row>
    <row r="39">
      <c r="B39" s="11" t="inlineStr">
        <is>
          <t>Review &amp; governance (Feb–May 2027)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</row>
    <row r="40">
      <c r="B40" s="13" t="inlineStr">
        <is>
          <t>VCAG papers due (Review Group findings)</t>
        </is>
      </c>
      <c r="C40" s="13" t="inlineStr">
        <is>
          <t>10 Feb</t>
        </is>
      </c>
      <c r="D40" s="14" t="n">
        <v>46428</v>
      </c>
      <c r="E40" s="14" t="n">
        <v>46428</v>
      </c>
      <c r="F40" s="13" t="inlineStr">
        <is>
          <t>SST</t>
        </is>
      </c>
      <c r="G40" s="13" t="inlineStr">
        <is>
          <t>Director, Sustainability</t>
        </is>
      </c>
      <c r="H40" s="13" t="inlineStr"/>
      <c r="I40" s="13" t="inlineStr"/>
      <c r="J40" s="13" t="inlineStr">
        <is>
          <t>Milestone</t>
        </is>
      </c>
      <c r="K40" s="13" t="inlineStr">
        <is>
          <t>Not yet started</t>
        </is>
      </c>
      <c r="L40">
        <f>IF(AND(L$9+6&gt;=$D40,L$9&lt;=$E40),1,"")</f>
        <v/>
      </c>
      <c r="M40">
        <f>IF(AND(M$9+6&gt;=$D40,M$9&lt;=$E40),1,"")</f>
        <v/>
      </c>
      <c r="N40">
        <f>IF(AND(N$9+6&gt;=$D40,N$9&lt;=$E40),1,"")</f>
        <v/>
      </c>
      <c r="O40">
        <f>IF(AND(O$9+6&gt;=$D40,O$9&lt;=$E40),1,"")</f>
        <v/>
      </c>
      <c r="P40">
        <f>IF(AND(P$9+6&gt;=$D40,P$9&lt;=$E40),1,"")</f>
        <v/>
      </c>
      <c r="Q40">
        <f>IF(AND(Q$9+6&gt;=$D40,Q$9&lt;=$E40),1,"")</f>
        <v/>
      </c>
      <c r="R40">
        <f>IF(AND(R$9+6&gt;=$D40,R$9&lt;=$E40),1,"")</f>
        <v/>
      </c>
      <c r="S40">
        <f>IF(AND(S$9+6&gt;=$D40,S$9&lt;=$E40),1,"")</f>
        <v/>
      </c>
      <c r="T40">
        <f>IF(AND(T$9+6&gt;=$D40,T$9&lt;=$E40),1,"")</f>
        <v/>
      </c>
      <c r="U40">
        <f>IF(AND(U$9+6&gt;=$D40,U$9&lt;=$E40),1,"")</f>
        <v/>
      </c>
      <c r="V40">
        <f>IF(AND(V$9+6&gt;=$D40,V$9&lt;=$E40),1,"")</f>
        <v/>
      </c>
      <c r="W40">
        <f>IF(AND(W$9+6&gt;=$D40,W$9&lt;=$E40),1,"")</f>
        <v/>
      </c>
      <c r="X40">
        <f>IF(AND(X$9+6&gt;=$D40,X$9&lt;=$E40),1,"")</f>
        <v/>
      </c>
      <c r="Y40">
        <f>IF(AND(Y$9+6&gt;=$D40,Y$9&lt;=$E40),1,"")</f>
        <v/>
      </c>
      <c r="Z40">
        <f>IF(AND(Z$9+6&gt;=$D40,Z$9&lt;=$E40),1,"")</f>
        <v/>
      </c>
      <c r="AA40">
        <f>IF(AND(AA$9+6&gt;=$D40,AA$9&lt;=$E40),1,"")</f>
        <v/>
      </c>
      <c r="AB40">
        <f>IF(AND(AB$9+6&gt;=$D40,AB$9&lt;=$E40),1,"")</f>
        <v/>
      </c>
      <c r="AC40">
        <f>IF(AND(AC$9+6&gt;=$D40,AC$9&lt;=$E40),1,"")</f>
        <v/>
      </c>
      <c r="AD40">
        <f>IF(AND(AD$9+6&gt;=$D40,AD$9&lt;=$E40),1,"")</f>
        <v/>
      </c>
      <c r="AE40">
        <f>IF(AND(AE$9+6&gt;=$D40,AE$9&lt;=$E40),1,"")</f>
        <v/>
      </c>
      <c r="AF40">
        <f>IF(AND(AF$9+6&gt;=$D40,AF$9&lt;=$E40),1,"")</f>
        <v/>
      </c>
      <c r="AG40">
        <f>IF(AND(AG$9+6&gt;=$D40,AG$9&lt;=$E40),1,"")</f>
        <v/>
      </c>
      <c r="AH40">
        <f>IF(AND(AH$9+6&gt;=$D40,AH$9&lt;=$E40),1,"")</f>
        <v/>
      </c>
      <c r="AI40">
        <f>IF(AND(AI$9+6&gt;=$D40,AI$9&lt;=$E40),1,"")</f>
        <v/>
      </c>
      <c r="AJ40">
        <f>IF(AND(AJ$9+6&gt;=$D40,AJ$9&lt;=$E40),1,"")</f>
        <v/>
      </c>
      <c r="AK40">
        <f>IF(AND(AK$9+6&gt;=$D40,AK$9&lt;=$E40),1,"")</f>
        <v/>
      </c>
      <c r="AL40">
        <f>IF(AND(AL$9+6&gt;=$D40,AL$9&lt;=$E40),1,"")</f>
        <v/>
      </c>
      <c r="AM40">
        <f>IF(AND(AM$9+6&gt;=$D40,AM$9&lt;=$E40),1,"")</f>
        <v/>
      </c>
      <c r="AN40">
        <f>IF(AND(AN$9+6&gt;=$D40,AN$9&lt;=$E40),1,"")</f>
        <v/>
      </c>
      <c r="AO40">
        <f>IF(AND(AO$9+6&gt;=$D40,AO$9&lt;=$E40),1,"")</f>
        <v/>
      </c>
      <c r="AP40">
        <f>IF(AND(AP$9+6&gt;=$D40,AP$9&lt;=$E40),1,"")</f>
        <v/>
      </c>
      <c r="AQ40">
        <f>IF(AND(AQ$9+6&gt;=$D40,AQ$9&lt;=$E40),1,"")</f>
        <v/>
      </c>
      <c r="AR40">
        <f>IF(AND(AR$9+6&gt;=$D40,AR$9&lt;=$E40),1,"")</f>
        <v/>
      </c>
      <c r="AS40">
        <f>IF(AND(AS$9+6&gt;=$D40,AS$9&lt;=$E40),1,"")</f>
        <v/>
      </c>
      <c r="AT40">
        <f>IF(AND(AT$9+6&gt;=$D40,AT$9&lt;=$E40),1,"")</f>
        <v/>
      </c>
      <c r="AU40">
        <f>IF(AND(AU$9+6&gt;=$D40,AU$9&lt;=$E40),1,"")</f>
        <v/>
      </c>
      <c r="AV40">
        <f>IF(AND(AV$9+6&gt;=$D40,AV$9&lt;=$E40),1,"")</f>
        <v/>
      </c>
      <c r="AW40">
        <f>IF(AND(AW$9+6&gt;=$D40,AW$9&lt;=$E40),1,"")</f>
        <v/>
      </c>
      <c r="AX40">
        <f>IF(AND(AX$9+6&gt;=$D40,AX$9&lt;=$E40),1,"")</f>
        <v/>
      </c>
      <c r="AY40">
        <f>IF(AND(AY$9+6&gt;=$D40,AY$9&lt;=$E40),1,"")</f>
        <v/>
      </c>
      <c r="AZ40">
        <f>IF(AND(AZ$9+6&gt;=$D40,AZ$9&lt;=$E40),1,"")</f>
        <v/>
      </c>
      <c r="BA40">
        <f>IF(AND(BA$9+6&gt;=$D40,BA$9&lt;=$E40),1,"")</f>
        <v/>
      </c>
      <c r="BB40">
        <f>IF(AND(BB$9+6&gt;=$D40,BB$9&lt;=$E40),1,"")</f>
        <v/>
      </c>
      <c r="BC40">
        <f>IF(AND(BC$9+6&gt;=$D40,BC$9&lt;=$E40),1,"")</f>
        <v/>
      </c>
      <c r="BD40">
        <f>IF(AND(BD$9+6&gt;=$D40,BD$9&lt;=$E40),1,"")</f>
        <v/>
      </c>
      <c r="BE40">
        <f>IF(AND(BE$9+6&gt;=$D40,BE$9&lt;=$E40),1,"")</f>
        <v/>
      </c>
      <c r="BF40">
        <f>IF(AND(BF$9+6&gt;=$D40,BF$9&lt;=$E40),1,"")</f>
        <v/>
      </c>
      <c r="BG40">
        <f>IF(AND(BG$9+6&gt;=$D40,BG$9&lt;=$E40),1,"")</f>
        <v/>
      </c>
    </row>
    <row r="41">
      <c r="B41" s="13" t="inlineStr">
        <is>
          <t>Sustainability Reporting Review Group</t>
        </is>
      </c>
      <c r="C41" s="13" t="inlineStr">
        <is>
          <t>~15 Feb (8–10 Feb TBC)</t>
        </is>
      </c>
      <c r="D41" s="14" t="n">
        <v>46426</v>
      </c>
      <c r="E41" s="14" t="n">
        <v>46433</v>
      </c>
      <c r="F41" s="13" t="inlineStr">
        <is>
          <t>Rose (convenor, TBC)</t>
        </is>
      </c>
      <c r="G41" s="13" t="inlineStr"/>
      <c r="H41" s="13" t="inlineStr"/>
      <c r="I41" s="13" t="inlineStr"/>
      <c r="J41" s="13" t="inlineStr">
        <is>
          <t>Milestone</t>
        </is>
      </c>
      <c r="K41" s="13" t="inlineStr">
        <is>
          <t>Not yet started</t>
        </is>
      </c>
      <c r="L41">
        <f>IF(AND(L$9+6&gt;=$D41,L$9&lt;=$E41),1,"")</f>
        <v/>
      </c>
      <c r="M41">
        <f>IF(AND(M$9+6&gt;=$D41,M$9&lt;=$E41),1,"")</f>
        <v/>
      </c>
      <c r="N41">
        <f>IF(AND(N$9+6&gt;=$D41,N$9&lt;=$E41),1,"")</f>
        <v/>
      </c>
      <c r="O41">
        <f>IF(AND(O$9+6&gt;=$D41,O$9&lt;=$E41),1,"")</f>
        <v/>
      </c>
      <c r="P41">
        <f>IF(AND(P$9+6&gt;=$D41,P$9&lt;=$E41),1,"")</f>
        <v/>
      </c>
      <c r="Q41">
        <f>IF(AND(Q$9+6&gt;=$D41,Q$9&lt;=$E41),1,"")</f>
        <v/>
      </c>
      <c r="R41">
        <f>IF(AND(R$9+6&gt;=$D41,R$9&lt;=$E41),1,"")</f>
        <v/>
      </c>
      <c r="S41">
        <f>IF(AND(S$9+6&gt;=$D41,S$9&lt;=$E41),1,"")</f>
        <v/>
      </c>
      <c r="T41">
        <f>IF(AND(T$9+6&gt;=$D41,T$9&lt;=$E41),1,"")</f>
        <v/>
      </c>
      <c r="U41">
        <f>IF(AND(U$9+6&gt;=$D41,U$9&lt;=$E41),1,"")</f>
        <v/>
      </c>
      <c r="V41">
        <f>IF(AND(V$9+6&gt;=$D41,V$9&lt;=$E41),1,"")</f>
        <v/>
      </c>
      <c r="W41">
        <f>IF(AND(W$9+6&gt;=$D41,W$9&lt;=$E41),1,"")</f>
        <v/>
      </c>
      <c r="X41">
        <f>IF(AND(X$9+6&gt;=$D41,X$9&lt;=$E41),1,"")</f>
        <v/>
      </c>
      <c r="Y41">
        <f>IF(AND(Y$9+6&gt;=$D41,Y$9&lt;=$E41),1,"")</f>
        <v/>
      </c>
      <c r="Z41">
        <f>IF(AND(Z$9+6&gt;=$D41,Z$9&lt;=$E41),1,"")</f>
        <v/>
      </c>
      <c r="AA41">
        <f>IF(AND(AA$9+6&gt;=$D41,AA$9&lt;=$E41),1,"")</f>
        <v/>
      </c>
      <c r="AB41">
        <f>IF(AND(AB$9+6&gt;=$D41,AB$9&lt;=$E41),1,"")</f>
        <v/>
      </c>
      <c r="AC41">
        <f>IF(AND(AC$9+6&gt;=$D41,AC$9&lt;=$E41),1,"")</f>
        <v/>
      </c>
      <c r="AD41">
        <f>IF(AND(AD$9+6&gt;=$D41,AD$9&lt;=$E41),1,"")</f>
        <v/>
      </c>
      <c r="AE41">
        <f>IF(AND(AE$9+6&gt;=$D41,AE$9&lt;=$E41),1,"")</f>
        <v/>
      </c>
      <c r="AF41">
        <f>IF(AND(AF$9+6&gt;=$D41,AF$9&lt;=$E41),1,"")</f>
        <v/>
      </c>
      <c r="AG41">
        <f>IF(AND(AG$9+6&gt;=$D41,AG$9&lt;=$E41),1,"")</f>
        <v/>
      </c>
      <c r="AH41">
        <f>IF(AND(AH$9+6&gt;=$D41,AH$9&lt;=$E41),1,"")</f>
        <v/>
      </c>
      <c r="AI41">
        <f>IF(AND(AI$9+6&gt;=$D41,AI$9&lt;=$E41),1,"")</f>
        <v/>
      </c>
      <c r="AJ41">
        <f>IF(AND(AJ$9+6&gt;=$D41,AJ$9&lt;=$E41),1,"")</f>
        <v/>
      </c>
      <c r="AK41">
        <f>IF(AND(AK$9+6&gt;=$D41,AK$9&lt;=$E41),1,"")</f>
        <v/>
      </c>
      <c r="AL41">
        <f>IF(AND(AL$9+6&gt;=$D41,AL$9&lt;=$E41),1,"")</f>
        <v/>
      </c>
      <c r="AM41">
        <f>IF(AND(AM$9+6&gt;=$D41,AM$9&lt;=$E41),1,"")</f>
        <v/>
      </c>
      <c r="AN41">
        <f>IF(AND(AN$9+6&gt;=$D41,AN$9&lt;=$E41),1,"")</f>
        <v/>
      </c>
      <c r="AO41">
        <f>IF(AND(AO$9+6&gt;=$D41,AO$9&lt;=$E41),1,"")</f>
        <v/>
      </c>
      <c r="AP41">
        <f>IF(AND(AP$9+6&gt;=$D41,AP$9&lt;=$E41),1,"")</f>
        <v/>
      </c>
      <c r="AQ41">
        <f>IF(AND(AQ$9+6&gt;=$D41,AQ$9&lt;=$E41),1,"")</f>
        <v/>
      </c>
      <c r="AR41">
        <f>IF(AND(AR$9+6&gt;=$D41,AR$9&lt;=$E41),1,"")</f>
        <v/>
      </c>
      <c r="AS41">
        <f>IF(AND(AS$9+6&gt;=$D41,AS$9&lt;=$E41),1,"")</f>
        <v/>
      </c>
      <c r="AT41">
        <f>IF(AND(AT$9+6&gt;=$D41,AT$9&lt;=$E41),1,"")</f>
        <v/>
      </c>
      <c r="AU41">
        <f>IF(AND(AU$9+6&gt;=$D41,AU$9&lt;=$E41),1,"")</f>
        <v/>
      </c>
      <c r="AV41">
        <f>IF(AND(AV$9+6&gt;=$D41,AV$9&lt;=$E41),1,"")</f>
        <v/>
      </c>
      <c r="AW41">
        <f>IF(AND(AW$9+6&gt;=$D41,AW$9&lt;=$E41),1,"")</f>
        <v/>
      </c>
      <c r="AX41">
        <f>IF(AND(AX$9+6&gt;=$D41,AX$9&lt;=$E41),1,"")</f>
        <v/>
      </c>
      <c r="AY41">
        <f>IF(AND(AY$9+6&gt;=$D41,AY$9&lt;=$E41),1,"")</f>
        <v/>
      </c>
      <c r="AZ41">
        <f>IF(AND(AZ$9+6&gt;=$D41,AZ$9&lt;=$E41),1,"")</f>
        <v/>
      </c>
      <c r="BA41">
        <f>IF(AND(BA$9+6&gt;=$D41,BA$9&lt;=$E41),1,"")</f>
        <v/>
      </c>
      <c r="BB41">
        <f>IF(AND(BB$9+6&gt;=$D41,BB$9&lt;=$E41),1,"")</f>
        <v/>
      </c>
      <c r="BC41">
        <f>IF(AND(BC$9+6&gt;=$D41,BC$9&lt;=$E41),1,"")</f>
        <v/>
      </c>
      <c r="BD41">
        <f>IF(AND(BD$9+6&gt;=$D41,BD$9&lt;=$E41),1,"")</f>
        <v/>
      </c>
      <c r="BE41">
        <f>IF(AND(BE$9+6&gt;=$D41,BE$9&lt;=$E41),1,"")</f>
        <v/>
      </c>
      <c r="BF41">
        <f>IF(AND(BF$9+6&gt;=$D41,BF$9&lt;=$E41),1,"")</f>
        <v/>
      </c>
      <c r="BG41">
        <f>IF(AND(BG$9+6&gt;=$D41,BG$9&lt;=$E41),1,"")</f>
        <v/>
      </c>
    </row>
    <row r="42">
      <c r="B42" s="13" t="inlineStr">
        <is>
          <t>VCAG – notes Review Group findings</t>
        </is>
      </c>
      <c r="C42" s="13" t="inlineStr">
        <is>
          <t>16 Feb</t>
        </is>
      </c>
      <c r="D42" s="14" t="n">
        <v>46434</v>
      </c>
      <c r="E42" s="14" t="n">
        <v>46434</v>
      </c>
      <c r="F42" s="13" t="inlineStr"/>
      <c r="G42" s="13" t="inlineStr"/>
      <c r="H42" s="13" t="inlineStr"/>
      <c r="I42" s="13" t="inlineStr"/>
      <c r="J42" s="13" t="inlineStr">
        <is>
          <t>Milestone</t>
        </is>
      </c>
      <c r="K42" s="13" t="inlineStr">
        <is>
          <t>Not yet started</t>
        </is>
      </c>
      <c r="L42">
        <f>IF(AND(L$9+6&gt;=$D42,L$9&lt;=$E42),1,"")</f>
        <v/>
      </c>
      <c r="M42">
        <f>IF(AND(M$9+6&gt;=$D42,M$9&lt;=$E42),1,"")</f>
        <v/>
      </c>
      <c r="N42">
        <f>IF(AND(N$9+6&gt;=$D42,N$9&lt;=$E42),1,"")</f>
        <v/>
      </c>
      <c r="O42">
        <f>IF(AND(O$9+6&gt;=$D42,O$9&lt;=$E42),1,"")</f>
        <v/>
      </c>
      <c r="P42">
        <f>IF(AND(P$9+6&gt;=$D42,P$9&lt;=$E42),1,"")</f>
        <v/>
      </c>
      <c r="Q42">
        <f>IF(AND(Q$9+6&gt;=$D42,Q$9&lt;=$E42),1,"")</f>
        <v/>
      </c>
      <c r="R42">
        <f>IF(AND(R$9+6&gt;=$D42,R$9&lt;=$E42),1,"")</f>
        <v/>
      </c>
      <c r="S42">
        <f>IF(AND(S$9+6&gt;=$D42,S$9&lt;=$E42),1,"")</f>
        <v/>
      </c>
      <c r="T42">
        <f>IF(AND(T$9+6&gt;=$D42,T$9&lt;=$E42),1,"")</f>
        <v/>
      </c>
      <c r="U42">
        <f>IF(AND(U$9+6&gt;=$D42,U$9&lt;=$E42),1,"")</f>
        <v/>
      </c>
      <c r="V42">
        <f>IF(AND(V$9+6&gt;=$D42,V$9&lt;=$E42),1,"")</f>
        <v/>
      </c>
      <c r="W42">
        <f>IF(AND(W$9+6&gt;=$D42,W$9&lt;=$E42),1,"")</f>
        <v/>
      </c>
      <c r="X42">
        <f>IF(AND(X$9+6&gt;=$D42,X$9&lt;=$E42),1,"")</f>
        <v/>
      </c>
      <c r="Y42">
        <f>IF(AND(Y$9+6&gt;=$D42,Y$9&lt;=$E42),1,"")</f>
        <v/>
      </c>
      <c r="Z42">
        <f>IF(AND(Z$9+6&gt;=$D42,Z$9&lt;=$E42),1,"")</f>
        <v/>
      </c>
      <c r="AA42">
        <f>IF(AND(AA$9+6&gt;=$D42,AA$9&lt;=$E42),1,"")</f>
        <v/>
      </c>
      <c r="AB42">
        <f>IF(AND(AB$9+6&gt;=$D42,AB$9&lt;=$E42),1,"")</f>
        <v/>
      </c>
      <c r="AC42">
        <f>IF(AND(AC$9+6&gt;=$D42,AC$9&lt;=$E42),1,"")</f>
        <v/>
      </c>
      <c r="AD42">
        <f>IF(AND(AD$9+6&gt;=$D42,AD$9&lt;=$E42),1,"")</f>
        <v/>
      </c>
      <c r="AE42">
        <f>IF(AND(AE$9+6&gt;=$D42,AE$9&lt;=$E42),1,"")</f>
        <v/>
      </c>
      <c r="AF42">
        <f>IF(AND(AF$9+6&gt;=$D42,AF$9&lt;=$E42),1,"")</f>
        <v/>
      </c>
      <c r="AG42">
        <f>IF(AND(AG$9+6&gt;=$D42,AG$9&lt;=$E42),1,"")</f>
        <v/>
      </c>
      <c r="AH42">
        <f>IF(AND(AH$9+6&gt;=$D42,AH$9&lt;=$E42),1,"")</f>
        <v/>
      </c>
      <c r="AI42">
        <f>IF(AND(AI$9+6&gt;=$D42,AI$9&lt;=$E42),1,"")</f>
        <v/>
      </c>
      <c r="AJ42">
        <f>IF(AND(AJ$9+6&gt;=$D42,AJ$9&lt;=$E42),1,"")</f>
        <v/>
      </c>
      <c r="AK42">
        <f>IF(AND(AK$9+6&gt;=$D42,AK$9&lt;=$E42),1,"")</f>
        <v/>
      </c>
      <c r="AL42">
        <f>IF(AND(AL$9+6&gt;=$D42,AL$9&lt;=$E42),1,"")</f>
        <v/>
      </c>
      <c r="AM42">
        <f>IF(AND(AM$9+6&gt;=$D42,AM$9&lt;=$E42),1,"")</f>
        <v/>
      </c>
      <c r="AN42">
        <f>IF(AND(AN$9+6&gt;=$D42,AN$9&lt;=$E42),1,"")</f>
        <v/>
      </c>
      <c r="AO42">
        <f>IF(AND(AO$9+6&gt;=$D42,AO$9&lt;=$E42),1,"")</f>
        <v/>
      </c>
      <c r="AP42">
        <f>IF(AND(AP$9+6&gt;=$D42,AP$9&lt;=$E42),1,"")</f>
        <v/>
      </c>
      <c r="AQ42">
        <f>IF(AND(AQ$9+6&gt;=$D42,AQ$9&lt;=$E42),1,"")</f>
        <v/>
      </c>
      <c r="AR42">
        <f>IF(AND(AR$9+6&gt;=$D42,AR$9&lt;=$E42),1,"")</f>
        <v/>
      </c>
      <c r="AS42">
        <f>IF(AND(AS$9+6&gt;=$D42,AS$9&lt;=$E42),1,"")</f>
        <v/>
      </c>
      <c r="AT42">
        <f>IF(AND(AT$9+6&gt;=$D42,AT$9&lt;=$E42),1,"")</f>
        <v/>
      </c>
      <c r="AU42">
        <f>IF(AND(AU$9+6&gt;=$D42,AU$9&lt;=$E42),1,"")</f>
        <v/>
      </c>
      <c r="AV42">
        <f>IF(AND(AV$9+6&gt;=$D42,AV$9&lt;=$E42),1,"")</f>
        <v/>
      </c>
      <c r="AW42">
        <f>IF(AND(AW$9+6&gt;=$D42,AW$9&lt;=$E42),1,"")</f>
        <v/>
      </c>
      <c r="AX42">
        <f>IF(AND(AX$9+6&gt;=$D42,AX$9&lt;=$E42),1,"")</f>
        <v/>
      </c>
      <c r="AY42">
        <f>IF(AND(AY$9+6&gt;=$D42,AY$9&lt;=$E42),1,"")</f>
        <v/>
      </c>
      <c r="AZ42">
        <f>IF(AND(AZ$9+6&gt;=$D42,AZ$9&lt;=$E42),1,"")</f>
        <v/>
      </c>
      <c r="BA42">
        <f>IF(AND(BA$9+6&gt;=$D42,BA$9&lt;=$E42),1,"")</f>
        <v/>
      </c>
      <c r="BB42">
        <f>IF(AND(BB$9+6&gt;=$D42,BB$9&lt;=$E42),1,"")</f>
        <v/>
      </c>
      <c r="BC42">
        <f>IF(AND(BC$9+6&gt;=$D42,BC$9&lt;=$E42),1,"")</f>
        <v/>
      </c>
      <c r="BD42">
        <f>IF(AND(BD$9+6&gt;=$D42,BD$9&lt;=$E42),1,"")</f>
        <v/>
      </c>
      <c r="BE42">
        <f>IF(AND(BE$9+6&gt;=$D42,BE$9&lt;=$E42),1,"")</f>
        <v/>
      </c>
      <c r="BF42">
        <f>IF(AND(BF$9+6&gt;=$D42,BF$9&lt;=$E42),1,"")</f>
        <v/>
      </c>
      <c r="BG42">
        <f>IF(AND(BG$9+6&gt;=$D42,BG$9&lt;=$E42),1,"")</f>
        <v/>
      </c>
    </row>
    <row r="43">
      <c r="B43" s="13" t="inlineStr">
        <is>
          <t>Investment Management Committee – Responsible Investments section</t>
        </is>
      </c>
      <c r="C43" s="13" t="inlineStr">
        <is>
          <t>~25 Feb (papers ~18 Feb)</t>
        </is>
      </c>
      <c r="D43" s="14" t="n">
        <v>46436</v>
      </c>
      <c r="E43" s="14" t="n">
        <v>46443</v>
      </c>
      <c r="F43" s="13" t="inlineStr">
        <is>
          <t>SST</t>
        </is>
      </c>
      <c r="G43" s="13" t="inlineStr"/>
      <c r="H43" s="13" t="inlineStr"/>
      <c r="I43" s="13" t="inlineStr"/>
      <c r="J43" s="13" t="inlineStr">
        <is>
          <t>Milestone</t>
        </is>
      </c>
      <c r="K43" s="13" t="inlineStr">
        <is>
          <t>Not yet started</t>
        </is>
      </c>
      <c r="L43">
        <f>IF(AND(L$9+6&gt;=$D43,L$9&lt;=$E43),1,"")</f>
        <v/>
      </c>
      <c r="M43">
        <f>IF(AND(M$9+6&gt;=$D43,M$9&lt;=$E43),1,"")</f>
        <v/>
      </c>
      <c r="N43">
        <f>IF(AND(N$9+6&gt;=$D43,N$9&lt;=$E43),1,"")</f>
        <v/>
      </c>
      <c r="O43">
        <f>IF(AND(O$9+6&gt;=$D43,O$9&lt;=$E43),1,"")</f>
        <v/>
      </c>
      <c r="P43">
        <f>IF(AND(P$9+6&gt;=$D43,P$9&lt;=$E43),1,"")</f>
        <v/>
      </c>
      <c r="Q43">
        <f>IF(AND(Q$9+6&gt;=$D43,Q$9&lt;=$E43),1,"")</f>
        <v/>
      </c>
      <c r="R43">
        <f>IF(AND(R$9+6&gt;=$D43,R$9&lt;=$E43),1,"")</f>
        <v/>
      </c>
      <c r="S43">
        <f>IF(AND(S$9+6&gt;=$D43,S$9&lt;=$E43),1,"")</f>
        <v/>
      </c>
      <c r="T43">
        <f>IF(AND(T$9+6&gt;=$D43,T$9&lt;=$E43),1,"")</f>
        <v/>
      </c>
      <c r="U43">
        <f>IF(AND(U$9+6&gt;=$D43,U$9&lt;=$E43),1,"")</f>
        <v/>
      </c>
      <c r="V43">
        <f>IF(AND(V$9+6&gt;=$D43,V$9&lt;=$E43),1,"")</f>
        <v/>
      </c>
      <c r="W43">
        <f>IF(AND(W$9+6&gt;=$D43,W$9&lt;=$E43),1,"")</f>
        <v/>
      </c>
      <c r="X43">
        <f>IF(AND(X$9+6&gt;=$D43,X$9&lt;=$E43),1,"")</f>
        <v/>
      </c>
      <c r="Y43">
        <f>IF(AND(Y$9+6&gt;=$D43,Y$9&lt;=$E43),1,"")</f>
        <v/>
      </c>
      <c r="Z43">
        <f>IF(AND(Z$9+6&gt;=$D43,Z$9&lt;=$E43),1,"")</f>
        <v/>
      </c>
      <c r="AA43">
        <f>IF(AND(AA$9+6&gt;=$D43,AA$9&lt;=$E43),1,"")</f>
        <v/>
      </c>
      <c r="AB43">
        <f>IF(AND(AB$9+6&gt;=$D43,AB$9&lt;=$E43),1,"")</f>
        <v/>
      </c>
      <c r="AC43">
        <f>IF(AND(AC$9+6&gt;=$D43,AC$9&lt;=$E43),1,"")</f>
        <v/>
      </c>
      <c r="AD43">
        <f>IF(AND(AD$9+6&gt;=$D43,AD$9&lt;=$E43),1,"")</f>
        <v/>
      </c>
      <c r="AE43">
        <f>IF(AND(AE$9+6&gt;=$D43,AE$9&lt;=$E43),1,"")</f>
        <v/>
      </c>
      <c r="AF43">
        <f>IF(AND(AF$9+6&gt;=$D43,AF$9&lt;=$E43),1,"")</f>
        <v/>
      </c>
      <c r="AG43">
        <f>IF(AND(AG$9+6&gt;=$D43,AG$9&lt;=$E43),1,"")</f>
        <v/>
      </c>
      <c r="AH43">
        <f>IF(AND(AH$9+6&gt;=$D43,AH$9&lt;=$E43),1,"")</f>
        <v/>
      </c>
      <c r="AI43">
        <f>IF(AND(AI$9+6&gt;=$D43,AI$9&lt;=$E43),1,"")</f>
        <v/>
      </c>
      <c r="AJ43">
        <f>IF(AND(AJ$9+6&gt;=$D43,AJ$9&lt;=$E43),1,"")</f>
        <v/>
      </c>
      <c r="AK43">
        <f>IF(AND(AK$9+6&gt;=$D43,AK$9&lt;=$E43),1,"")</f>
        <v/>
      </c>
      <c r="AL43">
        <f>IF(AND(AL$9+6&gt;=$D43,AL$9&lt;=$E43),1,"")</f>
        <v/>
      </c>
      <c r="AM43">
        <f>IF(AND(AM$9+6&gt;=$D43,AM$9&lt;=$E43),1,"")</f>
        <v/>
      </c>
      <c r="AN43">
        <f>IF(AND(AN$9+6&gt;=$D43,AN$9&lt;=$E43),1,"")</f>
        <v/>
      </c>
      <c r="AO43">
        <f>IF(AND(AO$9+6&gt;=$D43,AO$9&lt;=$E43),1,"")</f>
        <v/>
      </c>
      <c r="AP43">
        <f>IF(AND(AP$9+6&gt;=$D43,AP$9&lt;=$E43),1,"")</f>
        <v/>
      </c>
      <c r="AQ43">
        <f>IF(AND(AQ$9+6&gt;=$D43,AQ$9&lt;=$E43),1,"")</f>
        <v/>
      </c>
      <c r="AR43">
        <f>IF(AND(AR$9+6&gt;=$D43,AR$9&lt;=$E43),1,"")</f>
        <v/>
      </c>
      <c r="AS43">
        <f>IF(AND(AS$9+6&gt;=$D43,AS$9&lt;=$E43),1,"")</f>
        <v/>
      </c>
      <c r="AT43">
        <f>IF(AND(AT$9+6&gt;=$D43,AT$9&lt;=$E43),1,"")</f>
        <v/>
      </c>
      <c r="AU43">
        <f>IF(AND(AU$9+6&gt;=$D43,AU$9&lt;=$E43),1,"")</f>
        <v/>
      </c>
      <c r="AV43">
        <f>IF(AND(AV$9+6&gt;=$D43,AV$9&lt;=$E43),1,"")</f>
        <v/>
      </c>
      <c r="AW43">
        <f>IF(AND(AW$9+6&gt;=$D43,AW$9&lt;=$E43),1,"")</f>
        <v/>
      </c>
      <c r="AX43">
        <f>IF(AND(AX$9+6&gt;=$D43,AX$9&lt;=$E43),1,"")</f>
        <v/>
      </c>
      <c r="AY43">
        <f>IF(AND(AY$9+6&gt;=$D43,AY$9&lt;=$E43),1,"")</f>
        <v/>
      </c>
      <c r="AZ43">
        <f>IF(AND(AZ$9+6&gt;=$D43,AZ$9&lt;=$E43),1,"")</f>
        <v/>
      </c>
      <c r="BA43">
        <f>IF(AND(BA$9+6&gt;=$D43,BA$9&lt;=$E43),1,"")</f>
        <v/>
      </c>
      <c r="BB43">
        <f>IF(AND(BB$9+6&gt;=$D43,BB$9&lt;=$E43),1,"")</f>
        <v/>
      </c>
      <c r="BC43">
        <f>IF(AND(BC$9+6&gt;=$D43,BC$9&lt;=$E43),1,"")</f>
        <v/>
      </c>
      <c r="BD43">
        <f>IF(AND(BD$9+6&gt;=$D43,BD$9&lt;=$E43),1,"")</f>
        <v/>
      </c>
      <c r="BE43">
        <f>IF(AND(BE$9+6&gt;=$D43,BE$9&lt;=$E43),1,"")</f>
        <v/>
      </c>
      <c r="BF43">
        <f>IF(AND(BF$9+6&gt;=$D43,BF$9&lt;=$E43),1,"")</f>
        <v/>
      </c>
      <c r="BG43">
        <f>IF(AND(BG$9+6&gt;=$D43,BG$9&lt;=$E43),1,"")</f>
        <v/>
      </c>
    </row>
    <row r="44">
      <c r="B44" s="13" t="inlineStr">
        <is>
          <t>Full-report finalisation; Strategic Comms review; reconcile Annual Report data</t>
        </is>
      </c>
      <c r="C44" s="13" t="inlineStr"/>
      <c r="D44" s="14" t="n">
        <v>46434</v>
      </c>
      <c r="E44" s="14" t="n">
        <v>46444</v>
      </c>
      <c r="F44" s="13" t="inlineStr">
        <is>
          <t>SST</t>
        </is>
      </c>
      <c r="G44" s="13" t="inlineStr"/>
      <c r="H44" s="13" t="inlineStr">
        <is>
          <t>Strategic Comms</t>
        </is>
      </c>
      <c r="I44" s="13" t="inlineStr"/>
      <c r="J44" s="13" t="inlineStr">
        <is>
          <t>High</t>
        </is>
      </c>
      <c r="K44" s="13" t="inlineStr">
        <is>
          <t>Not yet started</t>
        </is>
      </c>
      <c r="L44">
        <f>IF(AND(L$9+6&gt;=$D44,L$9&lt;=$E44),1,"")</f>
        <v/>
      </c>
      <c r="M44">
        <f>IF(AND(M$9+6&gt;=$D44,M$9&lt;=$E44),1,"")</f>
        <v/>
      </c>
      <c r="N44">
        <f>IF(AND(N$9+6&gt;=$D44,N$9&lt;=$E44),1,"")</f>
        <v/>
      </c>
      <c r="O44">
        <f>IF(AND(O$9+6&gt;=$D44,O$9&lt;=$E44),1,"")</f>
        <v/>
      </c>
      <c r="P44">
        <f>IF(AND(P$9+6&gt;=$D44,P$9&lt;=$E44),1,"")</f>
        <v/>
      </c>
      <c r="Q44">
        <f>IF(AND(Q$9+6&gt;=$D44,Q$9&lt;=$E44),1,"")</f>
        <v/>
      </c>
      <c r="R44">
        <f>IF(AND(R$9+6&gt;=$D44,R$9&lt;=$E44),1,"")</f>
        <v/>
      </c>
      <c r="S44">
        <f>IF(AND(S$9+6&gt;=$D44,S$9&lt;=$E44),1,"")</f>
        <v/>
      </c>
      <c r="T44">
        <f>IF(AND(T$9+6&gt;=$D44,T$9&lt;=$E44),1,"")</f>
        <v/>
      </c>
      <c r="U44">
        <f>IF(AND(U$9+6&gt;=$D44,U$9&lt;=$E44),1,"")</f>
        <v/>
      </c>
      <c r="V44">
        <f>IF(AND(V$9+6&gt;=$D44,V$9&lt;=$E44),1,"")</f>
        <v/>
      </c>
      <c r="W44">
        <f>IF(AND(W$9+6&gt;=$D44,W$9&lt;=$E44),1,"")</f>
        <v/>
      </c>
      <c r="X44">
        <f>IF(AND(X$9+6&gt;=$D44,X$9&lt;=$E44),1,"")</f>
        <v/>
      </c>
      <c r="Y44">
        <f>IF(AND(Y$9+6&gt;=$D44,Y$9&lt;=$E44),1,"")</f>
        <v/>
      </c>
      <c r="Z44">
        <f>IF(AND(Z$9+6&gt;=$D44,Z$9&lt;=$E44),1,"")</f>
        <v/>
      </c>
      <c r="AA44">
        <f>IF(AND(AA$9+6&gt;=$D44,AA$9&lt;=$E44),1,"")</f>
        <v/>
      </c>
      <c r="AB44">
        <f>IF(AND(AB$9+6&gt;=$D44,AB$9&lt;=$E44),1,"")</f>
        <v/>
      </c>
      <c r="AC44">
        <f>IF(AND(AC$9+6&gt;=$D44,AC$9&lt;=$E44),1,"")</f>
        <v/>
      </c>
      <c r="AD44">
        <f>IF(AND(AD$9+6&gt;=$D44,AD$9&lt;=$E44),1,"")</f>
        <v/>
      </c>
      <c r="AE44">
        <f>IF(AND(AE$9+6&gt;=$D44,AE$9&lt;=$E44),1,"")</f>
        <v/>
      </c>
      <c r="AF44">
        <f>IF(AND(AF$9+6&gt;=$D44,AF$9&lt;=$E44),1,"")</f>
        <v/>
      </c>
      <c r="AG44">
        <f>IF(AND(AG$9+6&gt;=$D44,AG$9&lt;=$E44),1,"")</f>
        <v/>
      </c>
      <c r="AH44">
        <f>IF(AND(AH$9+6&gt;=$D44,AH$9&lt;=$E44),1,"")</f>
        <v/>
      </c>
      <c r="AI44">
        <f>IF(AND(AI$9+6&gt;=$D44,AI$9&lt;=$E44),1,"")</f>
        <v/>
      </c>
      <c r="AJ44">
        <f>IF(AND(AJ$9+6&gt;=$D44,AJ$9&lt;=$E44),1,"")</f>
        <v/>
      </c>
      <c r="AK44">
        <f>IF(AND(AK$9+6&gt;=$D44,AK$9&lt;=$E44),1,"")</f>
        <v/>
      </c>
      <c r="AL44">
        <f>IF(AND(AL$9+6&gt;=$D44,AL$9&lt;=$E44),1,"")</f>
        <v/>
      </c>
      <c r="AM44">
        <f>IF(AND(AM$9+6&gt;=$D44,AM$9&lt;=$E44),1,"")</f>
        <v/>
      </c>
      <c r="AN44">
        <f>IF(AND(AN$9+6&gt;=$D44,AN$9&lt;=$E44),1,"")</f>
        <v/>
      </c>
      <c r="AO44">
        <f>IF(AND(AO$9+6&gt;=$D44,AO$9&lt;=$E44),1,"")</f>
        <v/>
      </c>
      <c r="AP44">
        <f>IF(AND(AP$9+6&gt;=$D44,AP$9&lt;=$E44),1,"")</f>
        <v/>
      </c>
      <c r="AQ44">
        <f>IF(AND(AQ$9+6&gt;=$D44,AQ$9&lt;=$E44),1,"")</f>
        <v/>
      </c>
      <c r="AR44">
        <f>IF(AND(AR$9+6&gt;=$D44,AR$9&lt;=$E44),1,"")</f>
        <v/>
      </c>
      <c r="AS44">
        <f>IF(AND(AS$9+6&gt;=$D44,AS$9&lt;=$E44),1,"")</f>
        <v/>
      </c>
      <c r="AT44">
        <f>IF(AND(AT$9+6&gt;=$D44,AT$9&lt;=$E44),1,"")</f>
        <v/>
      </c>
      <c r="AU44">
        <f>IF(AND(AU$9+6&gt;=$D44,AU$9&lt;=$E44),1,"")</f>
        <v/>
      </c>
      <c r="AV44">
        <f>IF(AND(AV$9+6&gt;=$D44,AV$9&lt;=$E44),1,"")</f>
        <v/>
      </c>
      <c r="AW44">
        <f>IF(AND(AW$9+6&gt;=$D44,AW$9&lt;=$E44),1,"")</f>
        <v/>
      </c>
      <c r="AX44">
        <f>IF(AND(AX$9+6&gt;=$D44,AX$9&lt;=$E44),1,"")</f>
        <v/>
      </c>
      <c r="AY44">
        <f>IF(AND(AY$9+6&gt;=$D44,AY$9&lt;=$E44),1,"")</f>
        <v/>
      </c>
      <c r="AZ44">
        <f>IF(AND(AZ$9+6&gt;=$D44,AZ$9&lt;=$E44),1,"")</f>
        <v/>
      </c>
      <c r="BA44">
        <f>IF(AND(BA$9+6&gt;=$D44,BA$9&lt;=$E44),1,"")</f>
        <v/>
      </c>
      <c r="BB44">
        <f>IF(AND(BB$9+6&gt;=$D44,BB$9&lt;=$E44),1,"")</f>
        <v/>
      </c>
      <c r="BC44">
        <f>IF(AND(BC$9+6&gt;=$D44,BC$9&lt;=$E44),1,"")</f>
        <v/>
      </c>
      <c r="BD44">
        <f>IF(AND(BD$9+6&gt;=$D44,BD$9&lt;=$E44),1,"")</f>
        <v/>
      </c>
      <c r="BE44">
        <f>IF(AND(BE$9+6&gt;=$D44,BE$9&lt;=$E44),1,"")</f>
        <v/>
      </c>
      <c r="BF44">
        <f>IF(AND(BF$9+6&gt;=$D44,BF$9&lt;=$E44),1,"")</f>
        <v/>
      </c>
      <c r="BG44">
        <f>IF(AND(BG$9+6&gt;=$D44,BG$9&lt;=$E44),1,"")</f>
        <v/>
      </c>
    </row>
    <row r="45">
      <c r="B45" s="13" t="inlineStr">
        <is>
          <t>VCAG – notes full report</t>
        </is>
      </c>
      <c r="C45" s="13" t="inlineStr">
        <is>
          <t>~2 Mar (papers ~25 Feb)</t>
        </is>
      </c>
      <c r="D45" s="14" t="n">
        <v>46448</v>
      </c>
      <c r="E45" s="14" t="n">
        <v>46448</v>
      </c>
      <c r="F45" s="13" t="inlineStr"/>
      <c r="G45" s="13" t="inlineStr"/>
      <c r="H45" s="13" t="inlineStr"/>
      <c r="I45" s="13" t="inlineStr"/>
      <c r="J45" s="13" t="inlineStr">
        <is>
          <t>Milestone</t>
        </is>
      </c>
      <c r="K45" s="13" t="inlineStr">
        <is>
          <t>Not yet started</t>
        </is>
      </c>
      <c r="L45">
        <f>IF(AND(L$9+6&gt;=$D45,L$9&lt;=$E45),1,"")</f>
        <v/>
      </c>
      <c r="M45">
        <f>IF(AND(M$9+6&gt;=$D45,M$9&lt;=$E45),1,"")</f>
        <v/>
      </c>
      <c r="N45">
        <f>IF(AND(N$9+6&gt;=$D45,N$9&lt;=$E45),1,"")</f>
        <v/>
      </c>
      <c r="O45">
        <f>IF(AND(O$9+6&gt;=$D45,O$9&lt;=$E45),1,"")</f>
        <v/>
      </c>
      <c r="P45">
        <f>IF(AND(P$9+6&gt;=$D45,P$9&lt;=$E45),1,"")</f>
        <v/>
      </c>
      <c r="Q45">
        <f>IF(AND(Q$9+6&gt;=$D45,Q$9&lt;=$E45),1,"")</f>
        <v/>
      </c>
      <c r="R45">
        <f>IF(AND(R$9+6&gt;=$D45,R$9&lt;=$E45),1,"")</f>
        <v/>
      </c>
      <c r="S45">
        <f>IF(AND(S$9+6&gt;=$D45,S$9&lt;=$E45),1,"")</f>
        <v/>
      </c>
      <c r="T45">
        <f>IF(AND(T$9+6&gt;=$D45,T$9&lt;=$E45),1,"")</f>
        <v/>
      </c>
      <c r="U45">
        <f>IF(AND(U$9+6&gt;=$D45,U$9&lt;=$E45),1,"")</f>
        <v/>
      </c>
      <c r="V45">
        <f>IF(AND(V$9+6&gt;=$D45,V$9&lt;=$E45),1,"")</f>
        <v/>
      </c>
      <c r="W45">
        <f>IF(AND(W$9+6&gt;=$D45,W$9&lt;=$E45),1,"")</f>
        <v/>
      </c>
      <c r="X45">
        <f>IF(AND(X$9+6&gt;=$D45,X$9&lt;=$E45),1,"")</f>
        <v/>
      </c>
      <c r="Y45">
        <f>IF(AND(Y$9+6&gt;=$D45,Y$9&lt;=$E45),1,"")</f>
        <v/>
      </c>
      <c r="Z45">
        <f>IF(AND(Z$9+6&gt;=$D45,Z$9&lt;=$E45),1,"")</f>
        <v/>
      </c>
      <c r="AA45">
        <f>IF(AND(AA$9+6&gt;=$D45,AA$9&lt;=$E45),1,"")</f>
        <v/>
      </c>
      <c r="AB45">
        <f>IF(AND(AB$9+6&gt;=$D45,AB$9&lt;=$E45),1,"")</f>
        <v/>
      </c>
      <c r="AC45">
        <f>IF(AND(AC$9+6&gt;=$D45,AC$9&lt;=$E45),1,"")</f>
        <v/>
      </c>
      <c r="AD45">
        <f>IF(AND(AD$9+6&gt;=$D45,AD$9&lt;=$E45),1,"")</f>
        <v/>
      </c>
      <c r="AE45">
        <f>IF(AND(AE$9+6&gt;=$D45,AE$9&lt;=$E45),1,"")</f>
        <v/>
      </c>
      <c r="AF45">
        <f>IF(AND(AF$9+6&gt;=$D45,AF$9&lt;=$E45),1,"")</f>
        <v/>
      </c>
      <c r="AG45">
        <f>IF(AND(AG$9+6&gt;=$D45,AG$9&lt;=$E45),1,"")</f>
        <v/>
      </c>
      <c r="AH45">
        <f>IF(AND(AH$9+6&gt;=$D45,AH$9&lt;=$E45),1,"")</f>
        <v/>
      </c>
      <c r="AI45">
        <f>IF(AND(AI$9+6&gt;=$D45,AI$9&lt;=$E45),1,"")</f>
        <v/>
      </c>
      <c r="AJ45">
        <f>IF(AND(AJ$9+6&gt;=$D45,AJ$9&lt;=$E45),1,"")</f>
        <v/>
      </c>
      <c r="AK45">
        <f>IF(AND(AK$9+6&gt;=$D45,AK$9&lt;=$E45),1,"")</f>
        <v/>
      </c>
      <c r="AL45">
        <f>IF(AND(AL$9+6&gt;=$D45,AL$9&lt;=$E45),1,"")</f>
        <v/>
      </c>
      <c r="AM45">
        <f>IF(AND(AM$9+6&gt;=$D45,AM$9&lt;=$E45),1,"")</f>
        <v/>
      </c>
      <c r="AN45">
        <f>IF(AND(AN$9+6&gt;=$D45,AN$9&lt;=$E45),1,"")</f>
        <v/>
      </c>
      <c r="AO45">
        <f>IF(AND(AO$9+6&gt;=$D45,AO$9&lt;=$E45),1,"")</f>
        <v/>
      </c>
      <c r="AP45">
        <f>IF(AND(AP$9+6&gt;=$D45,AP$9&lt;=$E45),1,"")</f>
        <v/>
      </c>
      <c r="AQ45">
        <f>IF(AND(AQ$9+6&gt;=$D45,AQ$9&lt;=$E45),1,"")</f>
        <v/>
      </c>
      <c r="AR45">
        <f>IF(AND(AR$9+6&gt;=$D45,AR$9&lt;=$E45),1,"")</f>
        <v/>
      </c>
      <c r="AS45">
        <f>IF(AND(AS$9+6&gt;=$D45,AS$9&lt;=$E45),1,"")</f>
        <v/>
      </c>
      <c r="AT45">
        <f>IF(AND(AT$9+6&gt;=$D45,AT$9&lt;=$E45),1,"")</f>
        <v/>
      </c>
      <c r="AU45">
        <f>IF(AND(AU$9+6&gt;=$D45,AU$9&lt;=$E45),1,"")</f>
        <v/>
      </c>
      <c r="AV45">
        <f>IF(AND(AV$9+6&gt;=$D45,AV$9&lt;=$E45),1,"")</f>
        <v/>
      </c>
      <c r="AW45">
        <f>IF(AND(AW$9+6&gt;=$D45,AW$9&lt;=$E45),1,"")</f>
        <v/>
      </c>
      <c r="AX45">
        <f>IF(AND(AX$9+6&gt;=$D45,AX$9&lt;=$E45),1,"")</f>
        <v/>
      </c>
      <c r="AY45">
        <f>IF(AND(AY$9+6&gt;=$D45,AY$9&lt;=$E45),1,"")</f>
        <v/>
      </c>
      <c r="AZ45">
        <f>IF(AND(AZ$9+6&gt;=$D45,AZ$9&lt;=$E45),1,"")</f>
        <v/>
      </c>
      <c r="BA45">
        <f>IF(AND(BA$9+6&gt;=$D45,BA$9&lt;=$E45),1,"")</f>
        <v/>
      </c>
      <c r="BB45">
        <f>IF(AND(BB$9+6&gt;=$D45,BB$9&lt;=$E45),1,"")</f>
        <v/>
      </c>
      <c r="BC45">
        <f>IF(AND(BC$9+6&gt;=$D45,BC$9&lt;=$E45),1,"")</f>
        <v/>
      </c>
      <c r="BD45">
        <f>IF(AND(BD$9+6&gt;=$D45,BD$9&lt;=$E45),1,"")</f>
        <v/>
      </c>
      <c r="BE45">
        <f>IF(AND(BE$9+6&gt;=$D45,BE$9&lt;=$E45),1,"")</f>
        <v/>
      </c>
      <c r="BF45">
        <f>IF(AND(BF$9+6&gt;=$D45,BF$9&lt;=$E45),1,"")</f>
        <v/>
      </c>
      <c r="BG45">
        <f>IF(AND(BG$9+6&gt;=$D45,BG$9&lt;=$E45),1,"")</f>
        <v/>
      </c>
    </row>
    <row r="46">
      <c r="B46" s="13" t="inlineStr">
        <is>
          <t>University Executive – notes report</t>
        </is>
      </c>
      <c r="C46" s="13" t="inlineStr">
        <is>
          <t>~25 Mar (papers ~12 Mar)</t>
        </is>
      </c>
      <c r="D46" s="14" t="n">
        <v>46471</v>
      </c>
      <c r="E46" s="14" t="n">
        <v>46471</v>
      </c>
      <c r="F46" s="13" t="inlineStr"/>
      <c r="G46" s="13" t="inlineStr"/>
      <c r="H46" s="13" t="inlineStr"/>
      <c r="I46" s="13" t="inlineStr"/>
      <c r="J46" s="13" t="inlineStr">
        <is>
          <t>Milestone</t>
        </is>
      </c>
      <c r="K46" s="13" t="inlineStr">
        <is>
          <t>Not yet started</t>
        </is>
      </c>
      <c r="L46">
        <f>IF(AND(L$9+6&gt;=$D46,L$9&lt;=$E46),1,"")</f>
        <v/>
      </c>
      <c r="M46">
        <f>IF(AND(M$9+6&gt;=$D46,M$9&lt;=$E46),1,"")</f>
        <v/>
      </c>
      <c r="N46">
        <f>IF(AND(N$9+6&gt;=$D46,N$9&lt;=$E46),1,"")</f>
        <v/>
      </c>
      <c r="O46">
        <f>IF(AND(O$9+6&gt;=$D46,O$9&lt;=$E46),1,"")</f>
        <v/>
      </c>
      <c r="P46">
        <f>IF(AND(P$9+6&gt;=$D46,P$9&lt;=$E46),1,"")</f>
        <v/>
      </c>
      <c r="Q46">
        <f>IF(AND(Q$9+6&gt;=$D46,Q$9&lt;=$E46),1,"")</f>
        <v/>
      </c>
      <c r="R46">
        <f>IF(AND(R$9+6&gt;=$D46,R$9&lt;=$E46),1,"")</f>
        <v/>
      </c>
      <c r="S46">
        <f>IF(AND(S$9+6&gt;=$D46,S$9&lt;=$E46),1,"")</f>
        <v/>
      </c>
      <c r="T46">
        <f>IF(AND(T$9+6&gt;=$D46,T$9&lt;=$E46),1,"")</f>
        <v/>
      </c>
      <c r="U46">
        <f>IF(AND(U$9+6&gt;=$D46,U$9&lt;=$E46),1,"")</f>
        <v/>
      </c>
      <c r="V46">
        <f>IF(AND(V$9+6&gt;=$D46,V$9&lt;=$E46),1,"")</f>
        <v/>
      </c>
      <c r="W46">
        <f>IF(AND(W$9+6&gt;=$D46,W$9&lt;=$E46),1,"")</f>
        <v/>
      </c>
      <c r="X46">
        <f>IF(AND(X$9+6&gt;=$D46,X$9&lt;=$E46),1,"")</f>
        <v/>
      </c>
      <c r="Y46">
        <f>IF(AND(Y$9+6&gt;=$D46,Y$9&lt;=$E46),1,"")</f>
        <v/>
      </c>
      <c r="Z46">
        <f>IF(AND(Z$9+6&gt;=$D46,Z$9&lt;=$E46),1,"")</f>
        <v/>
      </c>
      <c r="AA46">
        <f>IF(AND(AA$9+6&gt;=$D46,AA$9&lt;=$E46),1,"")</f>
        <v/>
      </c>
      <c r="AB46">
        <f>IF(AND(AB$9+6&gt;=$D46,AB$9&lt;=$E46),1,"")</f>
        <v/>
      </c>
      <c r="AC46">
        <f>IF(AND(AC$9+6&gt;=$D46,AC$9&lt;=$E46),1,"")</f>
        <v/>
      </c>
      <c r="AD46">
        <f>IF(AND(AD$9+6&gt;=$D46,AD$9&lt;=$E46),1,"")</f>
        <v/>
      </c>
      <c r="AE46">
        <f>IF(AND(AE$9+6&gt;=$D46,AE$9&lt;=$E46),1,"")</f>
        <v/>
      </c>
      <c r="AF46">
        <f>IF(AND(AF$9+6&gt;=$D46,AF$9&lt;=$E46),1,"")</f>
        <v/>
      </c>
      <c r="AG46">
        <f>IF(AND(AG$9+6&gt;=$D46,AG$9&lt;=$E46),1,"")</f>
        <v/>
      </c>
      <c r="AH46">
        <f>IF(AND(AH$9+6&gt;=$D46,AH$9&lt;=$E46),1,"")</f>
        <v/>
      </c>
      <c r="AI46">
        <f>IF(AND(AI$9+6&gt;=$D46,AI$9&lt;=$E46),1,"")</f>
        <v/>
      </c>
      <c r="AJ46">
        <f>IF(AND(AJ$9+6&gt;=$D46,AJ$9&lt;=$E46),1,"")</f>
        <v/>
      </c>
      <c r="AK46">
        <f>IF(AND(AK$9+6&gt;=$D46,AK$9&lt;=$E46),1,"")</f>
        <v/>
      </c>
      <c r="AL46">
        <f>IF(AND(AL$9+6&gt;=$D46,AL$9&lt;=$E46),1,"")</f>
        <v/>
      </c>
      <c r="AM46">
        <f>IF(AND(AM$9+6&gt;=$D46,AM$9&lt;=$E46),1,"")</f>
        <v/>
      </c>
      <c r="AN46">
        <f>IF(AND(AN$9+6&gt;=$D46,AN$9&lt;=$E46),1,"")</f>
        <v/>
      </c>
      <c r="AO46">
        <f>IF(AND(AO$9+6&gt;=$D46,AO$9&lt;=$E46),1,"")</f>
        <v/>
      </c>
      <c r="AP46">
        <f>IF(AND(AP$9+6&gt;=$D46,AP$9&lt;=$E46),1,"")</f>
        <v/>
      </c>
      <c r="AQ46">
        <f>IF(AND(AQ$9+6&gt;=$D46,AQ$9&lt;=$E46),1,"")</f>
        <v/>
      </c>
      <c r="AR46">
        <f>IF(AND(AR$9+6&gt;=$D46,AR$9&lt;=$E46),1,"")</f>
        <v/>
      </c>
      <c r="AS46">
        <f>IF(AND(AS$9+6&gt;=$D46,AS$9&lt;=$E46),1,"")</f>
        <v/>
      </c>
      <c r="AT46">
        <f>IF(AND(AT$9+6&gt;=$D46,AT$9&lt;=$E46),1,"")</f>
        <v/>
      </c>
      <c r="AU46">
        <f>IF(AND(AU$9+6&gt;=$D46,AU$9&lt;=$E46),1,"")</f>
        <v/>
      </c>
      <c r="AV46">
        <f>IF(AND(AV$9+6&gt;=$D46,AV$9&lt;=$E46),1,"")</f>
        <v/>
      </c>
      <c r="AW46">
        <f>IF(AND(AW$9+6&gt;=$D46,AW$9&lt;=$E46),1,"")</f>
        <v/>
      </c>
      <c r="AX46">
        <f>IF(AND(AX$9+6&gt;=$D46,AX$9&lt;=$E46),1,"")</f>
        <v/>
      </c>
      <c r="AY46">
        <f>IF(AND(AY$9+6&gt;=$D46,AY$9&lt;=$E46),1,"")</f>
        <v/>
      </c>
      <c r="AZ46">
        <f>IF(AND(AZ$9+6&gt;=$D46,AZ$9&lt;=$E46),1,"")</f>
        <v/>
      </c>
      <c r="BA46">
        <f>IF(AND(BA$9+6&gt;=$D46,BA$9&lt;=$E46),1,"")</f>
        <v/>
      </c>
      <c r="BB46">
        <f>IF(AND(BB$9+6&gt;=$D46,BB$9&lt;=$E46),1,"")</f>
        <v/>
      </c>
      <c r="BC46">
        <f>IF(AND(BC$9+6&gt;=$D46,BC$9&lt;=$E46),1,"")</f>
        <v/>
      </c>
      <c r="BD46">
        <f>IF(AND(BD$9+6&gt;=$D46,BD$9&lt;=$E46),1,"")</f>
        <v/>
      </c>
      <c r="BE46">
        <f>IF(AND(BE$9+6&gt;=$D46,BE$9&lt;=$E46),1,"")</f>
        <v/>
      </c>
      <c r="BF46">
        <f>IF(AND(BF$9+6&gt;=$D46,BF$9&lt;=$E46),1,"")</f>
        <v/>
      </c>
      <c r="BG46">
        <f>IF(AND(BG$9+6&gt;=$D46,BG$9&lt;=$E46),1,"")</f>
        <v/>
      </c>
    </row>
    <row r="47">
      <c r="B47" s="13" t="inlineStr">
        <is>
          <t>University Council – approves report</t>
        </is>
      </c>
      <c r="C47" s="13" t="inlineStr">
        <is>
          <t>~6 May (papers ~10 Apr)</t>
        </is>
      </c>
      <c r="D47" s="14" t="n">
        <v>46513</v>
      </c>
      <c r="E47" s="14" t="n">
        <v>46513</v>
      </c>
      <c r="F47" s="13" t="inlineStr"/>
      <c r="G47" s="13" t="inlineStr"/>
      <c r="H47" s="13" t="inlineStr"/>
      <c r="I47" s="13" t="inlineStr"/>
      <c r="J47" s="13" t="inlineStr">
        <is>
          <t>Milestone</t>
        </is>
      </c>
      <c r="K47" s="13" t="inlineStr">
        <is>
          <t>Not yet started</t>
        </is>
      </c>
      <c r="L47">
        <f>IF(AND(L$9+6&gt;=$D47,L$9&lt;=$E47),1,"")</f>
        <v/>
      </c>
      <c r="M47">
        <f>IF(AND(M$9+6&gt;=$D47,M$9&lt;=$E47),1,"")</f>
        <v/>
      </c>
      <c r="N47">
        <f>IF(AND(N$9+6&gt;=$D47,N$9&lt;=$E47),1,"")</f>
        <v/>
      </c>
      <c r="O47">
        <f>IF(AND(O$9+6&gt;=$D47,O$9&lt;=$E47),1,"")</f>
        <v/>
      </c>
      <c r="P47">
        <f>IF(AND(P$9+6&gt;=$D47,P$9&lt;=$E47),1,"")</f>
        <v/>
      </c>
      <c r="Q47">
        <f>IF(AND(Q$9+6&gt;=$D47,Q$9&lt;=$E47),1,"")</f>
        <v/>
      </c>
      <c r="R47">
        <f>IF(AND(R$9+6&gt;=$D47,R$9&lt;=$E47),1,"")</f>
        <v/>
      </c>
      <c r="S47">
        <f>IF(AND(S$9+6&gt;=$D47,S$9&lt;=$E47),1,"")</f>
        <v/>
      </c>
      <c r="T47">
        <f>IF(AND(T$9+6&gt;=$D47,T$9&lt;=$E47),1,"")</f>
        <v/>
      </c>
      <c r="U47">
        <f>IF(AND(U$9+6&gt;=$D47,U$9&lt;=$E47),1,"")</f>
        <v/>
      </c>
      <c r="V47">
        <f>IF(AND(V$9+6&gt;=$D47,V$9&lt;=$E47),1,"")</f>
        <v/>
      </c>
      <c r="W47">
        <f>IF(AND(W$9+6&gt;=$D47,W$9&lt;=$E47),1,"")</f>
        <v/>
      </c>
      <c r="X47">
        <f>IF(AND(X$9+6&gt;=$D47,X$9&lt;=$E47),1,"")</f>
        <v/>
      </c>
      <c r="Y47">
        <f>IF(AND(Y$9+6&gt;=$D47,Y$9&lt;=$E47),1,"")</f>
        <v/>
      </c>
      <c r="Z47">
        <f>IF(AND(Z$9+6&gt;=$D47,Z$9&lt;=$E47),1,"")</f>
        <v/>
      </c>
      <c r="AA47">
        <f>IF(AND(AA$9+6&gt;=$D47,AA$9&lt;=$E47),1,"")</f>
        <v/>
      </c>
      <c r="AB47">
        <f>IF(AND(AB$9+6&gt;=$D47,AB$9&lt;=$E47),1,"")</f>
        <v/>
      </c>
      <c r="AC47">
        <f>IF(AND(AC$9+6&gt;=$D47,AC$9&lt;=$E47),1,"")</f>
        <v/>
      </c>
      <c r="AD47">
        <f>IF(AND(AD$9+6&gt;=$D47,AD$9&lt;=$E47),1,"")</f>
        <v/>
      </c>
      <c r="AE47">
        <f>IF(AND(AE$9+6&gt;=$D47,AE$9&lt;=$E47),1,"")</f>
        <v/>
      </c>
      <c r="AF47">
        <f>IF(AND(AF$9+6&gt;=$D47,AF$9&lt;=$E47),1,"")</f>
        <v/>
      </c>
      <c r="AG47">
        <f>IF(AND(AG$9+6&gt;=$D47,AG$9&lt;=$E47),1,"")</f>
        <v/>
      </c>
      <c r="AH47">
        <f>IF(AND(AH$9+6&gt;=$D47,AH$9&lt;=$E47),1,"")</f>
        <v/>
      </c>
      <c r="AI47">
        <f>IF(AND(AI$9+6&gt;=$D47,AI$9&lt;=$E47),1,"")</f>
        <v/>
      </c>
      <c r="AJ47">
        <f>IF(AND(AJ$9+6&gt;=$D47,AJ$9&lt;=$E47),1,"")</f>
        <v/>
      </c>
      <c r="AK47">
        <f>IF(AND(AK$9+6&gt;=$D47,AK$9&lt;=$E47),1,"")</f>
        <v/>
      </c>
      <c r="AL47">
        <f>IF(AND(AL$9+6&gt;=$D47,AL$9&lt;=$E47),1,"")</f>
        <v/>
      </c>
      <c r="AM47">
        <f>IF(AND(AM$9+6&gt;=$D47,AM$9&lt;=$E47),1,"")</f>
        <v/>
      </c>
      <c r="AN47">
        <f>IF(AND(AN$9+6&gt;=$D47,AN$9&lt;=$E47),1,"")</f>
        <v/>
      </c>
      <c r="AO47">
        <f>IF(AND(AO$9+6&gt;=$D47,AO$9&lt;=$E47),1,"")</f>
        <v/>
      </c>
      <c r="AP47">
        <f>IF(AND(AP$9+6&gt;=$D47,AP$9&lt;=$E47),1,"")</f>
        <v/>
      </c>
      <c r="AQ47">
        <f>IF(AND(AQ$9+6&gt;=$D47,AQ$9&lt;=$E47),1,"")</f>
        <v/>
      </c>
      <c r="AR47">
        <f>IF(AND(AR$9+6&gt;=$D47,AR$9&lt;=$E47),1,"")</f>
        <v/>
      </c>
      <c r="AS47">
        <f>IF(AND(AS$9+6&gt;=$D47,AS$9&lt;=$E47),1,"")</f>
        <v/>
      </c>
      <c r="AT47">
        <f>IF(AND(AT$9+6&gt;=$D47,AT$9&lt;=$E47),1,"")</f>
        <v/>
      </c>
      <c r="AU47">
        <f>IF(AND(AU$9+6&gt;=$D47,AU$9&lt;=$E47),1,"")</f>
        <v/>
      </c>
      <c r="AV47">
        <f>IF(AND(AV$9+6&gt;=$D47,AV$9&lt;=$E47),1,"")</f>
        <v/>
      </c>
      <c r="AW47">
        <f>IF(AND(AW$9+6&gt;=$D47,AW$9&lt;=$E47),1,"")</f>
        <v/>
      </c>
      <c r="AX47">
        <f>IF(AND(AX$9+6&gt;=$D47,AX$9&lt;=$E47),1,"")</f>
        <v/>
      </c>
      <c r="AY47">
        <f>IF(AND(AY$9+6&gt;=$D47,AY$9&lt;=$E47),1,"")</f>
        <v/>
      </c>
      <c r="AZ47">
        <f>IF(AND(AZ$9+6&gt;=$D47,AZ$9&lt;=$E47),1,"")</f>
        <v/>
      </c>
      <c r="BA47">
        <f>IF(AND(BA$9+6&gt;=$D47,BA$9&lt;=$E47),1,"")</f>
        <v/>
      </c>
      <c r="BB47">
        <f>IF(AND(BB$9+6&gt;=$D47,BB$9&lt;=$E47),1,"")</f>
        <v/>
      </c>
      <c r="BC47">
        <f>IF(AND(BC$9+6&gt;=$D47,BC$9&lt;=$E47),1,"")</f>
        <v/>
      </c>
      <c r="BD47">
        <f>IF(AND(BD$9+6&gt;=$D47,BD$9&lt;=$E47),1,"")</f>
        <v/>
      </c>
      <c r="BE47">
        <f>IF(AND(BE$9+6&gt;=$D47,BE$9&lt;=$E47),1,"")</f>
        <v/>
      </c>
      <c r="BF47">
        <f>IF(AND(BF$9+6&gt;=$D47,BF$9&lt;=$E47),1,"")</f>
        <v/>
      </c>
      <c r="BG47">
        <f>IF(AND(BG$9+6&gt;=$D47,BG$9&lt;=$E47),1,"")</f>
        <v/>
      </c>
    </row>
    <row r="48">
      <c r="B48" s="11" t="inlineStr">
        <is>
          <t>Publication &amp; close-out (May–Jun 2027)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</row>
    <row r="49">
      <c r="B49" s="13" t="inlineStr">
        <is>
          <t>Web build; QA, accessibility and web checks; agree analytics measures</t>
        </is>
      </c>
      <c r="C49" s="13" t="inlineStr">
        <is>
          <t>Before launch</t>
        </is>
      </c>
      <c r="D49" s="14" t="n">
        <v>46447</v>
      </c>
      <c r="E49" s="14" t="n">
        <v>46535</v>
      </c>
      <c r="F49" s="13" t="inlineStr">
        <is>
          <t>Comms/digital</t>
        </is>
      </c>
      <c r="G49" s="13" t="inlineStr"/>
      <c r="H49" s="13" t="inlineStr">
        <is>
          <t>SST</t>
        </is>
      </c>
      <c r="I49" s="13" t="inlineStr"/>
      <c r="J49" s="13" t="inlineStr">
        <is>
          <t>High</t>
        </is>
      </c>
      <c r="K49" s="13" t="inlineStr">
        <is>
          <t>Not yet started</t>
        </is>
      </c>
      <c r="L49">
        <f>IF(AND(L$9+6&gt;=$D49,L$9&lt;=$E49),1,"")</f>
        <v/>
      </c>
      <c r="M49">
        <f>IF(AND(M$9+6&gt;=$D49,M$9&lt;=$E49),1,"")</f>
        <v/>
      </c>
      <c r="N49">
        <f>IF(AND(N$9+6&gt;=$D49,N$9&lt;=$E49),1,"")</f>
        <v/>
      </c>
      <c r="O49">
        <f>IF(AND(O$9+6&gt;=$D49,O$9&lt;=$E49),1,"")</f>
        <v/>
      </c>
      <c r="P49">
        <f>IF(AND(P$9+6&gt;=$D49,P$9&lt;=$E49),1,"")</f>
        <v/>
      </c>
      <c r="Q49">
        <f>IF(AND(Q$9+6&gt;=$D49,Q$9&lt;=$E49),1,"")</f>
        <v/>
      </c>
      <c r="R49">
        <f>IF(AND(R$9+6&gt;=$D49,R$9&lt;=$E49),1,"")</f>
        <v/>
      </c>
      <c r="S49">
        <f>IF(AND(S$9+6&gt;=$D49,S$9&lt;=$E49),1,"")</f>
        <v/>
      </c>
      <c r="T49">
        <f>IF(AND(T$9+6&gt;=$D49,T$9&lt;=$E49),1,"")</f>
        <v/>
      </c>
      <c r="U49">
        <f>IF(AND(U$9+6&gt;=$D49,U$9&lt;=$E49),1,"")</f>
        <v/>
      </c>
      <c r="V49">
        <f>IF(AND(V$9+6&gt;=$D49,V$9&lt;=$E49),1,"")</f>
        <v/>
      </c>
      <c r="W49">
        <f>IF(AND(W$9+6&gt;=$D49,W$9&lt;=$E49),1,"")</f>
        <v/>
      </c>
      <c r="X49">
        <f>IF(AND(X$9+6&gt;=$D49,X$9&lt;=$E49),1,"")</f>
        <v/>
      </c>
      <c r="Y49">
        <f>IF(AND(Y$9+6&gt;=$D49,Y$9&lt;=$E49),1,"")</f>
        <v/>
      </c>
      <c r="Z49">
        <f>IF(AND(Z$9+6&gt;=$D49,Z$9&lt;=$E49),1,"")</f>
        <v/>
      </c>
      <c r="AA49">
        <f>IF(AND(AA$9+6&gt;=$D49,AA$9&lt;=$E49),1,"")</f>
        <v/>
      </c>
      <c r="AB49">
        <f>IF(AND(AB$9+6&gt;=$D49,AB$9&lt;=$E49),1,"")</f>
        <v/>
      </c>
      <c r="AC49">
        <f>IF(AND(AC$9+6&gt;=$D49,AC$9&lt;=$E49),1,"")</f>
        <v/>
      </c>
      <c r="AD49">
        <f>IF(AND(AD$9+6&gt;=$D49,AD$9&lt;=$E49),1,"")</f>
        <v/>
      </c>
      <c r="AE49">
        <f>IF(AND(AE$9+6&gt;=$D49,AE$9&lt;=$E49),1,"")</f>
        <v/>
      </c>
      <c r="AF49">
        <f>IF(AND(AF$9+6&gt;=$D49,AF$9&lt;=$E49),1,"")</f>
        <v/>
      </c>
      <c r="AG49">
        <f>IF(AND(AG$9+6&gt;=$D49,AG$9&lt;=$E49),1,"")</f>
        <v/>
      </c>
      <c r="AH49">
        <f>IF(AND(AH$9+6&gt;=$D49,AH$9&lt;=$E49),1,"")</f>
        <v/>
      </c>
      <c r="AI49">
        <f>IF(AND(AI$9+6&gt;=$D49,AI$9&lt;=$E49),1,"")</f>
        <v/>
      </c>
      <c r="AJ49">
        <f>IF(AND(AJ$9+6&gt;=$D49,AJ$9&lt;=$E49),1,"")</f>
        <v/>
      </c>
      <c r="AK49">
        <f>IF(AND(AK$9+6&gt;=$D49,AK$9&lt;=$E49),1,"")</f>
        <v/>
      </c>
      <c r="AL49">
        <f>IF(AND(AL$9+6&gt;=$D49,AL$9&lt;=$E49),1,"")</f>
        <v/>
      </c>
      <c r="AM49">
        <f>IF(AND(AM$9+6&gt;=$D49,AM$9&lt;=$E49),1,"")</f>
        <v/>
      </c>
      <c r="AN49">
        <f>IF(AND(AN$9+6&gt;=$D49,AN$9&lt;=$E49),1,"")</f>
        <v/>
      </c>
      <c r="AO49">
        <f>IF(AND(AO$9+6&gt;=$D49,AO$9&lt;=$E49),1,"")</f>
        <v/>
      </c>
      <c r="AP49">
        <f>IF(AND(AP$9+6&gt;=$D49,AP$9&lt;=$E49),1,"")</f>
        <v/>
      </c>
      <c r="AQ49">
        <f>IF(AND(AQ$9+6&gt;=$D49,AQ$9&lt;=$E49),1,"")</f>
        <v/>
      </c>
      <c r="AR49">
        <f>IF(AND(AR$9+6&gt;=$D49,AR$9&lt;=$E49),1,"")</f>
        <v/>
      </c>
      <c r="AS49">
        <f>IF(AND(AS$9+6&gt;=$D49,AS$9&lt;=$E49),1,"")</f>
        <v/>
      </c>
      <c r="AT49">
        <f>IF(AND(AT$9+6&gt;=$D49,AT$9&lt;=$E49),1,"")</f>
        <v/>
      </c>
      <c r="AU49">
        <f>IF(AND(AU$9+6&gt;=$D49,AU$9&lt;=$E49),1,"")</f>
        <v/>
      </c>
      <c r="AV49">
        <f>IF(AND(AV$9+6&gt;=$D49,AV$9&lt;=$E49),1,"")</f>
        <v/>
      </c>
      <c r="AW49">
        <f>IF(AND(AW$9+6&gt;=$D49,AW$9&lt;=$E49),1,"")</f>
        <v/>
      </c>
      <c r="AX49">
        <f>IF(AND(AX$9+6&gt;=$D49,AX$9&lt;=$E49),1,"")</f>
        <v/>
      </c>
      <c r="AY49">
        <f>IF(AND(AY$9+6&gt;=$D49,AY$9&lt;=$E49),1,"")</f>
        <v/>
      </c>
      <c r="AZ49">
        <f>IF(AND(AZ$9+6&gt;=$D49,AZ$9&lt;=$E49),1,"")</f>
        <v/>
      </c>
      <c r="BA49">
        <f>IF(AND(BA$9+6&gt;=$D49,BA$9&lt;=$E49),1,"")</f>
        <v/>
      </c>
      <c r="BB49">
        <f>IF(AND(BB$9+6&gt;=$D49,BB$9&lt;=$E49),1,"")</f>
        <v/>
      </c>
      <c r="BC49">
        <f>IF(AND(BC$9+6&gt;=$D49,BC$9&lt;=$E49),1,"")</f>
        <v/>
      </c>
      <c r="BD49">
        <f>IF(AND(BD$9+6&gt;=$D49,BD$9&lt;=$E49),1,"")</f>
        <v/>
      </c>
      <c r="BE49">
        <f>IF(AND(BE$9+6&gt;=$D49,BE$9&lt;=$E49),1,"")</f>
        <v/>
      </c>
      <c r="BF49">
        <f>IF(AND(BF$9+6&gt;=$D49,BF$9&lt;=$E49),1,"")</f>
        <v/>
      </c>
      <c r="BG49">
        <f>IF(AND(BG$9+6&gt;=$D49,BG$9&lt;=$E49),1,"")</f>
        <v/>
      </c>
    </row>
    <row r="50">
      <c r="B50" s="13" t="inlineStr">
        <is>
          <t>Publish report (year-specific URL + landing page)</t>
        </is>
      </c>
      <c r="C50" s="13" t="inlineStr">
        <is>
          <t>June</t>
        </is>
      </c>
      <c r="D50" s="14" t="n">
        <v>46539</v>
      </c>
      <c r="E50" s="14" t="n">
        <v>46568</v>
      </c>
      <c r="F50" s="13" t="inlineStr">
        <is>
          <t>Comms/digital</t>
        </is>
      </c>
      <c r="G50" s="13" t="inlineStr">
        <is>
          <t>Director, Sustainability</t>
        </is>
      </c>
      <c r="H50" s="13" t="inlineStr"/>
      <c r="I50" s="13" t="inlineStr"/>
      <c r="J50" s="13" t="inlineStr">
        <is>
          <t>Milestone</t>
        </is>
      </c>
      <c r="K50" s="13" t="inlineStr">
        <is>
          <t>Not yet started</t>
        </is>
      </c>
      <c r="L50">
        <f>IF(AND(L$9+6&gt;=$D50,L$9&lt;=$E50),1,"")</f>
        <v/>
      </c>
      <c r="M50">
        <f>IF(AND(M$9+6&gt;=$D50,M$9&lt;=$E50),1,"")</f>
        <v/>
      </c>
      <c r="N50">
        <f>IF(AND(N$9+6&gt;=$D50,N$9&lt;=$E50),1,"")</f>
        <v/>
      </c>
      <c r="O50">
        <f>IF(AND(O$9+6&gt;=$D50,O$9&lt;=$E50),1,"")</f>
        <v/>
      </c>
      <c r="P50">
        <f>IF(AND(P$9+6&gt;=$D50,P$9&lt;=$E50),1,"")</f>
        <v/>
      </c>
      <c r="Q50">
        <f>IF(AND(Q$9+6&gt;=$D50,Q$9&lt;=$E50),1,"")</f>
        <v/>
      </c>
      <c r="R50">
        <f>IF(AND(R$9+6&gt;=$D50,R$9&lt;=$E50),1,"")</f>
        <v/>
      </c>
      <c r="S50">
        <f>IF(AND(S$9+6&gt;=$D50,S$9&lt;=$E50),1,"")</f>
        <v/>
      </c>
      <c r="T50">
        <f>IF(AND(T$9+6&gt;=$D50,T$9&lt;=$E50),1,"")</f>
        <v/>
      </c>
      <c r="U50">
        <f>IF(AND(U$9+6&gt;=$D50,U$9&lt;=$E50),1,"")</f>
        <v/>
      </c>
      <c r="V50">
        <f>IF(AND(V$9+6&gt;=$D50,V$9&lt;=$E50),1,"")</f>
        <v/>
      </c>
      <c r="W50">
        <f>IF(AND(W$9+6&gt;=$D50,W$9&lt;=$E50),1,"")</f>
        <v/>
      </c>
      <c r="X50">
        <f>IF(AND(X$9+6&gt;=$D50,X$9&lt;=$E50),1,"")</f>
        <v/>
      </c>
      <c r="Y50">
        <f>IF(AND(Y$9+6&gt;=$D50,Y$9&lt;=$E50),1,"")</f>
        <v/>
      </c>
      <c r="Z50">
        <f>IF(AND(Z$9+6&gt;=$D50,Z$9&lt;=$E50),1,"")</f>
        <v/>
      </c>
      <c r="AA50">
        <f>IF(AND(AA$9+6&gt;=$D50,AA$9&lt;=$E50),1,"")</f>
        <v/>
      </c>
      <c r="AB50">
        <f>IF(AND(AB$9+6&gt;=$D50,AB$9&lt;=$E50),1,"")</f>
        <v/>
      </c>
      <c r="AC50">
        <f>IF(AND(AC$9+6&gt;=$D50,AC$9&lt;=$E50),1,"")</f>
        <v/>
      </c>
      <c r="AD50">
        <f>IF(AND(AD$9+6&gt;=$D50,AD$9&lt;=$E50),1,"")</f>
        <v/>
      </c>
      <c r="AE50">
        <f>IF(AND(AE$9+6&gt;=$D50,AE$9&lt;=$E50),1,"")</f>
        <v/>
      </c>
      <c r="AF50">
        <f>IF(AND(AF$9+6&gt;=$D50,AF$9&lt;=$E50),1,"")</f>
        <v/>
      </c>
      <c r="AG50">
        <f>IF(AND(AG$9+6&gt;=$D50,AG$9&lt;=$E50),1,"")</f>
        <v/>
      </c>
      <c r="AH50">
        <f>IF(AND(AH$9+6&gt;=$D50,AH$9&lt;=$E50),1,"")</f>
        <v/>
      </c>
      <c r="AI50">
        <f>IF(AND(AI$9+6&gt;=$D50,AI$9&lt;=$E50),1,"")</f>
        <v/>
      </c>
      <c r="AJ50">
        <f>IF(AND(AJ$9+6&gt;=$D50,AJ$9&lt;=$E50),1,"")</f>
        <v/>
      </c>
      <c r="AK50">
        <f>IF(AND(AK$9+6&gt;=$D50,AK$9&lt;=$E50),1,"")</f>
        <v/>
      </c>
      <c r="AL50">
        <f>IF(AND(AL$9+6&gt;=$D50,AL$9&lt;=$E50),1,"")</f>
        <v/>
      </c>
      <c r="AM50">
        <f>IF(AND(AM$9+6&gt;=$D50,AM$9&lt;=$E50),1,"")</f>
        <v/>
      </c>
      <c r="AN50">
        <f>IF(AND(AN$9+6&gt;=$D50,AN$9&lt;=$E50),1,"")</f>
        <v/>
      </c>
      <c r="AO50">
        <f>IF(AND(AO$9+6&gt;=$D50,AO$9&lt;=$E50),1,"")</f>
        <v/>
      </c>
      <c r="AP50">
        <f>IF(AND(AP$9+6&gt;=$D50,AP$9&lt;=$E50),1,"")</f>
        <v/>
      </c>
      <c r="AQ50">
        <f>IF(AND(AQ$9+6&gt;=$D50,AQ$9&lt;=$E50),1,"")</f>
        <v/>
      </c>
      <c r="AR50">
        <f>IF(AND(AR$9+6&gt;=$D50,AR$9&lt;=$E50),1,"")</f>
        <v/>
      </c>
      <c r="AS50">
        <f>IF(AND(AS$9+6&gt;=$D50,AS$9&lt;=$E50),1,"")</f>
        <v/>
      </c>
      <c r="AT50">
        <f>IF(AND(AT$9+6&gt;=$D50,AT$9&lt;=$E50),1,"")</f>
        <v/>
      </c>
      <c r="AU50">
        <f>IF(AND(AU$9+6&gt;=$D50,AU$9&lt;=$E50),1,"")</f>
        <v/>
      </c>
      <c r="AV50">
        <f>IF(AND(AV$9+6&gt;=$D50,AV$9&lt;=$E50),1,"")</f>
        <v/>
      </c>
      <c r="AW50">
        <f>IF(AND(AW$9+6&gt;=$D50,AW$9&lt;=$E50),1,"")</f>
        <v/>
      </c>
      <c r="AX50">
        <f>IF(AND(AX$9+6&gt;=$D50,AX$9&lt;=$E50),1,"")</f>
        <v/>
      </c>
      <c r="AY50">
        <f>IF(AND(AY$9+6&gt;=$D50,AY$9&lt;=$E50),1,"")</f>
        <v/>
      </c>
      <c r="AZ50">
        <f>IF(AND(AZ$9+6&gt;=$D50,AZ$9&lt;=$E50),1,"")</f>
        <v/>
      </c>
      <c r="BA50">
        <f>IF(AND(BA$9+6&gt;=$D50,BA$9&lt;=$E50),1,"")</f>
        <v/>
      </c>
      <c r="BB50">
        <f>IF(AND(BB$9+6&gt;=$D50,BB$9&lt;=$E50),1,"")</f>
        <v/>
      </c>
      <c r="BC50">
        <f>IF(AND(BC$9+6&gt;=$D50,BC$9&lt;=$E50),1,"")</f>
        <v/>
      </c>
      <c r="BD50">
        <f>IF(AND(BD$9+6&gt;=$D50,BD$9&lt;=$E50),1,"")</f>
        <v/>
      </c>
      <c r="BE50">
        <f>IF(AND(BE$9+6&gt;=$D50,BE$9&lt;=$E50),1,"")</f>
        <v/>
      </c>
      <c r="BF50">
        <f>IF(AND(BF$9+6&gt;=$D50,BF$9&lt;=$E50),1,"")</f>
        <v/>
      </c>
      <c r="BG50">
        <f>IF(AND(BG$9+6&gt;=$D50,BG$9&lt;=$E50),1,"")</f>
        <v/>
      </c>
    </row>
    <row r="51">
      <c r="B51" s="13" t="inlineStr">
        <is>
          <t>Monitor engagement; project retrospective; improvements for 2027 cycle</t>
        </is>
      </c>
      <c r="C51" s="13" t="inlineStr"/>
      <c r="D51" s="14" t="n">
        <v>46539</v>
      </c>
      <c r="E51" s="14" t="n">
        <v>46598</v>
      </c>
      <c r="F51" s="13" t="inlineStr">
        <is>
          <t>SST</t>
        </is>
      </c>
      <c r="G51" s="13" t="inlineStr"/>
      <c r="H51" s="13" t="inlineStr">
        <is>
          <t>Comms, design</t>
        </is>
      </c>
      <c r="I51" s="13" t="inlineStr"/>
      <c r="J51" s="13" t="inlineStr">
        <is>
          <t>Medium</t>
        </is>
      </c>
      <c r="K51" s="13" t="inlineStr">
        <is>
          <t>Not yet started</t>
        </is>
      </c>
      <c r="L51">
        <f>IF(AND(L$9+6&gt;=$D51,L$9&lt;=$E51),1,"")</f>
        <v/>
      </c>
      <c r="M51">
        <f>IF(AND(M$9+6&gt;=$D51,M$9&lt;=$E51),1,"")</f>
        <v/>
      </c>
      <c r="N51">
        <f>IF(AND(N$9+6&gt;=$D51,N$9&lt;=$E51),1,"")</f>
        <v/>
      </c>
      <c r="O51">
        <f>IF(AND(O$9+6&gt;=$D51,O$9&lt;=$E51),1,"")</f>
        <v/>
      </c>
      <c r="P51">
        <f>IF(AND(P$9+6&gt;=$D51,P$9&lt;=$E51),1,"")</f>
        <v/>
      </c>
      <c r="Q51">
        <f>IF(AND(Q$9+6&gt;=$D51,Q$9&lt;=$E51),1,"")</f>
        <v/>
      </c>
      <c r="R51">
        <f>IF(AND(R$9+6&gt;=$D51,R$9&lt;=$E51),1,"")</f>
        <v/>
      </c>
      <c r="S51">
        <f>IF(AND(S$9+6&gt;=$D51,S$9&lt;=$E51),1,"")</f>
        <v/>
      </c>
      <c r="T51">
        <f>IF(AND(T$9+6&gt;=$D51,T$9&lt;=$E51),1,"")</f>
        <v/>
      </c>
      <c r="U51">
        <f>IF(AND(U$9+6&gt;=$D51,U$9&lt;=$E51),1,"")</f>
        <v/>
      </c>
      <c r="V51">
        <f>IF(AND(V$9+6&gt;=$D51,V$9&lt;=$E51),1,"")</f>
        <v/>
      </c>
      <c r="W51">
        <f>IF(AND(W$9+6&gt;=$D51,W$9&lt;=$E51),1,"")</f>
        <v/>
      </c>
      <c r="X51">
        <f>IF(AND(X$9+6&gt;=$D51,X$9&lt;=$E51),1,"")</f>
        <v/>
      </c>
      <c r="Y51">
        <f>IF(AND(Y$9+6&gt;=$D51,Y$9&lt;=$E51),1,"")</f>
        <v/>
      </c>
      <c r="Z51">
        <f>IF(AND(Z$9+6&gt;=$D51,Z$9&lt;=$E51),1,"")</f>
        <v/>
      </c>
      <c r="AA51">
        <f>IF(AND(AA$9+6&gt;=$D51,AA$9&lt;=$E51),1,"")</f>
        <v/>
      </c>
      <c r="AB51">
        <f>IF(AND(AB$9+6&gt;=$D51,AB$9&lt;=$E51),1,"")</f>
        <v/>
      </c>
      <c r="AC51">
        <f>IF(AND(AC$9+6&gt;=$D51,AC$9&lt;=$E51),1,"")</f>
        <v/>
      </c>
      <c r="AD51">
        <f>IF(AND(AD$9+6&gt;=$D51,AD$9&lt;=$E51),1,"")</f>
        <v/>
      </c>
      <c r="AE51">
        <f>IF(AND(AE$9+6&gt;=$D51,AE$9&lt;=$E51),1,"")</f>
        <v/>
      </c>
      <c r="AF51">
        <f>IF(AND(AF$9+6&gt;=$D51,AF$9&lt;=$E51),1,"")</f>
        <v/>
      </c>
      <c r="AG51">
        <f>IF(AND(AG$9+6&gt;=$D51,AG$9&lt;=$E51),1,"")</f>
        <v/>
      </c>
      <c r="AH51">
        <f>IF(AND(AH$9+6&gt;=$D51,AH$9&lt;=$E51),1,"")</f>
        <v/>
      </c>
      <c r="AI51">
        <f>IF(AND(AI$9+6&gt;=$D51,AI$9&lt;=$E51),1,"")</f>
        <v/>
      </c>
      <c r="AJ51">
        <f>IF(AND(AJ$9+6&gt;=$D51,AJ$9&lt;=$E51),1,"")</f>
        <v/>
      </c>
      <c r="AK51">
        <f>IF(AND(AK$9+6&gt;=$D51,AK$9&lt;=$E51),1,"")</f>
        <v/>
      </c>
      <c r="AL51">
        <f>IF(AND(AL$9+6&gt;=$D51,AL$9&lt;=$E51),1,"")</f>
        <v/>
      </c>
      <c r="AM51">
        <f>IF(AND(AM$9+6&gt;=$D51,AM$9&lt;=$E51),1,"")</f>
        <v/>
      </c>
      <c r="AN51">
        <f>IF(AND(AN$9+6&gt;=$D51,AN$9&lt;=$E51),1,"")</f>
        <v/>
      </c>
      <c r="AO51">
        <f>IF(AND(AO$9+6&gt;=$D51,AO$9&lt;=$E51),1,"")</f>
        <v/>
      </c>
      <c r="AP51">
        <f>IF(AND(AP$9+6&gt;=$D51,AP$9&lt;=$E51),1,"")</f>
        <v/>
      </c>
      <c r="AQ51">
        <f>IF(AND(AQ$9+6&gt;=$D51,AQ$9&lt;=$E51),1,"")</f>
        <v/>
      </c>
      <c r="AR51">
        <f>IF(AND(AR$9+6&gt;=$D51,AR$9&lt;=$E51),1,"")</f>
        <v/>
      </c>
      <c r="AS51">
        <f>IF(AND(AS$9+6&gt;=$D51,AS$9&lt;=$E51),1,"")</f>
        <v/>
      </c>
      <c r="AT51">
        <f>IF(AND(AT$9+6&gt;=$D51,AT$9&lt;=$E51),1,"")</f>
        <v/>
      </c>
      <c r="AU51">
        <f>IF(AND(AU$9+6&gt;=$D51,AU$9&lt;=$E51),1,"")</f>
        <v/>
      </c>
      <c r="AV51">
        <f>IF(AND(AV$9+6&gt;=$D51,AV$9&lt;=$E51),1,"")</f>
        <v/>
      </c>
      <c r="AW51">
        <f>IF(AND(AW$9+6&gt;=$D51,AW$9&lt;=$E51),1,"")</f>
        <v/>
      </c>
      <c r="AX51">
        <f>IF(AND(AX$9+6&gt;=$D51,AX$9&lt;=$E51),1,"")</f>
        <v/>
      </c>
      <c r="AY51">
        <f>IF(AND(AY$9+6&gt;=$D51,AY$9&lt;=$E51),1,"")</f>
        <v/>
      </c>
      <c r="AZ51">
        <f>IF(AND(AZ$9+6&gt;=$D51,AZ$9&lt;=$E51),1,"")</f>
        <v/>
      </c>
      <c r="BA51">
        <f>IF(AND(BA$9+6&gt;=$D51,BA$9&lt;=$E51),1,"")</f>
        <v/>
      </c>
      <c r="BB51">
        <f>IF(AND(BB$9+6&gt;=$D51,BB$9&lt;=$E51),1,"")</f>
        <v/>
      </c>
      <c r="BC51">
        <f>IF(AND(BC$9+6&gt;=$D51,BC$9&lt;=$E51),1,"")</f>
        <v/>
      </c>
      <c r="BD51">
        <f>IF(AND(BD$9+6&gt;=$D51,BD$9&lt;=$E51),1,"")</f>
        <v/>
      </c>
      <c r="BE51">
        <f>IF(AND(BE$9+6&gt;=$D51,BE$9&lt;=$E51),1,"")</f>
        <v/>
      </c>
      <c r="BF51">
        <f>IF(AND(BF$9+6&gt;=$D51,BF$9&lt;=$E51),1,"")</f>
        <v/>
      </c>
      <c r="BG51">
        <f>IF(AND(BG$9+6&gt;=$D51,BG$9&lt;=$E51),1,"")</f>
        <v/>
      </c>
    </row>
  </sheetData>
  <conditionalFormatting sqref="L10:BG51">
    <cfRule type="cellIs" priority="1" operator="equal" dxfId="0">
      <formula>1</formula>
    </cfRule>
  </conditionalFormatting>
  <conditionalFormatting sqref="L9:BG9">
    <cfRule type="cellIs" priority="2" operator="between" dxfId="1">
      <formula>TODAY()-6</formula>
      <formula>TODAY()</formula>
    </cfRule>
  </conditionalFormatting>
  <dataValidations count="1">
    <dataValidation sqref="K10:K51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P3. Comms + web build to-do list</t>
        </is>
      </c>
    </row>
    <row r="4">
      <c r="B4" t="inlineStr">
        <is>
          <t>Track comms, web build and design tasks. Priority: Low / Medium / High / Urgent.</t>
        </is>
      </c>
    </row>
    <row r="6">
      <c r="B6" s="9" t="inlineStr">
        <is>
          <t>Report component or page</t>
        </is>
      </c>
      <c r="C6" s="9" t="inlineStr">
        <is>
          <t>Case study/content name</t>
        </is>
      </c>
      <c r="D6" s="9" t="inlineStr">
        <is>
          <t>Lead</t>
        </is>
      </c>
      <c r="E6" s="9" t="inlineStr">
        <is>
          <t>Priority level</t>
        </is>
      </c>
      <c r="F6" s="9" t="inlineStr">
        <is>
          <t>Agreed deadline</t>
        </is>
      </c>
      <c r="G6" s="9" t="inlineStr">
        <is>
          <t>Action needed</t>
        </is>
      </c>
      <c r="H6" s="9" t="inlineStr">
        <is>
          <t>Details</t>
        </is>
      </c>
      <c r="I6" s="9" t="inlineStr">
        <is>
          <t>Complete? (Y/N)</t>
        </is>
      </c>
      <c r="J6" s="9" t="inlineStr">
        <is>
          <t>Updates/blockers/FYI</t>
        </is>
      </c>
    </row>
    <row r="7">
      <c r="B7" s="13" t="inlineStr">
        <is>
          <t>Web – whole report</t>
        </is>
      </c>
      <c r="C7" s="13" t="inlineStr">
        <is>
          <t>Year-specific report URL</t>
        </is>
      </c>
      <c r="D7" s="13" t="inlineStr">
        <is>
          <t>Comms/digital</t>
        </is>
      </c>
      <c r="E7" s="13" t="inlineStr">
        <is>
          <t>High</t>
        </is>
      </c>
      <c r="F7" s="13" t="inlineStr"/>
      <c r="G7" s="13" t="inlineStr">
        <is>
          <t>Set up</t>
        </is>
      </c>
      <c r="H7" s="13" t="inlineStr">
        <is>
          <t>Use a year-specific URL (e.g. /sustainabilityreport/2026) and retain the central reports landing page (SR25 lesson).</t>
        </is>
      </c>
      <c r="I7" s="13" t="inlineStr"/>
      <c r="J7" s="13" t="inlineStr"/>
    </row>
    <row r="8">
      <c r="B8" s="13" t="inlineStr">
        <is>
          <t>Web – whole report</t>
        </is>
      </c>
      <c r="C8" s="13" t="inlineStr">
        <is>
          <t>Analytics measures</t>
        </is>
      </c>
      <c r="D8" s="13" t="inlineStr">
        <is>
          <t>Comms/digital</t>
        </is>
      </c>
      <c r="E8" s="13" t="inlineStr">
        <is>
          <t>High</t>
        </is>
      </c>
      <c r="F8" s="13" t="inlineStr"/>
      <c r="G8" s="13" t="inlineStr">
        <is>
          <t>Agree before launch</t>
        </is>
      </c>
      <c r="H8" s="13" t="inlineStr">
        <is>
          <t>Agree web sessions, users and views measures before launch so project close can report them.</t>
        </is>
      </c>
      <c r="I8" s="13" t="inlineStr"/>
      <c r="J8" s="13" t="inlineStr"/>
    </row>
    <row r="9">
      <c r="B9" s="13" t="inlineStr">
        <is>
          <t>Web – whole report</t>
        </is>
      </c>
      <c r="C9" s="13" t="inlineStr">
        <is>
          <t>Accessibility &amp; reviewer workflow testing</t>
        </is>
      </c>
      <c r="D9" s="13" t="inlineStr">
        <is>
          <t>Comms/digital</t>
        </is>
      </c>
      <c r="E9" s="13" t="inlineStr">
        <is>
          <t>High</t>
        </is>
      </c>
      <c r="F9" s="13" t="inlineStr"/>
      <c r="G9" s="13" t="inlineStr">
        <is>
          <t>Test</t>
        </is>
      </c>
      <c r="H9" s="13" t="inlineStr">
        <is>
          <t>Navigation, links, mobile usability, accessibility, reviewer workflows – before governance approval.</t>
        </is>
      </c>
      <c r="I9" s="13" t="inlineStr"/>
      <c r="J9" s="13" t="inlineStr"/>
    </row>
    <row r="10">
      <c r="B10" s="13" t="inlineStr">
        <is>
          <t>Report introduction</t>
        </is>
      </c>
      <c r="C10" s="13" t="inlineStr">
        <is>
          <t>Transition-year framing</t>
        </is>
      </c>
      <c r="D10" s="13" t="inlineStr">
        <is>
          <t>SST</t>
        </is>
      </c>
      <c r="E10" s="13" t="inlineStr">
        <is>
          <t>High</t>
        </is>
      </c>
      <c r="F10" s="13" t="inlineStr"/>
      <c r="G10" s="13" t="inlineStr">
        <is>
          <t>Draft</t>
        </is>
      </c>
      <c r="H10" s="13" t="inlineStr">
        <is>
          <t>Explain former SP2030 vs Sustainability 2030 (launched ~20 Oct 2026).</t>
        </is>
      </c>
      <c r="I10" s="13" t="inlineStr"/>
      <c r="J10" s="13" t="inlineStr"/>
    </row>
    <row r="11">
      <c r="B11" s="13" t="inlineStr">
        <is>
          <t>Whole report</t>
        </is>
      </c>
      <c r="C11" s="13" t="inlineStr">
        <is>
          <t>Whole-report review</t>
        </is>
      </c>
      <c r="D11" s="13" t="inlineStr">
        <is>
          <t>Strategic Comms</t>
        </is>
      </c>
      <c r="E11" s="13" t="inlineStr">
        <is>
          <t>High</t>
        </is>
      </c>
      <c r="F11" s="13" t="inlineStr"/>
      <c r="G11" s="13" t="inlineStr">
        <is>
          <t>Schedule</t>
        </is>
      </c>
      <c r="H11" s="13" t="inlineStr">
        <is>
          <t>Schedule early enough for material changes.</t>
        </is>
      </c>
      <c r="I11" s="13" t="inlineStr"/>
      <c r="J11" s="13" t="inlineStr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P4. Content contributor checklist</t>
        </is>
      </c>
    </row>
    <row r="4">
      <c r="B4" t="inlineStr">
        <is>
          <t>Stakeholder management for report content: review by contributors, images, credits and captions, post-launch follow-up.</t>
        </is>
      </c>
    </row>
    <row r="6">
      <c r="B6" s="9" t="inlineStr">
        <is>
          <t>Report section</t>
        </is>
      </c>
      <c r="C6" s="9" t="inlineStr">
        <is>
          <t>Case study</t>
        </is>
      </c>
      <c r="D6" s="9" t="inlineStr">
        <is>
          <t>Activity areas</t>
        </is>
      </c>
      <c r="E6" s="9" t="inlineStr">
        <is>
          <t>Review required? (Y/N)</t>
        </is>
      </c>
      <c r="F6" s="9" t="inlineStr">
        <is>
          <t>Content contributors</t>
        </is>
      </c>
      <c r="G6" s="9" t="inlineStr">
        <is>
          <t>Project team liaison</t>
        </is>
      </c>
      <c r="H6" s="9" t="inlineStr">
        <is>
          <t>Sent for review (date)</t>
        </is>
      </c>
      <c r="I6" s="9" t="inlineStr">
        <is>
          <t>Changes required? (Y/N)</t>
        </is>
      </c>
      <c r="J6" s="9" t="inlineStr">
        <is>
          <t>SR26 draft updated? (Y/N)</t>
        </is>
      </c>
      <c r="K6" s="9" t="inlineStr">
        <is>
          <t>SR26 website updated? (Y/N)</t>
        </is>
      </c>
      <c r="L6" s="9" t="inlineStr">
        <is>
          <t>Images shared? (Y/N)</t>
        </is>
      </c>
      <c r="M6" s="9" t="inlineStr">
        <is>
          <t>Image URL</t>
        </is>
      </c>
      <c r="N6" s="9" t="inlineStr">
        <is>
          <t>Known image gap</t>
        </is>
      </c>
      <c r="O6" s="9" t="inlineStr">
        <is>
          <t>Credit noted?</t>
        </is>
      </c>
      <c r="P6" s="9" t="inlineStr">
        <is>
          <t>Caption text</t>
        </is>
      </c>
      <c r="Q6" s="9" t="inlineStr">
        <is>
          <t>Permission to publish confirmed?</t>
        </is>
      </c>
      <c r="R6" s="9" t="inlineStr">
        <is>
          <t>Post-launch: send to</t>
        </is>
      </c>
      <c r="S6" s="9" t="inlineStr">
        <is>
          <t>CC</t>
        </is>
      </c>
      <c r="T6" s="9" t="inlineStr">
        <is>
          <t>Sent (date)</t>
        </is>
      </c>
      <c r="U6" s="9" t="inlineStr">
        <is>
          <t>Complete? (Y/N)</t>
        </is>
      </c>
    </row>
    <row r="7"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</row>
    <row r="10"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</row>
    <row r="11"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</row>
    <row r="60"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</row>
    <row r="61"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</row>
    <row r="62"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</row>
    <row r="63"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</row>
    <row r="64"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</row>
    <row r="65"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</row>
    <row r="66"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P5. SR26 page index (URLs)</t>
        </is>
      </c>
    </row>
    <row r="5">
      <c r="B5" s="9" t="inlineStr">
        <is>
          <t>Ref</t>
        </is>
      </c>
      <c r="C5" s="9" t="inlineStr">
        <is>
          <t>Sustainability 2030 component</t>
        </is>
      </c>
      <c r="D5" s="9" t="inlineStr">
        <is>
          <t>Page name</t>
        </is>
      </c>
      <c r="E5" s="9" t="inlineStr">
        <is>
          <t>Story / case study</t>
        </is>
      </c>
      <c r="F5" s="9" t="inlineStr">
        <is>
          <t>SR26 link</t>
        </is>
      </c>
      <c r="G5" s="9" t="inlineStr">
        <is>
          <t>Page description</t>
        </is>
      </c>
      <c r="H5" s="9" t="inlineStr">
        <is>
          <t>Character count</t>
        </is>
      </c>
      <c r="I5" s="9" t="inlineStr">
        <is>
          <t>SR25 equivalent page</t>
        </is>
      </c>
    </row>
    <row r="6">
      <c r="B6" s="15" t="inlineStr">
        <is>
          <t>FM01</t>
        </is>
      </c>
      <c r="C6" s="13" t="inlineStr">
        <is>
          <t>N/A</t>
        </is>
      </c>
      <c r="D6" s="13" t="inlineStr">
        <is>
          <t>Landing page</t>
        </is>
      </c>
      <c r="E6" s="13" t="inlineStr"/>
      <c r="F6" s="13" t="inlineStr"/>
      <c r="G6" s="13" t="inlineStr"/>
      <c r="H6" s="13">
        <f>LEN(G6)</f>
        <v/>
      </c>
      <c r="I6" s="13" t="inlineStr"/>
    </row>
    <row r="7">
      <c r="B7" s="15" t="inlineStr">
        <is>
          <t>FM02</t>
        </is>
      </c>
      <c r="C7" s="13" t="inlineStr">
        <is>
          <t>N/A</t>
        </is>
      </c>
      <c r="D7" s="13" t="inlineStr">
        <is>
          <t>Overview (transition year)</t>
        </is>
      </c>
      <c r="E7" s="13" t="inlineStr"/>
      <c r="F7" s="13" t="inlineStr"/>
      <c r="G7" s="13" t="inlineStr"/>
      <c r="H7" s="13">
        <f>LEN(G7)</f>
        <v/>
      </c>
      <c r="I7" s="13" t="inlineStr"/>
    </row>
    <row r="8">
      <c r="B8" s="15" t="inlineStr">
        <is>
          <t>FM03</t>
        </is>
      </c>
      <c r="C8" s="13" t="inlineStr">
        <is>
          <t>N/A</t>
        </is>
      </c>
      <c r="D8" s="13" t="inlineStr">
        <is>
          <t>Our impact</t>
        </is>
      </c>
      <c r="E8" s="13" t="inlineStr"/>
      <c r="F8" s="13" t="inlineStr"/>
      <c r="G8" s="13" t="inlineStr"/>
      <c r="H8" s="13">
        <f>LEN(G8)</f>
        <v/>
      </c>
      <c r="I8" s="13" t="inlineStr"/>
    </row>
    <row r="9">
      <c r="B9" s="15" t="inlineStr">
        <is>
          <t>PA01</t>
        </is>
      </c>
      <c r="C9" s="13" t="inlineStr">
        <is>
          <t>Education and research</t>
        </is>
      </c>
      <c r="D9" s="13" t="inlineStr">
        <is>
          <t>Exceptional education</t>
        </is>
      </c>
      <c r="E9" s="13" t="inlineStr"/>
      <c r="F9" s="13" t="inlineStr"/>
      <c r="G9" s="13" t="inlineStr"/>
      <c r="H9" s="13">
        <f>LEN(G9)</f>
        <v/>
      </c>
      <c r="I9" s="13" t="inlineStr"/>
    </row>
    <row r="10">
      <c r="B10" s="15" t="inlineStr">
        <is>
          <t>PA02</t>
        </is>
      </c>
      <c r="C10" s="13" t="inlineStr">
        <is>
          <t>Education and research</t>
        </is>
      </c>
      <c r="D10" s="13" t="inlineStr">
        <is>
          <t>Transformational research</t>
        </is>
      </c>
      <c r="E10" s="13" t="inlineStr"/>
      <c r="F10" s="13" t="inlineStr"/>
      <c r="G10" s="13" t="inlineStr"/>
      <c r="H10" s="13">
        <f>LEN(G10)</f>
        <v/>
      </c>
      <c r="I10" s="13" t="inlineStr"/>
    </row>
    <row r="11">
      <c r="B11" s="15" t="inlineStr">
        <is>
          <t>PA03</t>
        </is>
      </c>
      <c r="C11" s="13" t="inlineStr">
        <is>
          <t>Sustainability leadership</t>
        </is>
      </c>
      <c r="D11" s="13" t="inlineStr">
        <is>
          <t>Climate leadership</t>
        </is>
      </c>
      <c r="E11" s="13" t="inlineStr"/>
      <c r="F11" s="13" t="inlineStr"/>
      <c r="G11" s="13" t="inlineStr"/>
      <c r="H11" s="13">
        <f>LEN(G11)</f>
        <v/>
      </c>
      <c r="I11" s="13" t="inlineStr"/>
    </row>
    <row r="12">
      <c r="B12" s="15" t="inlineStr">
        <is>
          <t>PA04</t>
        </is>
      </c>
      <c r="C12" s="13" t="inlineStr">
        <is>
          <t>Sustainability leadership</t>
        </is>
      </c>
      <c r="D12" s="13" t="inlineStr">
        <is>
          <t>Nature and biodiversity</t>
        </is>
      </c>
      <c r="E12" s="13" t="inlineStr"/>
      <c r="F12" s="13" t="inlineStr"/>
      <c r="G12" s="13" t="inlineStr"/>
      <c r="H12" s="13">
        <f>LEN(G12)</f>
        <v/>
      </c>
      <c r="I12" s="13" t="inlineStr"/>
    </row>
    <row r="13">
      <c r="B13" s="15" t="inlineStr">
        <is>
          <t>PA05</t>
        </is>
      </c>
      <c r="C13" s="13" t="inlineStr">
        <is>
          <t>Sustainability leadership</t>
        </is>
      </c>
      <c r="D13" s="13" t="inlineStr">
        <is>
          <t>Responsible AI</t>
        </is>
      </c>
      <c r="E13" s="13" t="inlineStr"/>
      <c r="F13" s="13" t="inlineStr"/>
      <c r="G13" s="13" t="inlineStr"/>
      <c r="H13" s="13">
        <f>LEN(G13)</f>
        <v/>
      </c>
      <c r="I13" s="13" t="inlineStr"/>
    </row>
    <row r="14">
      <c r="B14" s="15" t="inlineStr">
        <is>
          <t>PA06</t>
        </is>
      </c>
      <c r="C14" s="13" t="inlineStr">
        <is>
          <t>Resilient University</t>
        </is>
      </c>
      <c r="D14" s="13" t="inlineStr">
        <is>
          <t>Estate and infrastructure</t>
        </is>
      </c>
      <c r="E14" s="13" t="inlineStr"/>
      <c r="F14" s="13" t="inlineStr"/>
      <c r="G14" s="13" t="inlineStr"/>
      <c r="H14" s="13">
        <f>LEN(G14)</f>
        <v/>
      </c>
      <c r="I14" s="13" t="inlineStr"/>
    </row>
    <row r="15">
      <c r="B15" s="15" t="inlineStr">
        <is>
          <t>PA07</t>
        </is>
      </c>
      <c r="C15" s="13" t="inlineStr">
        <is>
          <t>Resilient University</t>
        </is>
      </c>
      <c r="D15" s="13" t="inlineStr">
        <is>
          <t>Circular economy</t>
        </is>
      </c>
      <c r="E15" s="13" t="inlineStr"/>
      <c r="F15" s="13" t="inlineStr"/>
      <c r="G15" s="13" t="inlineStr"/>
      <c r="H15" s="13">
        <f>LEN(G15)</f>
        <v/>
      </c>
      <c r="I15" s="13" t="inlineStr"/>
    </row>
    <row r="16">
      <c r="B16" s="15" t="inlineStr">
        <is>
          <t>PA08</t>
        </is>
      </c>
      <c r="C16" s="13" t="inlineStr">
        <is>
          <t>Resilient University</t>
        </is>
      </c>
      <c r="D16" s="13" t="inlineStr">
        <is>
          <t>Responsible procurement</t>
        </is>
      </c>
      <c r="E16" s="13" t="inlineStr"/>
      <c r="F16" s="13" t="inlineStr"/>
      <c r="G16" s="13" t="inlineStr"/>
      <c r="H16" s="13">
        <f>LEN(G16)</f>
        <v/>
      </c>
      <c r="I16" s="13" t="inlineStr"/>
    </row>
    <row r="17">
      <c r="B17" s="15" t="inlineStr">
        <is>
          <t>PA09</t>
        </is>
      </c>
      <c r="C17" s="13" t="inlineStr">
        <is>
          <t>Resilient University</t>
        </is>
      </c>
      <c r="D17" s="13" t="inlineStr">
        <is>
          <t>Modern slavery and human rights</t>
        </is>
      </c>
      <c r="E17" s="13" t="inlineStr"/>
      <c r="F17" s="13" t="inlineStr"/>
      <c r="G17" s="13" t="inlineStr"/>
      <c r="H17" s="13">
        <f>LEN(G17)</f>
        <v/>
      </c>
      <c r="I17" s="13" t="inlineStr"/>
    </row>
    <row r="18">
      <c r="B18" s="15" t="inlineStr">
        <is>
          <t>PA10</t>
        </is>
      </c>
      <c r="C18" s="13" t="inlineStr">
        <is>
          <t>Resilient University</t>
        </is>
      </c>
      <c r="D18" s="13" t="inlineStr">
        <is>
          <t>Responsible investments</t>
        </is>
      </c>
      <c r="E18" s="13" t="inlineStr"/>
      <c r="F18" s="13" t="inlineStr"/>
      <c r="G18" s="13" t="inlineStr"/>
      <c r="H18" s="13">
        <f>LEN(G18)</f>
        <v/>
      </c>
      <c r="I18" s="13" t="inlineStr"/>
    </row>
    <row r="19">
      <c r="B19" s="15" t="inlineStr">
        <is>
          <t>PA11</t>
        </is>
      </c>
      <c r="C19" s="13" t="inlineStr">
        <is>
          <t>Enablers</t>
        </is>
      </c>
      <c r="D19" s="13" t="inlineStr">
        <is>
          <t>Enablers</t>
        </is>
      </c>
      <c r="E19" s="13" t="inlineStr"/>
      <c r="F19" s="13" t="inlineStr"/>
      <c r="G19" s="13" t="inlineStr"/>
      <c r="H19" s="13">
        <f>LEN(G19)</f>
        <v/>
      </c>
      <c r="I19" s="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  <c r="K1" t="inlineStr">
        <is>
          <t>Report section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  <c r="K2" t="inlineStr">
        <is>
          <t>Report introduction</t>
        </is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  <c r="K3" t="inlineStr">
        <is>
          <t>Our impact</t>
        </is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  <c r="K4" t="inlineStr">
        <is>
          <t>Exceptional education</t>
        </is>
      </c>
    </row>
    <row r="5">
      <c r="B5" t="inlineStr">
        <is>
          <t>Not met</t>
        </is>
      </c>
      <c r="D5" t="inlineStr">
        <is>
          <t>Received</t>
        </is>
      </c>
      <c r="G5" t="inlineStr">
        <is>
          <t>Not yet started</t>
        </is>
      </c>
      <c r="H5" t="n">
        <v>0</v>
      </c>
      <c r="I5" t="n">
        <v>1</v>
      </c>
      <c r="K5" t="inlineStr">
        <is>
          <t>Transformational research</t>
        </is>
      </c>
    </row>
    <row r="6">
      <c r="B6" t="inlineStr">
        <is>
          <t>Not yet started</t>
        </is>
      </c>
      <c r="D6" t="inlineStr">
        <is>
          <t>First review</t>
        </is>
      </c>
      <c r="K6" t="inlineStr">
        <is>
          <t>Climate leadership</t>
        </is>
      </c>
    </row>
    <row r="7">
      <c r="B7" t="inlineStr">
        <is>
          <t>Not applicable</t>
        </is>
      </c>
      <c r="D7" t="inlineStr">
        <is>
          <t>Follow-up</t>
        </is>
      </c>
      <c r="K7" t="inlineStr">
        <is>
          <t>Nature and biodiversity</t>
        </is>
      </c>
    </row>
    <row r="8">
      <c r="D8" t="inlineStr">
        <is>
          <t>Complete</t>
        </is>
      </c>
      <c r="K8" t="inlineStr">
        <is>
          <t>Responsible AI</t>
        </is>
      </c>
    </row>
    <row r="9">
      <c r="D9" t="inlineStr">
        <is>
          <t>Not required</t>
        </is>
      </c>
      <c r="K9" t="inlineStr">
        <is>
          <t>Estate and infrastructure</t>
        </is>
      </c>
    </row>
    <row r="10">
      <c r="K10" t="inlineStr">
        <is>
          <t>Circular economy</t>
        </is>
      </c>
    </row>
    <row r="11">
      <c r="K11" t="inlineStr">
        <is>
          <t>Responsible procurement</t>
        </is>
      </c>
    </row>
    <row r="12">
      <c r="K12" t="inlineStr">
        <is>
          <t>Modern slavery and human rights</t>
        </is>
      </c>
    </row>
    <row r="13">
      <c r="K13" t="inlineStr">
        <is>
          <t>Responsible investments</t>
        </is>
      </c>
    </row>
    <row r="14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2026-10-07T02:03:34Z</dcterms:created>
  <dcterms:modified xmlns:dcterms="http://purl.org/dc/terms/" xmlns:xsi="http://www.w3.org/2001/XMLSchema-instance" xsi:type="dcterms:W3CDTF">2026-10-07T02:03:34Z</dcterms:modified>
</cp:coreProperties>
</file>